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bamao/Library/Mobile Documents/com~apple~CloudDocs/02-大学院書類/001_Lund/biomarker_SR/ALSbioSRMA_pub/data/"/>
    </mc:Choice>
  </mc:AlternateContent>
  <xr:revisionPtr revIDLastSave="0" documentId="13_ncr:1_{08F5927F-C551-954C-88B2-256BBC217715}" xr6:coauthVersionLast="47" xr6:coauthVersionMax="47" xr10:uidLastSave="{00000000-0000-0000-0000-000000000000}"/>
  <bookViews>
    <workbookView xWindow="160" yWindow="-20940" windowWidth="50880" windowHeight="20800" xr2:uid="{02505BE6-568E-FD4E-95E5-DAD93E02F18A}"/>
  </bookViews>
  <sheets>
    <sheet name="Diagnostic" sheetId="2" r:id="rId1"/>
    <sheet name="Prognostic" sheetId="19" r:id="rId2"/>
  </sheets>
  <definedNames>
    <definedName name="_xlnm._FilterDatabase" localSheetId="0" hidden="1">Diagnostic!$A$1:$CG$996</definedName>
    <definedName name="_xlnm._FilterDatabase" localSheetId="1" hidden="1">Prognostic!$A$1:$DE$871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122" i="2" l="1"/>
  <c r="BN313" i="2"/>
  <c r="BC122" i="2"/>
  <c r="BC313" i="2"/>
  <c r="BO42" i="2"/>
  <c r="BN42" i="2" s="1"/>
  <c r="BO41" i="2"/>
  <c r="BN41" i="2" s="1"/>
  <c r="BD41" i="2"/>
  <c r="BC41" i="2" s="1"/>
  <c r="BD42" i="2"/>
  <c r="BC42" i="2" s="1"/>
  <c r="BN707" i="2" l="1"/>
  <c r="BN708" i="2"/>
  <c r="BN709" i="2"/>
  <c r="BN710" i="2"/>
  <c r="BN711" i="2"/>
  <c r="BN712" i="2"/>
  <c r="BN713" i="2"/>
  <c r="BN714" i="2"/>
  <c r="BN715" i="2"/>
  <c r="BN706" i="2"/>
  <c r="BC707" i="2"/>
  <c r="BC708" i="2"/>
  <c r="BC709" i="2"/>
  <c r="BC710" i="2"/>
  <c r="BC711" i="2"/>
  <c r="BC712" i="2"/>
  <c r="BC713" i="2"/>
  <c r="BC714" i="2"/>
  <c r="BC715" i="2"/>
  <c r="BC706" i="2"/>
  <c r="Q593" i="2"/>
  <c r="O593" i="2"/>
  <c r="Q592" i="2"/>
  <c r="O592" i="2"/>
  <c r="Q580" i="2"/>
  <c r="O580" i="2"/>
  <c r="V520" i="19"/>
  <c r="V521" i="19"/>
  <c r="V519" i="19"/>
  <c r="N520" i="19"/>
  <c r="N521" i="19"/>
  <c r="N519" i="19"/>
  <c r="M520" i="19"/>
  <c r="M521" i="19"/>
  <c r="M519" i="19"/>
  <c r="W662" i="19"/>
  <c r="W663" i="19"/>
  <c r="W661" i="19"/>
  <c r="AD871" i="19"/>
  <c r="W871" i="19"/>
  <c r="AD870" i="19"/>
  <c r="W870" i="19"/>
  <c r="AD869" i="19"/>
  <c r="W869" i="19"/>
  <c r="AD868" i="19"/>
  <c r="W868" i="19"/>
  <c r="AD867" i="19"/>
  <c r="W867" i="19"/>
  <c r="AD866" i="19"/>
  <c r="W866" i="19"/>
  <c r="AD865" i="19"/>
  <c r="W865" i="19"/>
  <c r="AD864" i="19"/>
  <c r="W864" i="19"/>
  <c r="AD863" i="19"/>
  <c r="W863" i="19"/>
  <c r="AD862" i="19"/>
  <c r="W862" i="19"/>
  <c r="AD861" i="19"/>
  <c r="W861" i="19"/>
  <c r="AD860" i="19"/>
  <c r="W860" i="19"/>
  <c r="AD859" i="19"/>
  <c r="W859" i="19"/>
  <c r="AD858" i="19"/>
  <c r="W858" i="19"/>
  <c r="AD857" i="19"/>
  <c r="W857" i="19"/>
  <c r="AD856" i="19"/>
  <c r="W856" i="19"/>
  <c r="AD855" i="19"/>
  <c r="W855" i="19"/>
  <c r="AD854" i="19"/>
  <c r="W854" i="19"/>
  <c r="AD853" i="19"/>
  <c r="W853" i="19"/>
  <c r="AD828" i="19"/>
  <c r="W828" i="19"/>
  <c r="AD827" i="19"/>
  <c r="W827" i="19"/>
  <c r="AD826" i="19"/>
  <c r="W826" i="19"/>
  <c r="AD825" i="19"/>
  <c r="W825" i="19"/>
  <c r="AN823" i="19"/>
  <c r="AM823" i="19"/>
  <c r="AI823" i="19"/>
  <c r="AH823" i="19"/>
  <c r="AD823" i="19"/>
  <c r="V823" i="19"/>
  <c r="W823" i="19" s="1"/>
  <c r="AN822" i="19"/>
  <c r="AM822" i="19"/>
  <c r="AI822" i="19"/>
  <c r="AH822" i="19"/>
  <c r="AD822" i="19"/>
  <c r="V822" i="19"/>
  <c r="W822" i="19" s="1"/>
  <c r="AN821" i="19"/>
  <c r="AM821" i="19"/>
  <c r="AI821" i="19"/>
  <c r="AH821" i="19"/>
  <c r="AD821" i="19"/>
  <c r="V821" i="19"/>
  <c r="W821" i="19" s="1"/>
  <c r="AN820" i="19"/>
  <c r="AM820" i="19"/>
  <c r="AI820" i="19"/>
  <c r="AD820" i="19"/>
  <c r="W820" i="19"/>
  <c r="AN819" i="19"/>
  <c r="AM819" i="19"/>
  <c r="AI819" i="19"/>
  <c r="AD819" i="19"/>
  <c r="W819" i="19"/>
  <c r="AD803" i="19"/>
  <c r="W803" i="19"/>
  <c r="AD802" i="19"/>
  <c r="W802" i="19"/>
  <c r="AD801" i="19"/>
  <c r="W801" i="19"/>
  <c r="AD800" i="19"/>
  <c r="W800" i="19"/>
  <c r="AL776" i="19"/>
  <c r="AC776" i="19"/>
  <c r="AD776" i="19" s="1"/>
  <c r="W776" i="19"/>
  <c r="AL775" i="19"/>
  <c r="AC775" i="19"/>
  <c r="AD775" i="19" s="1"/>
  <c r="W775" i="19"/>
  <c r="AD739" i="19"/>
  <c r="W739" i="19"/>
  <c r="AD715" i="19"/>
  <c r="W715" i="19"/>
  <c r="AD699" i="19"/>
  <c r="W699" i="19"/>
  <c r="AD698" i="19"/>
  <c r="W698" i="19"/>
  <c r="AD697" i="19"/>
  <c r="W697" i="19"/>
  <c r="AD696" i="19"/>
  <c r="W696" i="19"/>
  <c r="AD695" i="19"/>
  <c r="W695" i="19"/>
  <c r="AD694" i="19"/>
  <c r="W694" i="19"/>
  <c r="AD648" i="19"/>
  <c r="O648" i="19"/>
  <c r="W648" i="19"/>
  <c r="AD647" i="19"/>
  <c r="O647" i="19"/>
  <c r="W647" i="19"/>
  <c r="AD609" i="19"/>
  <c r="W609" i="19"/>
  <c r="AD608" i="19"/>
  <c r="W608" i="19"/>
  <c r="AD607" i="19"/>
  <c r="W607" i="19"/>
  <c r="AD606" i="19"/>
  <c r="W606" i="19"/>
  <c r="AD594" i="19"/>
  <c r="W594" i="19"/>
  <c r="W592" i="19"/>
  <c r="AI585" i="19"/>
  <c r="AH585" i="19"/>
  <c r="AD585" i="19"/>
  <c r="W585" i="19"/>
  <c r="AI584" i="19"/>
  <c r="AH584" i="19"/>
  <c r="AD584" i="19"/>
  <c r="W584" i="19"/>
  <c r="AI583" i="19"/>
  <c r="AH583" i="19"/>
  <c r="AD583" i="19"/>
  <c r="W583" i="19"/>
  <c r="AI582" i="19"/>
  <c r="AH582" i="19"/>
  <c r="AD582" i="19"/>
  <c r="W582" i="19"/>
  <c r="AI581" i="19"/>
  <c r="AH581" i="19"/>
  <c r="AD581" i="19"/>
  <c r="W581" i="19"/>
  <c r="AI580" i="19"/>
  <c r="AH580" i="19"/>
  <c r="AD580" i="19"/>
  <c r="W580" i="19"/>
  <c r="AI579" i="19"/>
  <c r="AH579" i="19"/>
  <c r="AD579" i="19"/>
  <c r="W579" i="19"/>
  <c r="AI578" i="19"/>
  <c r="AH578" i="19"/>
  <c r="AD578" i="19"/>
  <c r="W578" i="19"/>
  <c r="AI577" i="19"/>
  <c r="AH577" i="19"/>
  <c r="AD577" i="19"/>
  <c r="W577" i="19"/>
  <c r="AI576" i="19"/>
  <c r="AH576" i="19"/>
  <c r="AD576" i="19"/>
  <c r="W576" i="19"/>
  <c r="AI575" i="19"/>
  <c r="AH575" i="19"/>
  <c r="AD575" i="19"/>
  <c r="W575" i="19"/>
  <c r="AI574" i="19"/>
  <c r="AH574" i="19"/>
  <c r="AD574" i="19"/>
  <c r="W574" i="19"/>
  <c r="AI573" i="19"/>
  <c r="AH573" i="19"/>
  <c r="AD573" i="19"/>
  <c r="W573" i="19"/>
  <c r="AI572" i="19"/>
  <c r="AH572" i="19"/>
  <c r="AD572" i="19"/>
  <c r="W572" i="19"/>
  <c r="AI571" i="19"/>
  <c r="AH571" i="19"/>
  <c r="AD571" i="19"/>
  <c r="W571" i="19"/>
  <c r="AI570" i="19"/>
  <c r="AH570" i="19"/>
  <c r="AD570" i="19"/>
  <c r="W570" i="19"/>
  <c r="AI569" i="19"/>
  <c r="AH569" i="19"/>
  <c r="AD569" i="19"/>
  <c r="W569" i="19"/>
  <c r="AI568" i="19"/>
  <c r="AH568" i="19"/>
  <c r="AD568" i="19"/>
  <c r="W568" i="19"/>
  <c r="AI567" i="19"/>
  <c r="AH567" i="19"/>
  <c r="AD567" i="19"/>
  <c r="W567" i="19"/>
  <c r="AI566" i="19"/>
  <c r="AH566" i="19"/>
  <c r="AD566" i="19"/>
  <c r="W566" i="19"/>
  <c r="AI565" i="19"/>
  <c r="AH565" i="19"/>
  <c r="AD565" i="19"/>
  <c r="W565" i="19"/>
  <c r="AI564" i="19"/>
  <c r="AH564" i="19"/>
  <c r="AD564" i="19"/>
  <c r="W564" i="19"/>
  <c r="AI563" i="19"/>
  <c r="AH563" i="19"/>
  <c r="AD563" i="19"/>
  <c r="W563" i="19"/>
  <c r="AI562" i="19"/>
  <c r="AH562" i="19"/>
  <c r="AD562" i="19"/>
  <c r="W562" i="19"/>
  <c r="AI561" i="19"/>
  <c r="AH561" i="19"/>
  <c r="AD561" i="19"/>
  <c r="W561" i="19"/>
  <c r="AI560" i="19"/>
  <c r="AH560" i="19"/>
  <c r="AD560" i="19"/>
  <c r="W560" i="19"/>
  <c r="AI559" i="19"/>
  <c r="AH559" i="19"/>
  <c r="AD559" i="19"/>
  <c r="W559" i="19"/>
  <c r="AI558" i="19"/>
  <c r="AH558" i="19"/>
  <c r="AD558" i="19"/>
  <c r="W558" i="19"/>
  <c r="AI557" i="19"/>
  <c r="AH557" i="19"/>
  <c r="AD557" i="19"/>
  <c r="W557" i="19"/>
  <c r="W541" i="19"/>
  <c r="W535" i="19"/>
  <c r="AD524" i="19"/>
  <c r="W524" i="19"/>
  <c r="AD523" i="19"/>
  <c r="W523" i="19"/>
  <c r="W515" i="19"/>
  <c r="AD509" i="19"/>
  <c r="W509" i="19"/>
  <c r="AD508" i="19"/>
  <c r="W508" i="19"/>
  <c r="W504" i="19"/>
  <c r="W503" i="19"/>
  <c r="W502" i="19"/>
  <c r="W501" i="19"/>
  <c r="W500" i="19"/>
  <c r="W495" i="19"/>
  <c r="W494" i="19"/>
  <c r="W493" i="19"/>
  <c r="W492" i="19"/>
  <c r="W491" i="19"/>
  <c r="W490" i="19"/>
  <c r="W489" i="19"/>
  <c r="W488" i="19"/>
  <c r="AD475" i="19"/>
  <c r="W475" i="19"/>
  <c r="AD474" i="19"/>
  <c r="W474" i="19"/>
  <c r="AD473" i="19"/>
  <c r="W473" i="19"/>
  <c r="AD472" i="19"/>
  <c r="W472" i="19"/>
  <c r="AD471" i="19"/>
  <c r="W471" i="19"/>
  <c r="AD470" i="19"/>
  <c r="W470" i="19"/>
  <c r="W464" i="19"/>
  <c r="AD421" i="19"/>
  <c r="AD420" i="19"/>
  <c r="AD419" i="19"/>
  <c r="AD418" i="19"/>
  <c r="W418" i="19"/>
  <c r="AD417" i="19"/>
  <c r="AD416" i="19"/>
  <c r="AD415" i="19"/>
  <c r="AD414" i="19"/>
  <c r="AD413" i="19"/>
  <c r="AD412" i="19"/>
  <c r="AD411" i="19"/>
  <c r="AD410" i="19"/>
  <c r="AD409" i="19"/>
  <c r="AD408" i="19"/>
  <c r="W408" i="19"/>
  <c r="AD407" i="19"/>
  <c r="W407" i="19"/>
  <c r="AD406" i="19"/>
  <c r="AD405" i="19"/>
  <c r="AD404" i="19"/>
  <c r="AD403" i="19"/>
  <c r="W403" i="19"/>
  <c r="AD402" i="19"/>
  <c r="W402" i="19"/>
  <c r="AD401" i="19"/>
  <c r="W401" i="19"/>
  <c r="AD400" i="19"/>
  <c r="W400" i="19"/>
  <c r="AD394" i="19"/>
  <c r="W394" i="19"/>
  <c r="AD348" i="19"/>
  <c r="W348" i="19"/>
  <c r="W306" i="19"/>
  <c r="AI305" i="19"/>
  <c r="AH305" i="19"/>
  <c r="AD305" i="19"/>
  <c r="W305" i="19"/>
  <c r="AD296" i="19"/>
  <c r="W296" i="19"/>
  <c r="AD295" i="19"/>
  <c r="W295" i="19"/>
  <c r="AE279" i="19"/>
  <c r="AD279" i="19"/>
  <c r="W279" i="19"/>
  <c r="W244" i="19"/>
  <c r="W243" i="19"/>
  <c r="W242" i="19"/>
  <c r="AI241" i="19"/>
  <c r="AH241" i="19"/>
  <c r="AG241" i="19"/>
  <c r="AD241" i="19"/>
  <c r="O241" i="19"/>
  <c r="W241" i="19"/>
  <c r="AD215" i="19"/>
  <c r="W215" i="19"/>
  <c r="AD214" i="19"/>
  <c r="W214" i="19"/>
  <c r="AD213" i="19"/>
  <c r="W213" i="19"/>
  <c r="AD212" i="19"/>
  <c r="W212" i="19"/>
  <c r="W209" i="19"/>
  <c r="W208" i="19"/>
  <c r="W207" i="19"/>
  <c r="W206" i="19"/>
  <c r="W205" i="19"/>
  <c r="W204" i="19"/>
  <c r="W203" i="19"/>
  <c r="W202" i="19"/>
  <c r="W201" i="19"/>
  <c r="W200" i="19"/>
  <c r="W199" i="19"/>
  <c r="W198" i="19"/>
  <c r="W197" i="19"/>
  <c r="W196" i="19"/>
  <c r="W195" i="19"/>
  <c r="W194" i="19"/>
  <c r="W193" i="19"/>
  <c r="W192" i="19"/>
  <c r="AD178" i="19"/>
  <c r="U178" i="19"/>
  <c r="T178" i="19"/>
  <c r="W178" i="19"/>
  <c r="AD177" i="19"/>
  <c r="U177" i="19"/>
  <c r="T177" i="19"/>
  <c r="W177" i="19"/>
  <c r="AD176" i="19"/>
  <c r="U176" i="19"/>
  <c r="T176" i="19"/>
  <c r="W176" i="19"/>
  <c r="AD175" i="19"/>
  <c r="U175" i="19"/>
  <c r="T175" i="19"/>
  <c r="W175" i="19"/>
  <c r="AD174" i="19"/>
  <c r="U174" i="19"/>
  <c r="T174" i="19"/>
  <c r="W174" i="19"/>
  <c r="AD173" i="19"/>
  <c r="U173" i="19"/>
  <c r="T173" i="19"/>
  <c r="W173" i="19"/>
  <c r="AD172" i="19"/>
  <c r="U172" i="19"/>
  <c r="T172" i="19"/>
  <c r="W172" i="19"/>
  <c r="AD169" i="19"/>
  <c r="W169" i="19"/>
  <c r="AD168" i="19"/>
  <c r="W168" i="19"/>
  <c r="AD156" i="19"/>
  <c r="O156" i="19"/>
  <c r="W156" i="19"/>
  <c r="AD155" i="19"/>
  <c r="O155" i="19"/>
  <c r="W155" i="19"/>
  <c r="AD154" i="19"/>
  <c r="O154" i="19"/>
  <c r="W154" i="19"/>
  <c r="W139" i="19"/>
  <c r="W138" i="19"/>
  <c r="W141" i="19"/>
  <c r="W140" i="19"/>
  <c r="AQ114" i="19"/>
  <c r="W114" i="19"/>
  <c r="AQ113" i="19"/>
  <c r="W113" i="19"/>
  <c r="W82" i="19"/>
  <c r="AC74" i="19"/>
  <c r="AD74" i="19" s="1"/>
  <c r="W74" i="19"/>
  <c r="AD65" i="19"/>
  <c r="W65" i="19"/>
  <c r="AD59" i="19"/>
  <c r="W59" i="19"/>
  <c r="AD64" i="19"/>
  <c r="W64" i="19"/>
  <c r="AD58" i="19"/>
  <c r="W58" i="19"/>
  <c r="AD63" i="19"/>
  <c r="W63" i="19"/>
  <c r="AD57" i="19"/>
  <c r="W57" i="19"/>
  <c r="AD62" i="19"/>
  <c r="W62" i="19"/>
  <c r="AD56" i="19"/>
  <c r="W56" i="19"/>
  <c r="AD61" i="19"/>
  <c r="W61" i="19"/>
  <c r="AD55" i="19"/>
  <c r="W55" i="19"/>
  <c r="AD60" i="19"/>
  <c r="W60" i="19"/>
  <c r="AD54" i="19"/>
  <c r="W54" i="19"/>
  <c r="AD53" i="19"/>
  <c r="W53" i="19"/>
  <c r="O38" i="19"/>
  <c r="W38" i="19"/>
  <c r="AD30" i="19"/>
  <c r="W30" i="19"/>
  <c r="AD26" i="19"/>
  <c r="W26" i="19"/>
  <c r="AD25" i="19"/>
  <c r="W25" i="19"/>
  <c r="AC10" i="19"/>
  <c r="AD10" i="19" s="1"/>
  <c r="W10" i="19"/>
  <c r="AC9" i="19"/>
  <c r="AD9" i="19" s="1"/>
  <c r="W9" i="19"/>
  <c r="AC8" i="19"/>
  <c r="AD8" i="19" s="1"/>
  <c r="W8" i="19"/>
  <c r="AC7" i="19"/>
  <c r="AD7" i="19" s="1"/>
  <c r="W7" i="19"/>
  <c r="O996" i="2"/>
  <c r="O989" i="2"/>
  <c r="O994" i="2"/>
  <c r="O985" i="2"/>
  <c r="O984" i="2"/>
  <c r="O983" i="2"/>
  <c r="O982" i="2"/>
  <c r="O981" i="2"/>
  <c r="O980" i="2"/>
  <c r="O979" i="2"/>
  <c r="O978" i="2"/>
  <c r="O990" i="2"/>
  <c r="O988" i="2"/>
  <c r="O987" i="2"/>
  <c r="O986" i="2"/>
  <c r="O993" i="2"/>
  <c r="O995" i="2"/>
  <c r="O992" i="2"/>
  <c r="O991" i="2"/>
  <c r="O965" i="2"/>
  <c r="O964" i="2"/>
  <c r="O963" i="2"/>
  <c r="O966" i="2"/>
  <c r="Q960" i="2"/>
  <c r="N960" i="2"/>
  <c r="O960" i="2" s="1"/>
  <c r="N961" i="2"/>
  <c r="O961" i="2" s="1"/>
  <c r="N959" i="2"/>
  <c r="O959" i="2" s="1"/>
  <c r="Q961" i="2"/>
  <c r="Q959" i="2"/>
  <c r="O958" i="2"/>
  <c r="Q958" i="2"/>
  <c r="Q957" i="2"/>
  <c r="O957" i="2"/>
  <c r="Q943" i="2"/>
  <c r="O943" i="2"/>
  <c r="Q942" i="2"/>
  <c r="O942" i="2"/>
  <c r="Q941" i="2"/>
  <c r="O941" i="2"/>
  <c r="Q940" i="2"/>
  <c r="O940" i="2"/>
  <c r="Q917" i="2"/>
  <c r="O917" i="2"/>
  <c r="Q918" i="2"/>
  <c r="O918" i="2"/>
  <c r="Q877" i="2"/>
  <c r="Q872" i="2"/>
  <c r="O872" i="2"/>
  <c r="Q832" i="2"/>
  <c r="O832" i="2"/>
  <c r="Q808" i="2"/>
  <c r="O808" i="2"/>
  <c r="Q807" i="2"/>
  <c r="O807" i="2"/>
  <c r="Q806" i="2"/>
  <c r="O806" i="2"/>
  <c r="Q805" i="2"/>
  <c r="O805" i="2"/>
  <c r="Q804" i="2"/>
  <c r="O804" i="2"/>
  <c r="Q809" i="2"/>
  <c r="O809" i="2"/>
  <c r="U763" i="2"/>
  <c r="O763" i="2"/>
  <c r="U764" i="2"/>
  <c r="O764" i="2"/>
  <c r="Q714" i="2"/>
  <c r="O714" i="2"/>
  <c r="Q712" i="2"/>
  <c r="O712" i="2"/>
  <c r="Q710" i="2"/>
  <c r="O710" i="2"/>
  <c r="Q708" i="2"/>
  <c r="O708" i="2"/>
  <c r="Q706" i="2"/>
  <c r="O706" i="2"/>
  <c r="Q713" i="2"/>
  <c r="O713" i="2"/>
  <c r="Q711" i="2"/>
  <c r="O711" i="2"/>
  <c r="Q709" i="2"/>
  <c r="O709" i="2"/>
  <c r="O707" i="2"/>
  <c r="Q715" i="2"/>
  <c r="O715" i="2"/>
  <c r="O692" i="2"/>
  <c r="Q691" i="2"/>
  <c r="O691" i="2"/>
  <c r="O671" i="2"/>
  <c r="O670" i="2"/>
  <c r="O669" i="2"/>
  <c r="O668" i="2"/>
  <c r="O667" i="2"/>
  <c r="O666" i="2"/>
  <c r="O665" i="2"/>
  <c r="O664" i="2"/>
  <c r="O663" i="2"/>
  <c r="O662" i="2"/>
  <c r="O661" i="2"/>
  <c r="O660" i="2"/>
  <c r="O659" i="2"/>
  <c r="O658" i="2"/>
  <c r="O657" i="2"/>
  <c r="O656" i="2"/>
  <c r="O679" i="2"/>
  <c r="O678" i="2"/>
  <c r="O677" i="2"/>
  <c r="O676" i="2"/>
  <c r="O675" i="2"/>
  <c r="O674" i="2"/>
  <c r="O673" i="2"/>
  <c r="O672" i="2"/>
  <c r="O683" i="2"/>
  <c r="O682" i="2"/>
  <c r="O681" i="2"/>
  <c r="O680" i="2"/>
  <c r="O684" i="2"/>
  <c r="Q630" i="2"/>
  <c r="O630" i="2"/>
  <c r="O625" i="2"/>
  <c r="Q619" i="2"/>
  <c r="Q625" i="2"/>
  <c r="O619" i="2"/>
  <c r="O618" i="2" l="1"/>
  <c r="O572" i="2"/>
  <c r="Q566" i="2"/>
  <c r="O566" i="2"/>
  <c r="Q565" i="2"/>
  <c r="O565" i="2"/>
  <c r="P521" i="2"/>
  <c r="Q521" i="2" s="1"/>
  <c r="O521" i="2"/>
  <c r="P520" i="2"/>
  <c r="Q520" i="2" s="1"/>
  <c r="O520" i="2"/>
  <c r="P519" i="2"/>
  <c r="Q519" i="2" s="1"/>
  <c r="O519" i="2"/>
  <c r="P518" i="2"/>
  <c r="Q518" i="2" s="1"/>
  <c r="O518" i="2"/>
  <c r="O522" i="2"/>
  <c r="P522" i="2"/>
  <c r="Q522" i="2" s="1"/>
  <c r="Q516" i="2"/>
  <c r="O516" i="2"/>
  <c r="Q515" i="2"/>
  <c r="O515" i="2"/>
  <c r="Q514" i="2"/>
  <c r="O514" i="2"/>
  <c r="Q513" i="2"/>
  <c r="O513" i="2"/>
  <c r="Q512" i="2"/>
  <c r="O512" i="2"/>
  <c r="Q511" i="2"/>
  <c r="O511" i="2"/>
  <c r="Q510" i="2"/>
  <c r="O510" i="2"/>
  <c r="Q517" i="2"/>
  <c r="O517" i="2"/>
  <c r="Q496" i="2"/>
  <c r="O496" i="2"/>
  <c r="Q495" i="2"/>
  <c r="O495" i="2"/>
  <c r="Q494" i="2"/>
  <c r="O494" i="2"/>
  <c r="Q493" i="2"/>
  <c r="O493" i="2"/>
  <c r="Q497" i="2"/>
  <c r="O497" i="2"/>
  <c r="Q498" i="2"/>
  <c r="O498" i="2"/>
  <c r="Q483" i="2"/>
  <c r="O483" i="2"/>
  <c r="Q432" i="2"/>
  <c r="Q430" i="2"/>
  <c r="O430" i="2"/>
  <c r="Q429" i="2"/>
  <c r="O429" i="2"/>
  <c r="Q428" i="2"/>
  <c r="O428" i="2"/>
  <c r="Q427" i="2"/>
  <c r="O427" i="2"/>
  <c r="O435" i="2"/>
  <c r="O434" i="2"/>
  <c r="O445" i="2"/>
  <c r="AH422" i="2"/>
  <c r="O422" i="2"/>
  <c r="Q374" i="2"/>
  <c r="O374" i="2"/>
  <c r="Q336" i="2"/>
  <c r="O336" i="2"/>
  <c r="Q329" i="2"/>
  <c r="O329" i="2"/>
  <c r="BU335" i="2"/>
  <c r="BT335" i="2"/>
  <c r="BJ335" i="2"/>
  <c r="BI335" i="2"/>
  <c r="Q335" i="2"/>
  <c r="O335" i="2"/>
  <c r="Q330" i="2"/>
  <c r="O330" i="2"/>
  <c r="Q322" i="2"/>
  <c r="O322" i="2"/>
  <c r="Q272" i="2"/>
  <c r="O272" i="2"/>
  <c r="Q271" i="2"/>
  <c r="O271" i="2"/>
  <c r="Q273" i="2"/>
  <c r="O273" i="2"/>
  <c r="U270" i="2"/>
  <c r="O270" i="2"/>
  <c r="Q236" i="2"/>
  <c r="O236" i="2"/>
  <c r="Q235" i="2"/>
  <c r="O235" i="2"/>
  <c r="Q234" i="2"/>
  <c r="O234" i="2"/>
  <c r="Q237" i="2"/>
  <c r="O237" i="2"/>
  <c r="Q227" i="2"/>
  <c r="O227" i="2"/>
  <c r="Q226" i="2"/>
  <c r="O226" i="2"/>
  <c r="Q219" i="2"/>
  <c r="O219" i="2"/>
  <c r="Q218" i="2"/>
  <c r="O218" i="2"/>
  <c r="Q217" i="2"/>
  <c r="O217" i="2"/>
  <c r="Q216" i="2"/>
  <c r="O216" i="2"/>
  <c r="Q215" i="2"/>
  <c r="O215" i="2"/>
  <c r="Q214" i="2"/>
  <c r="O214" i="2"/>
  <c r="Q213" i="2"/>
  <c r="O213" i="2"/>
  <c r="Q212" i="2"/>
  <c r="O212" i="2"/>
  <c r="Q223" i="2"/>
  <c r="O223" i="2"/>
  <c r="Q222" i="2"/>
  <c r="O222" i="2"/>
  <c r="Q221" i="2"/>
  <c r="O221" i="2"/>
  <c r="Q220" i="2"/>
  <c r="O220" i="2"/>
  <c r="Q228" i="2"/>
  <c r="O228" i="2"/>
  <c r="Q225" i="2"/>
  <c r="O225" i="2"/>
  <c r="Q224" i="2"/>
  <c r="O224" i="2"/>
  <c r="Q229" i="2"/>
  <c r="O229" i="2"/>
  <c r="AF186" i="2"/>
  <c r="AE186" i="2"/>
  <c r="AA186" i="2"/>
  <c r="Z186" i="2"/>
  <c r="Q186" i="2"/>
  <c r="O186" i="2"/>
  <c r="AF185" i="2"/>
  <c r="AE185" i="2"/>
  <c r="AA185" i="2"/>
  <c r="Z185" i="2"/>
  <c r="Q185" i="2"/>
  <c r="O185" i="2"/>
  <c r="AF184" i="2"/>
  <c r="AE184" i="2"/>
  <c r="AA184" i="2"/>
  <c r="Z184" i="2"/>
  <c r="Q184" i="2"/>
  <c r="O184" i="2"/>
  <c r="AF183" i="2"/>
  <c r="AE183" i="2"/>
  <c r="AA183" i="2"/>
  <c r="Z183" i="2"/>
  <c r="Q183" i="2"/>
  <c r="O183" i="2"/>
  <c r="AF182" i="2"/>
  <c r="AE182" i="2"/>
  <c r="AA182" i="2"/>
  <c r="Z182" i="2"/>
  <c r="Q182" i="2"/>
  <c r="O182" i="2"/>
  <c r="AF181" i="2"/>
  <c r="AE181" i="2"/>
  <c r="AA181" i="2"/>
  <c r="Z181" i="2"/>
  <c r="Q181" i="2"/>
  <c r="O181" i="2"/>
  <c r="AF187" i="2"/>
  <c r="AE187" i="2"/>
  <c r="AA187" i="2"/>
  <c r="Z187" i="2"/>
  <c r="Q187" i="2"/>
  <c r="O187" i="2"/>
  <c r="O175" i="2"/>
  <c r="O176" i="2"/>
  <c r="U161" i="2"/>
  <c r="Q161" i="2"/>
  <c r="O161" i="2"/>
  <c r="U160" i="2"/>
  <c r="Q160" i="2"/>
  <c r="O160" i="2"/>
  <c r="U162" i="2"/>
  <c r="Q162" i="2"/>
  <c r="O162" i="2"/>
  <c r="O147" i="2"/>
  <c r="O144" i="2"/>
  <c r="O145" i="2"/>
  <c r="O146" i="2"/>
  <c r="Q145" i="2"/>
  <c r="Q144" i="2"/>
  <c r="Q147" i="2"/>
  <c r="Q146" i="2"/>
  <c r="O123" i="2"/>
  <c r="O124" i="2"/>
  <c r="O87" i="2"/>
  <c r="O79" i="2"/>
  <c r="O69" i="2"/>
  <c r="O68" i="2"/>
  <c r="O67" i="2"/>
  <c r="O66" i="2"/>
  <c r="O65" i="2"/>
  <c r="O70" i="2"/>
  <c r="O74" i="2"/>
  <c r="O73" i="2"/>
  <c r="O72" i="2"/>
  <c r="O71" i="2"/>
  <c r="O64" i="2"/>
  <c r="O63" i="2"/>
  <c r="O75" i="2"/>
  <c r="U51" i="2"/>
  <c r="O51" i="2"/>
  <c r="Q51" i="2"/>
  <c r="BD49" i="2"/>
  <c r="BC49" i="2" s="1"/>
  <c r="BO48" i="2"/>
  <c r="BN48" i="2" s="1"/>
  <c r="BD48" i="2"/>
  <c r="BC48" i="2" s="1"/>
  <c r="BO46" i="2"/>
  <c r="BN46" i="2" s="1"/>
  <c r="BD46" i="2"/>
  <c r="BC46" i="2" s="1"/>
  <c r="BO47" i="2"/>
  <c r="BN47" i="2" s="1"/>
  <c r="BD47" i="2"/>
  <c r="BC47" i="2" s="1"/>
  <c r="BO49" i="2"/>
  <c r="BN49" i="2" s="1"/>
  <c r="O45" i="2"/>
  <c r="Q39" i="2"/>
  <c r="O39" i="2"/>
  <c r="Q40" i="2"/>
  <c r="Q21" i="2"/>
  <c r="O40" i="2"/>
  <c r="AS19" i="2"/>
  <c r="AR19" i="2"/>
  <c r="AS18" i="2"/>
  <c r="AR18" i="2"/>
  <c r="AS17" i="2"/>
  <c r="AR17" i="2"/>
  <c r="Q20" i="2"/>
  <c r="O20" i="2"/>
  <c r="Q19" i="2"/>
  <c r="O19" i="2"/>
  <c r="Q18" i="2"/>
  <c r="O18" i="2"/>
  <c r="Q17" i="2"/>
  <c r="O17" i="2"/>
  <c r="Q22" i="2"/>
  <c r="Q972" i="2"/>
  <c r="Q970" i="2"/>
  <c r="Q968" i="2"/>
  <c r="Q971" i="2"/>
  <c r="Q969" i="2"/>
  <c r="Q967" i="2"/>
  <c r="O972" i="2"/>
  <c r="O970" i="2"/>
  <c r="O968" i="2"/>
  <c r="O971" i="2"/>
  <c r="O969" i="2"/>
  <c r="O967" i="2"/>
  <c r="W531" i="19"/>
  <c r="W532" i="19"/>
  <c r="W533" i="19"/>
  <c r="W534" i="19"/>
  <c r="W530" i="19"/>
  <c r="Q476" i="2"/>
  <c r="O476" i="2"/>
  <c r="W456" i="19"/>
  <c r="AF367" i="19"/>
  <c r="W367" i="19"/>
  <c r="Q394" i="2"/>
  <c r="O394" i="2"/>
  <c r="Q350" i="2"/>
  <c r="O350" i="2"/>
  <c r="W320" i="19"/>
  <c r="W184" i="19"/>
  <c r="Q197" i="2"/>
  <c r="O197" i="2"/>
  <c r="Q198" i="2"/>
  <c r="O198" i="2"/>
  <c r="O194" i="2"/>
  <c r="Q194" i="2"/>
  <c r="O195" i="2"/>
  <c r="Q195" i="2"/>
  <c r="O196" i="2"/>
  <c r="Q196" i="2"/>
  <c r="Q193" i="2"/>
  <c r="O193" i="2"/>
  <c r="AD778" i="19"/>
  <c r="AD777" i="19"/>
  <c r="W778" i="19"/>
  <c r="W777" i="19"/>
  <c r="AD732" i="19"/>
  <c r="W732" i="19"/>
  <c r="Q857" i="2"/>
  <c r="Q856" i="2"/>
  <c r="Q855" i="2"/>
  <c r="O856" i="2"/>
  <c r="O857" i="2"/>
  <c r="O855" i="2"/>
  <c r="AD655" i="19"/>
  <c r="V655" i="19"/>
  <c r="W655" i="19" s="1"/>
  <c r="P773" i="2"/>
  <c r="Q773" i="2" s="1"/>
  <c r="N773" i="2"/>
  <c r="O773" i="2" s="1"/>
  <c r="AD652" i="19"/>
  <c r="AD653" i="19"/>
  <c r="AD654" i="19"/>
  <c r="AD651" i="19"/>
  <c r="W652" i="19"/>
  <c r="W653" i="19"/>
  <c r="W654" i="19"/>
  <c r="W651" i="19"/>
  <c r="Q772" i="2"/>
  <c r="Q771" i="2"/>
  <c r="Q770" i="2"/>
  <c r="Q769" i="2"/>
  <c r="O772" i="2"/>
  <c r="O771" i="2"/>
  <c r="O770" i="2"/>
  <c r="O769" i="2"/>
  <c r="W627" i="19" l="1"/>
  <c r="W628" i="19"/>
  <c r="W629" i="19"/>
  <c r="W630" i="19"/>
  <c r="W631" i="19"/>
  <c r="W632" i="19"/>
  <c r="W633" i="19"/>
  <c r="W634" i="19"/>
  <c r="W635" i="19"/>
  <c r="W636" i="19"/>
  <c r="W637" i="19"/>
  <c r="W638" i="19"/>
  <c r="W639" i="19"/>
  <c r="W640" i="19"/>
  <c r="W626" i="19"/>
  <c r="O743" i="2"/>
  <c r="Q743" i="2"/>
  <c r="O744" i="2"/>
  <c r="Q744" i="2"/>
  <c r="O745" i="2"/>
  <c r="Q745" i="2"/>
  <c r="O746" i="2"/>
  <c r="Q746" i="2"/>
  <c r="O747" i="2"/>
  <c r="Q747" i="2"/>
  <c r="O748" i="2"/>
  <c r="Q748" i="2"/>
  <c r="O749" i="2"/>
  <c r="Q749" i="2"/>
  <c r="O750" i="2"/>
  <c r="Q750" i="2"/>
  <c r="O751" i="2"/>
  <c r="Q751" i="2"/>
  <c r="O752" i="2"/>
  <c r="Q752" i="2"/>
  <c r="O753" i="2"/>
  <c r="Q753" i="2"/>
  <c r="O754" i="2"/>
  <c r="Q754" i="2"/>
  <c r="O755" i="2"/>
  <c r="Q755" i="2"/>
  <c r="O756" i="2"/>
  <c r="Q756" i="2"/>
  <c r="Q742" i="2"/>
  <c r="O742" i="2"/>
  <c r="O741" i="2"/>
  <c r="AD624" i="19"/>
  <c r="AD625" i="19"/>
  <c r="AD623" i="19"/>
  <c r="W625" i="19"/>
  <c r="W624" i="19"/>
  <c r="W623" i="19"/>
  <c r="O740" i="2"/>
  <c r="O739" i="2"/>
  <c r="AI622" i="19"/>
  <c r="AH622" i="19"/>
  <c r="AG622" i="19"/>
  <c r="AI621" i="19"/>
  <c r="AH621" i="19"/>
  <c r="AG621" i="19"/>
  <c r="W622" i="19"/>
  <c r="W621" i="19"/>
  <c r="Q738" i="2"/>
  <c r="Q737" i="2"/>
  <c r="O738" i="2"/>
  <c r="O737" i="2"/>
  <c r="Q694" i="2"/>
  <c r="Q693" i="2"/>
  <c r="O694" i="2"/>
  <c r="O693" i="2"/>
  <c r="AD596" i="19"/>
  <c r="AD595" i="19"/>
  <c r="W596" i="19"/>
  <c r="W595" i="19"/>
  <c r="W422" i="19"/>
  <c r="O449" i="2"/>
  <c r="AD369" i="19"/>
  <c r="W369" i="19"/>
  <c r="Q395" i="2"/>
  <c r="O395" i="2"/>
  <c r="AD350" i="19"/>
  <c r="AD351" i="19"/>
  <c r="AD352" i="19"/>
  <c r="AD353" i="19"/>
  <c r="AD354" i="19"/>
  <c r="AD355" i="19"/>
  <c r="AD356" i="19"/>
  <c r="AD357" i="19"/>
  <c r="AD358" i="19"/>
  <c r="AD349" i="19"/>
  <c r="W350" i="19"/>
  <c r="W351" i="19"/>
  <c r="W352" i="19"/>
  <c r="W353" i="19"/>
  <c r="W354" i="19"/>
  <c r="W355" i="19"/>
  <c r="W356" i="19"/>
  <c r="W357" i="19"/>
  <c r="W358" i="19"/>
  <c r="W349" i="19"/>
  <c r="Q376" i="2"/>
  <c r="Q377" i="2"/>
  <c r="Q378" i="2"/>
  <c r="Q379" i="2"/>
  <c r="Q380" i="2"/>
  <c r="Q381" i="2"/>
  <c r="Q382" i="2"/>
  <c r="Q383" i="2"/>
  <c r="Q384" i="2"/>
  <c r="Q375" i="2"/>
  <c r="O376" i="2"/>
  <c r="O377" i="2"/>
  <c r="O378" i="2"/>
  <c r="O379" i="2"/>
  <c r="O380" i="2"/>
  <c r="O381" i="2"/>
  <c r="O382" i="2"/>
  <c r="O383" i="2"/>
  <c r="O384" i="2"/>
  <c r="O375" i="2"/>
  <c r="AD337" i="19"/>
  <c r="W337" i="19"/>
  <c r="Q369" i="2" l="1"/>
  <c r="O369" i="2"/>
  <c r="AD302" i="19"/>
  <c r="AD301" i="19"/>
  <c r="W302" i="19"/>
  <c r="W301" i="19"/>
  <c r="Q332" i="2"/>
  <c r="O332" i="2"/>
  <c r="Q331" i="2"/>
  <c r="O331" i="2"/>
  <c r="BQ42" i="19" l="1"/>
  <c r="AZ365" i="19"/>
  <c r="AY365" i="19"/>
  <c r="AX365" i="19"/>
  <c r="AZ364" i="19"/>
  <c r="AY364" i="19"/>
  <c r="AX364" i="19"/>
  <c r="AZ363" i="19"/>
  <c r="AY363" i="19"/>
  <c r="AX363" i="19"/>
  <c r="AF364" i="19"/>
  <c r="AE364" i="19"/>
  <c r="AD364" i="19"/>
  <c r="W364" i="19"/>
  <c r="AF363" i="19"/>
  <c r="AE363" i="19"/>
  <c r="AD363" i="19"/>
  <c r="W363" i="19"/>
  <c r="AZ362" i="19"/>
  <c r="AY362" i="19"/>
  <c r="AX362" i="19"/>
  <c r="AF362" i="19"/>
  <c r="AE362" i="19"/>
  <c r="AD362" i="19"/>
  <c r="W362" i="19"/>
  <c r="Q389" i="2"/>
  <c r="O389" i="2"/>
  <c r="Q388" i="2"/>
  <c r="O388" i="2"/>
  <c r="Q386" i="2"/>
  <c r="O386" i="2"/>
  <c r="AZ361" i="19"/>
  <c r="AZ360" i="19"/>
  <c r="AY361" i="19"/>
  <c r="AY360" i="19"/>
  <c r="AX361" i="19"/>
  <c r="AX360" i="19"/>
  <c r="W187" i="19"/>
  <c r="AD707" i="19"/>
  <c r="W707" i="19"/>
  <c r="AD704" i="19"/>
  <c r="W704" i="19"/>
  <c r="AD330" i="19"/>
  <c r="W330" i="19"/>
  <c r="BQ43" i="19"/>
  <c r="BQ44" i="19"/>
  <c r="W44" i="19"/>
  <c r="W43" i="19"/>
  <c r="W42" i="19"/>
  <c r="W346" i="19"/>
  <c r="W345" i="19"/>
  <c r="W344" i="19"/>
  <c r="W343" i="19"/>
  <c r="W342" i="19"/>
  <c r="W282" i="19"/>
  <c r="W281" i="19"/>
  <c r="Q324" i="2"/>
  <c r="Q323" i="2"/>
  <c r="O324" i="2"/>
  <c r="O323" i="2"/>
  <c r="Q321" i="2"/>
  <c r="O321" i="2"/>
  <c r="AD229" i="19"/>
  <c r="Q300" i="2"/>
  <c r="Q299" i="2"/>
  <c r="Q298" i="2"/>
  <c r="Q297" i="2"/>
  <c r="Q296" i="2"/>
  <c r="Q295" i="2"/>
  <c r="Q294" i="2"/>
  <c r="Q293" i="2"/>
  <c r="Q292" i="2"/>
  <c r="Q291" i="2"/>
  <c r="Q290" i="2"/>
  <c r="Q289" i="2"/>
  <c r="Q288" i="2"/>
  <c r="Q284" i="2"/>
  <c r="Q285" i="2"/>
  <c r="Q286" i="2"/>
  <c r="Q287" i="2"/>
  <c r="Q283" i="2"/>
  <c r="Q279" i="2"/>
  <c r="Q280" i="2"/>
  <c r="Q281" i="2"/>
  <c r="Q282" i="2"/>
  <c r="Q278" i="2"/>
  <c r="O279" i="2"/>
  <c r="O280" i="2"/>
  <c r="O281" i="2"/>
  <c r="O282" i="2"/>
  <c r="O283" i="2"/>
  <c r="O284" i="2"/>
  <c r="O285" i="2"/>
  <c r="O286" i="2"/>
  <c r="O287" i="2"/>
  <c r="O288" i="2"/>
  <c r="O289" i="2"/>
  <c r="O290" i="2"/>
  <c r="O291" i="2"/>
  <c r="O292" i="2"/>
  <c r="O293" i="2"/>
  <c r="O294" i="2"/>
  <c r="O295" i="2"/>
  <c r="O296" i="2"/>
  <c r="O297" i="2"/>
  <c r="O298" i="2"/>
  <c r="O299" i="2"/>
  <c r="O300" i="2"/>
  <c r="O278" i="2"/>
  <c r="Q252" i="2"/>
  <c r="O252" i="2"/>
  <c r="Q253" i="2"/>
  <c r="O253" i="2"/>
  <c r="Q169" i="2"/>
  <c r="Q170" i="2"/>
  <c r="Q171" i="2"/>
  <c r="Q172" i="2"/>
  <c r="Q173" i="2"/>
  <c r="Q174" i="2"/>
  <c r="Q168" i="2"/>
  <c r="AL167" i="19"/>
  <c r="AG167" i="19"/>
  <c r="AD167" i="19"/>
  <c r="AL166" i="19"/>
  <c r="AG166" i="19"/>
  <c r="AD166" i="19"/>
  <c r="AL165" i="19"/>
  <c r="AG165" i="19"/>
  <c r="AD165" i="19"/>
  <c r="AL164" i="19"/>
  <c r="AG164" i="19"/>
  <c r="AD164" i="19"/>
  <c r="AL162" i="19"/>
  <c r="AG162" i="19"/>
  <c r="AD162" i="19"/>
  <c r="AL161" i="19"/>
  <c r="AG161" i="19"/>
  <c r="AD161" i="19"/>
  <c r="AL163" i="19"/>
  <c r="AG163" i="19"/>
  <c r="AD163" i="19"/>
  <c r="O169" i="2"/>
  <c r="O170" i="2"/>
  <c r="O171" i="2"/>
  <c r="O172" i="2"/>
  <c r="O173" i="2"/>
  <c r="O174" i="2"/>
  <c r="O168" i="2"/>
  <c r="AG118" i="19"/>
  <c r="AH118" i="19"/>
  <c r="AI118" i="19"/>
  <c r="AI117" i="19"/>
  <c r="AH117" i="19"/>
  <c r="AG117" i="19"/>
  <c r="AD118" i="19"/>
  <c r="AD117" i="19"/>
  <c r="O127" i="2"/>
  <c r="Q127" i="2"/>
  <c r="Q126" i="2"/>
  <c r="O126" i="2"/>
  <c r="Q93" i="2"/>
  <c r="O93" i="2"/>
  <c r="AD81" i="19"/>
  <c r="Q86" i="2"/>
  <c r="O86" i="2"/>
  <c r="O85" i="2"/>
  <c r="O84" i="2"/>
  <c r="AD73" i="19"/>
  <c r="Q78" i="2"/>
  <c r="Q77" i="2"/>
  <c r="O78" i="2"/>
  <c r="O77" i="2"/>
  <c r="O58" i="2"/>
  <c r="O57" i="2"/>
  <c r="O56" i="2"/>
  <c r="O50" i="2"/>
  <c r="Q44" i="2"/>
  <c r="Q43" i="2"/>
  <c r="Q37" i="2"/>
  <c r="O37" i="2"/>
  <c r="Q33" i="2"/>
  <c r="Q32" i="2"/>
  <c r="Q31" i="2"/>
  <c r="Q30" i="2"/>
  <c r="O33" i="2"/>
  <c r="O32" i="2"/>
  <c r="O31" i="2"/>
  <c r="O30" i="2"/>
  <c r="Q29" i="2"/>
  <c r="Q28" i="2"/>
  <c r="Q27" i="2"/>
  <c r="Q26" i="2"/>
  <c r="Q25" i="2"/>
  <c r="Q24" i="2"/>
  <c r="O25" i="2"/>
  <c r="O26" i="2"/>
  <c r="O27" i="2"/>
  <c r="O28" i="2"/>
  <c r="O29" i="2"/>
  <c r="O24" i="2"/>
  <c r="Q14" i="2"/>
  <c r="Q13" i="2"/>
  <c r="Q12" i="2"/>
  <c r="Q11" i="2"/>
  <c r="Q10" i="2"/>
  <c r="Q9" i="2"/>
  <c r="Q8" i="2"/>
  <c r="Q7" i="2"/>
  <c r="Q6" i="2"/>
  <c r="Q5" i="2"/>
  <c r="Q4" i="2"/>
  <c r="Q3" i="2"/>
  <c r="O4" i="2"/>
  <c r="O5" i="2"/>
  <c r="O6" i="2"/>
  <c r="O7" i="2"/>
  <c r="O8" i="2"/>
  <c r="O9" i="2"/>
  <c r="O10" i="2"/>
  <c r="O11" i="2"/>
  <c r="O12" i="2"/>
  <c r="O13" i="2"/>
  <c r="O14" i="2"/>
  <c r="O3" i="2"/>
  <c r="AD375" i="19"/>
  <c r="AD374" i="19"/>
  <c r="AL375" i="19"/>
  <c r="W375" i="19"/>
  <c r="AL374" i="19"/>
  <c r="W374" i="19"/>
  <c r="AD852" i="19" l="1"/>
  <c r="W852" i="19"/>
  <c r="AD847" i="19"/>
  <c r="W847" i="19"/>
  <c r="Q973" i="2"/>
  <c r="O973" i="2"/>
  <c r="AD842" i="19"/>
  <c r="AD841" i="19"/>
  <c r="AD838" i="19"/>
  <c r="AD843" i="19"/>
  <c r="W843" i="19"/>
  <c r="W842" i="19"/>
  <c r="W841" i="19"/>
  <c r="AD840" i="19"/>
  <c r="W840" i="19"/>
  <c r="AD839" i="19"/>
  <c r="W839" i="19"/>
  <c r="W838" i="19"/>
  <c r="Q962" i="2"/>
  <c r="O962" i="2"/>
  <c r="AR813" i="19"/>
  <c r="AS813" i="19" s="1"/>
  <c r="AM813" i="19"/>
  <c r="AN813" i="19" s="1"/>
  <c r="AD813" i="19"/>
  <c r="AR815" i="19"/>
  <c r="AS815" i="19" s="1"/>
  <c r="AM815" i="19"/>
  <c r="AN815" i="19" s="1"/>
  <c r="AD815" i="19"/>
  <c r="AR817" i="19"/>
  <c r="AS817" i="19" s="1"/>
  <c r="AM817" i="19"/>
  <c r="AN817" i="19" s="1"/>
  <c r="AD817" i="19"/>
  <c r="AR816" i="19"/>
  <c r="AS816" i="19" s="1"/>
  <c r="AM816" i="19"/>
  <c r="AN816" i="19" s="1"/>
  <c r="AD816" i="19"/>
  <c r="AR818" i="19"/>
  <c r="AS818" i="19" s="1"/>
  <c r="AR814" i="19"/>
  <c r="AS814" i="19" s="1"/>
  <c r="AM818" i="19"/>
  <c r="AN818" i="19" s="1"/>
  <c r="AM814" i="19"/>
  <c r="AN814" i="19" s="1"/>
  <c r="AD818" i="19"/>
  <c r="AD814" i="19"/>
  <c r="AE955" i="2"/>
  <c r="AF955" i="2" s="1"/>
  <c r="Z955" i="2"/>
  <c r="AA955" i="2" s="1"/>
  <c r="Q955" i="2"/>
  <c r="O955" i="2"/>
  <c r="BI954" i="2"/>
  <c r="BJ954" i="2" s="1"/>
  <c r="AE954" i="2"/>
  <c r="AF954" i="2" s="1"/>
  <c r="Z954" i="2"/>
  <c r="AA954" i="2" s="1"/>
  <c r="Q954" i="2"/>
  <c r="O954" i="2"/>
  <c r="AE956" i="2"/>
  <c r="AF956" i="2" s="1"/>
  <c r="Z956" i="2"/>
  <c r="AA956" i="2" s="1"/>
  <c r="Q956" i="2"/>
  <c r="O956" i="2"/>
  <c r="AR810" i="19"/>
  <c r="AS810" i="19" s="1"/>
  <c r="AR809" i="19"/>
  <c r="AS809" i="19" s="1"/>
  <c r="AR811" i="19"/>
  <c r="AS811" i="19" s="1"/>
  <c r="T810" i="19"/>
  <c r="U810" i="19" s="1"/>
  <c r="T811" i="19"/>
  <c r="U811" i="19" s="1"/>
  <c r="T809" i="19"/>
  <c r="U809" i="19" s="1"/>
  <c r="AD798" i="19"/>
  <c r="W798" i="19"/>
  <c r="BQ796" i="19"/>
  <c r="Q938" i="2"/>
  <c r="O938" i="2"/>
  <c r="Q937" i="2"/>
  <c r="O937" i="2"/>
  <c r="CC796" i="19"/>
  <c r="Q939" i="2"/>
  <c r="O939" i="2"/>
  <c r="Q935" i="2"/>
  <c r="Q936" i="2"/>
  <c r="Q934" i="2"/>
  <c r="O935" i="2"/>
  <c r="O936" i="2"/>
  <c r="O934" i="2"/>
  <c r="AF791" i="19"/>
  <c r="AE791" i="19"/>
  <c r="Q932" i="2"/>
  <c r="O932" i="2"/>
  <c r="AC784" i="19"/>
  <c r="Q931" i="2"/>
  <c r="O931" i="2"/>
  <c r="Q929" i="2"/>
  <c r="O929" i="2"/>
  <c r="Q930" i="2"/>
  <c r="Q928" i="2"/>
  <c r="O930" i="2"/>
  <c r="O928" i="2"/>
  <c r="AD790" i="19"/>
  <c r="W790" i="19"/>
  <c r="AD788" i="19"/>
  <c r="W788" i="19"/>
  <c r="AD787" i="19"/>
  <c r="W787" i="19"/>
  <c r="Q926" i="2"/>
  <c r="O926" i="2"/>
  <c r="Q925" i="2"/>
  <c r="O925" i="2"/>
  <c r="Q927" i="2"/>
  <c r="O927" i="2"/>
  <c r="AF782" i="19"/>
  <c r="AE782" i="19"/>
  <c r="Q923" i="2"/>
  <c r="O923" i="2"/>
  <c r="Q922" i="2"/>
  <c r="O922" i="2"/>
  <c r="Q921" i="2"/>
  <c r="O921" i="2"/>
  <c r="Q924" i="2"/>
  <c r="O924" i="2"/>
  <c r="W779" i="19"/>
  <c r="AD772" i="19"/>
  <c r="W772" i="19"/>
  <c r="AD771" i="19"/>
  <c r="W771" i="19"/>
  <c r="Q916" i="2"/>
  <c r="O916" i="2"/>
  <c r="Q915" i="2"/>
  <c r="O915" i="2"/>
  <c r="Q914" i="2"/>
  <c r="O914" i="2"/>
  <c r="Q912" i="2"/>
  <c r="O912" i="2"/>
  <c r="Q911" i="2"/>
  <c r="O911" i="2"/>
  <c r="W770" i="19"/>
  <c r="W769" i="19"/>
  <c r="Q909" i="2"/>
  <c r="O909" i="2"/>
  <c r="Q908" i="2"/>
  <c r="O908" i="2"/>
  <c r="Q907" i="2"/>
  <c r="O907" i="2"/>
  <c r="Q906" i="2"/>
  <c r="O906" i="2"/>
  <c r="Q905" i="2"/>
  <c r="O905" i="2"/>
  <c r="Q904" i="2"/>
  <c r="O904" i="2"/>
  <c r="Q910" i="2"/>
  <c r="O910" i="2"/>
  <c r="AD767" i="19"/>
  <c r="W767" i="19"/>
  <c r="AD766" i="19"/>
  <c r="W766" i="19"/>
  <c r="AD765" i="19"/>
  <c r="W765" i="19"/>
  <c r="AD764" i="19"/>
  <c r="W764" i="19"/>
  <c r="AD763" i="19"/>
  <c r="W763" i="19"/>
  <c r="AD762" i="19"/>
  <c r="W762" i="19"/>
  <c r="Q900" i="2"/>
  <c r="O900" i="2"/>
  <c r="Q899" i="2"/>
  <c r="O899" i="2"/>
  <c r="Q898" i="2"/>
  <c r="O898" i="2"/>
  <c r="Q897" i="2"/>
  <c r="O897" i="2"/>
  <c r="Q896" i="2"/>
  <c r="O896" i="2"/>
  <c r="Q895" i="2"/>
  <c r="O895" i="2"/>
  <c r="Q894" i="2"/>
  <c r="O894" i="2"/>
  <c r="Q893" i="2"/>
  <c r="O893" i="2"/>
  <c r="Q892" i="2"/>
  <c r="O892" i="2"/>
  <c r="Q891" i="2"/>
  <c r="O891" i="2"/>
  <c r="Q889" i="2"/>
  <c r="O889" i="2"/>
  <c r="Q888" i="2"/>
  <c r="O888" i="2"/>
  <c r="Q887" i="2"/>
  <c r="O887" i="2"/>
  <c r="Q886" i="2"/>
  <c r="O886" i="2"/>
  <c r="AD758" i="19"/>
  <c r="W758" i="19"/>
  <c r="AD757" i="19"/>
  <c r="W757" i="19"/>
  <c r="AD756" i="19"/>
  <c r="W756" i="19"/>
  <c r="AD755" i="19"/>
  <c r="W755" i="19"/>
  <c r="AD751" i="19"/>
  <c r="W751" i="19"/>
  <c r="Q884" i="2"/>
  <c r="O884" i="2"/>
  <c r="Q882" i="2"/>
  <c r="O882" i="2"/>
  <c r="Q885" i="2"/>
  <c r="O885" i="2"/>
  <c r="Q883" i="2"/>
  <c r="O883" i="2"/>
  <c r="Q880" i="2"/>
  <c r="O880" i="2"/>
  <c r="Q881" i="2"/>
  <c r="O881" i="2"/>
  <c r="AD750" i="19"/>
  <c r="W750" i="19"/>
  <c r="AD749" i="19"/>
  <c r="W749" i="19"/>
  <c r="AD747" i="19"/>
  <c r="W747" i="19"/>
  <c r="AD735" i="19"/>
  <c r="W735" i="19"/>
  <c r="AD736" i="19"/>
  <c r="O866" i="2"/>
  <c r="Q864" i="2"/>
  <c r="O864" i="2"/>
  <c r="P863" i="2"/>
  <c r="S863" i="2"/>
  <c r="Q862" i="2"/>
  <c r="Q861" i="2"/>
  <c r="O862" i="2"/>
  <c r="O863" i="2"/>
  <c r="O861" i="2"/>
  <c r="Q871" i="2"/>
  <c r="O871" i="2"/>
  <c r="O869" i="2"/>
  <c r="Q869" i="2"/>
  <c r="Q854" i="2"/>
  <c r="Q853" i="2"/>
  <c r="Q852" i="2"/>
  <c r="Q851" i="2"/>
  <c r="Q850" i="2"/>
  <c r="Q849" i="2"/>
  <c r="O849" i="2"/>
  <c r="Q843" i="2"/>
  <c r="Q842" i="2"/>
  <c r="O843" i="2"/>
  <c r="O842" i="2"/>
  <c r="AD724" i="19"/>
  <c r="Q840" i="2"/>
  <c r="O840" i="2"/>
  <c r="Q863" i="2" l="1"/>
  <c r="Q838" i="2"/>
  <c r="O838" i="2"/>
  <c r="Q837" i="2"/>
  <c r="O837" i="2"/>
  <c r="Q836" i="2"/>
  <c r="O836" i="2"/>
  <c r="Q835" i="2"/>
  <c r="O835" i="2"/>
  <c r="Q839" i="2"/>
  <c r="O839" i="2"/>
  <c r="AD722" i="19"/>
  <c r="W722" i="19"/>
  <c r="AD718" i="19"/>
  <c r="W718" i="19"/>
  <c r="AD720" i="19"/>
  <c r="W720" i="19"/>
  <c r="AD719" i="19"/>
  <c r="W719" i="19"/>
  <c r="Q831" i="2"/>
  <c r="O831" i="2"/>
  <c r="AD712" i="19"/>
  <c r="W712" i="19"/>
  <c r="AD711" i="19"/>
  <c r="W711" i="19"/>
  <c r="AD710" i="19"/>
  <c r="W710" i="19"/>
  <c r="AD709" i="19"/>
  <c r="W709" i="19"/>
  <c r="AD708" i="19"/>
  <c r="W708" i="19"/>
  <c r="AC706" i="19"/>
  <c r="Q830" i="2"/>
  <c r="Q829" i="2"/>
  <c r="Q828" i="2"/>
  <c r="Q827" i="2"/>
  <c r="Q826" i="2"/>
  <c r="O830" i="2"/>
  <c r="O829" i="2"/>
  <c r="O826" i="2"/>
  <c r="O827" i="2"/>
  <c r="O828" i="2"/>
  <c r="O825" i="2"/>
  <c r="Q825" i="2"/>
  <c r="AC701" i="19"/>
  <c r="AC702" i="19"/>
  <c r="AC703" i="19"/>
  <c r="AC700" i="19"/>
  <c r="Q824" i="2"/>
  <c r="O824" i="2"/>
  <c r="Q823" i="2"/>
  <c r="O823" i="2"/>
  <c r="Q822" i="2"/>
  <c r="O822" i="2"/>
  <c r="Q821" i="2"/>
  <c r="O821" i="2"/>
  <c r="Q820" i="2"/>
  <c r="O820" i="2"/>
  <c r="Q819" i="2"/>
  <c r="Q818" i="2"/>
  <c r="Q817" i="2"/>
  <c r="Q816" i="2"/>
  <c r="Q815" i="2"/>
  <c r="Q814" i="2"/>
  <c r="Q813" i="2"/>
  <c r="Q812" i="2"/>
  <c r="Q811" i="2"/>
  <c r="Q810" i="2"/>
  <c r="O819" i="2"/>
  <c r="O818" i="2"/>
  <c r="O817" i="2"/>
  <c r="O816" i="2"/>
  <c r="O815" i="2"/>
  <c r="O814" i="2"/>
  <c r="O813" i="2"/>
  <c r="O812" i="2"/>
  <c r="O811" i="2"/>
  <c r="O810" i="2"/>
  <c r="O802" i="2"/>
  <c r="AC692" i="19"/>
  <c r="AD692" i="19" s="1"/>
  <c r="W692" i="19"/>
  <c r="AQ687" i="19"/>
  <c r="AR687" i="19"/>
  <c r="AS687" i="19"/>
  <c r="AQ688" i="19"/>
  <c r="AR688" i="19"/>
  <c r="AS688" i="19"/>
  <c r="AS686" i="19"/>
  <c r="AR686" i="19"/>
  <c r="AQ686" i="19"/>
  <c r="AS685" i="19"/>
  <c r="AR685" i="19"/>
  <c r="AQ685" i="19"/>
  <c r="AS684" i="19"/>
  <c r="AR684" i="19"/>
  <c r="AQ684" i="19"/>
  <c r="Q798" i="2"/>
  <c r="O798" i="2"/>
  <c r="Q797" i="2"/>
  <c r="O797" i="2"/>
  <c r="Q796" i="2"/>
  <c r="O796" i="2"/>
  <c r="Q799" i="2"/>
  <c r="O799" i="2"/>
  <c r="O793" i="2"/>
  <c r="Q793" i="2"/>
  <c r="Q795" i="2"/>
  <c r="O795" i="2"/>
  <c r="Q794" i="2"/>
  <c r="O794" i="2"/>
  <c r="Q792" i="2"/>
  <c r="O792" i="2"/>
  <c r="AD670" i="19"/>
  <c r="W670" i="19"/>
  <c r="AD669" i="19"/>
  <c r="W669" i="19"/>
  <c r="AD668" i="19"/>
  <c r="W668" i="19"/>
  <c r="AD667" i="19"/>
  <c r="W667" i="19"/>
  <c r="AD682" i="19"/>
  <c r="W682" i="19"/>
  <c r="AD681" i="19"/>
  <c r="W681" i="19"/>
  <c r="AD680" i="19"/>
  <c r="W680" i="19"/>
  <c r="AD679" i="19"/>
  <c r="W679" i="19"/>
  <c r="AD678" i="19"/>
  <c r="W678" i="19"/>
  <c r="AD677" i="19"/>
  <c r="W677" i="19"/>
  <c r="AP674" i="19"/>
  <c r="AO674" i="19"/>
  <c r="AK674" i="19"/>
  <c r="AJ674" i="19"/>
  <c r="W674" i="19"/>
  <c r="AP673" i="19"/>
  <c r="AO673" i="19"/>
  <c r="AK673" i="19"/>
  <c r="AJ673" i="19"/>
  <c r="W673" i="19"/>
  <c r="AP672" i="19"/>
  <c r="AO672" i="19"/>
  <c r="AK672" i="19"/>
  <c r="AJ672" i="19"/>
  <c r="W672" i="19"/>
  <c r="AK675" i="19"/>
  <c r="AJ675" i="19"/>
  <c r="AP675" i="19"/>
  <c r="AO675" i="19"/>
  <c r="AE791" i="2"/>
  <c r="AF791" i="2" s="1"/>
  <c r="Z791" i="2"/>
  <c r="AA791" i="2" s="1"/>
  <c r="Q791" i="2"/>
  <c r="O791" i="2"/>
  <c r="AH666" i="19"/>
  <c r="AI666" i="19" s="1"/>
  <c r="AA666" i="19"/>
  <c r="AB666" i="19" s="1"/>
  <c r="T666" i="19"/>
  <c r="U666" i="19" s="1"/>
  <c r="Q790" i="2"/>
  <c r="O790" i="2"/>
  <c r="CC665" i="19"/>
  <c r="BQ665" i="19"/>
  <c r="Q789" i="2"/>
  <c r="Q788" i="2"/>
  <c r="Q787" i="2"/>
  <c r="Q786" i="2"/>
  <c r="Q785" i="2"/>
  <c r="Q784" i="2"/>
  <c r="Q783" i="2"/>
  <c r="Q782" i="2"/>
  <c r="Q781" i="2"/>
  <c r="Q780" i="2"/>
  <c r="Q779" i="2"/>
  <c r="Q778" i="2"/>
  <c r="O785" i="2"/>
  <c r="O786" i="2"/>
  <c r="O787" i="2"/>
  <c r="O788" i="2"/>
  <c r="O789" i="2"/>
  <c r="O784" i="2"/>
  <c r="O779" i="2"/>
  <c r="O780" i="2"/>
  <c r="O781" i="2"/>
  <c r="O782" i="2"/>
  <c r="O783" i="2"/>
  <c r="O778" i="2"/>
  <c r="S777" i="2"/>
  <c r="O841" i="2"/>
  <c r="Q841" i="2"/>
  <c r="AF659" i="19"/>
  <c r="AF658" i="19"/>
  <c r="AE659" i="19"/>
  <c r="AE658" i="19"/>
  <c r="AD659" i="19"/>
  <c r="Q776" i="2"/>
  <c r="Q775" i="2"/>
  <c r="O776" i="2"/>
  <c r="O775" i="2"/>
  <c r="AD656" i="19"/>
  <c r="W656" i="19"/>
  <c r="O774" i="2"/>
  <c r="Q768" i="2"/>
  <c r="Q767" i="2"/>
  <c r="Q766" i="2"/>
  <c r="Q765" i="2"/>
  <c r="O768" i="2"/>
  <c r="O767" i="2"/>
  <c r="O766" i="2"/>
  <c r="O765" i="2"/>
  <c r="AD644" i="19"/>
  <c r="AD645" i="19"/>
  <c r="AD646" i="19"/>
  <c r="AD643" i="19"/>
  <c r="Q760" i="2"/>
  <c r="Q761" i="2"/>
  <c r="Q762" i="2"/>
  <c r="Q759" i="2"/>
  <c r="O760" i="2"/>
  <c r="O761" i="2"/>
  <c r="O762" i="2"/>
  <c r="O759" i="2"/>
  <c r="Q736" i="2"/>
  <c r="O736" i="2"/>
  <c r="Q735" i="2"/>
  <c r="O735" i="2"/>
  <c r="Q734" i="2"/>
  <c r="O734" i="2"/>
  <c r="Q733" i="2"/>
  <c r="O733" i="2"/>
  <c r="Q732" i="2"/>
  <c r="O732" i="2"/>
  <c r="Q731" i="2"/>
  <c r="O731" i="2"/>
  <c r="Q730" i="2"/>
  <c r="O730" i="2"/>
  <c r="Q728" i="2"/>
  <c r="O728" i="2"/>
  <c r="Q729" i="2"/>
  <c r="O729" i="2"/>
  <c r="W619" i="19"/>
  <c r="Q727" i="2"/>
  <c r="O727" i="2"/>
  <c r="Q726" i="2"/>
  <c r="O726" i="2"/>
  <c r="Q725" i="2"/>
  <c r="O725" i="2"/>
  <c r="Q724" i="2"/>
  <c r="O724" i="2"/>
  <c r="Q723" i="2"/>
  <c r="O723" i="2"/>
  <c r="Q722" i="2"/>
  <c r="O722" i="2"/>
  <c r="O717" i="2"/>
  <c r="Q717" i="2"/>
  <c r="O718" i="2"/>
  <c r="Q718" i="2"/>
  <c r="O719" i="2"/>
  <c r="Q719" i="2"/>
  <c r="O720" i="2"/>
  <c r="Q720" i="2"/>
  <c r="O721" i="2"/>
  <c r="Q721" i="2"/>
  <c r="Q716" i="2"/>
  <c r="O716" i="2"/>
  <c r="AD617" i="19"/>
  <c r="W617" i="19"/>
  <c r="AD616" i="19"/>
  <c r="W616" i="19"/>
  <c r="AD615" i="19"/>
  <c r="W615" i="19"/>
  <c r="AD614" i="19"/>
  <c r="W614" i="19"/>
  <c r="AD613" i="19"/>
  <c r="W613" i="19"/>
  <c r="AC611" i="19"/>
  <c r="AD611" i="19" s="1"/>
  <c r="V611" i="19"/>
  <c r="W611" i="19" s="1"/>
  <c r="AC610" i="19"/>
  <c r="AD610" i="19" s="1"/>
  <c r="V610" i="19"/>
  <c r="W610" i="19" s="1"/>
  <c r="AC612" i="19"/>
  <c r="V612" i="19"/>
  <c r="O704" i="2"/>
  <c r="Q704" i="2"/>
  <c r="Q703" i="2"/>
  <c r="O703" i="2"/>
  <c r="Q702" i="2"/>
  <c r="O702" i="2"/>
  <c r="Q701" i="2"/>
  <c r="O701" i="2"/>
  <c r="Q700" i="2"/>
  <c r="O700" i="2"/>
  <c r="Q699" i="2"/>
  <c r="O699" i="2"/>
  <c r="Q696" i="2"/>
  <c r="Q697" i="2"/>
  <c r="Q698" i="2"/>
  <c r="Q695" i="2"/>
  <c r="O696" i="2"/>
  <c r="O697" i="2"/>
  <c r="O698" i="2"/>
  <c r="O695" i="2"/>
  <c r="W598" i="19"/>
  <c r="AD598" i="19"/>
  <c r="W599" i="19"/>
  <c r="AD599" i="19"/>
  <c r="W600" i="19"/>
  <c r="AD600" i="19"/>
  <c r="O688" i="2"/>
  <c r="O687" i="2"/>
  <c r="O686" i="2"/>
  <c r="O685" i="2"/>
  <c r="Q688" i="2"/>
  <c r="Q687" i="2"/>
  <c r="Q686" i="2"/>
  <c r="Q685" i="2"/>
  <c r="Q655" i="2"/>
  <c r="O655" i="2"/>
  <c r="Q654" i="2"/>
  <c r="O654" i="2"/>
  <c r="Q652" i="2"/>
  <c r="O652" i="2"/>
  <c r="Q651" i="2"/>
  <c r="O651" i="2"/>
  <c r="Q650" i="2"/>
  <c r="O650" i="2"/>
  <c r="Q649" i="2"/>
  <c r="O649" i="2"/>
  <c r="Q653" i="2"/>
  <c r="O653" i="2"/>
  <c r="W553" i="19"/>
  <c r="Q648" i="2"/>
  <c r="O648" i="2"/>
  <c r="Q645" i="2"/>
  <c r="Q646" i="2"/>
  <c r="Q647" i="2"/>
  <c r="Q644" i="2"/>
  <c r="O647" i="2"/>
  <c r="O646" i="2"/>
  <c r="O645" i="2"/>
  <c r="O644" i="2"/>
  <c r="Q641" i="2"/>
  <c r="O641" i="2"/>
  <c r="Q640" i="2"/>
  <c r="O640" i="2"/>
  <c r="Q642" i="2"/>
  <c r="O642" i="2"/>
  <c r="CU547" i="19"/>
  <c r="CT547" i="19"/>
  <c r="CU546" i="19"/>
  <c r="CT546" i="19"/>
  <c r="AD546" i="19"/>
  <c r="W546" i="19"/>
  <c r="W547" i="19"/>
  <c r="Q638" i="2"/>
  <c r="O638" i="2"/>
  <c r="Q639" i="2"/>
  <c r="O639" i="2"/>
  <c r="AD544" i="19"/>
  <c r="W544" i="19"/>
  <c r="O633" i="2"/>
  <c r="O634" i="2"/>
  <c r="O635" i="2"/>
  <c r="O636" i="2"/>
  <c r="O637" i="2"/>
  <c r="O632" i="2"/>
  <c r="Q633" i="2"/>
  <c r="Q634" i="2"/>
  <c r="Q635" i="2"/>
  <c r="Q636" i="2"/>
  <c r="Q637" i="2"/>
  <c r="Q632" i="2"/>
  <c r="W526" i="19"/>
  <c r="W527" i="19"/>
  <c r="W528" i="19"/>
  <c r="W529" i="19"/>
  <c r="Q621" i="2"/>
  <c r="Q622" i="2"/>
  <c r="Q623" i="2"/>
  <c r="Q624" i="2"/>
  <c r="Q620" i="2"/>
  <c r="O621" i="2"/>
  <c r="O622" i="2"/>
  <c r="O623" i="2"/>
  <c r="O624" i="2"/>
  <c r="O620" i="2"/>
  <c r="Q616" i="2"/>
  <c r="O616" i="2"/>
  <c r="Q615" i="2"/>
  <c r="O615" i="2"/>
  <c r="Q614" i="2"/>
  <c r="O614" i="2"/>
  <c r="Q613" i="2"/>
  <c r="O613" i="2"/>
  <c r="Q612" i="2"/>
  <c r="O612" i="2"/>
  <c r="Q611" i="2"/>
  <c r="O611" i="2"/>
  <c r="Q610" i="2"/>
  <c r="O610" i="2"/>
  <c r="O603" i="2"/>
  <c r="Q603" i="2"/>
  <c r="O604" i="2"/>
  <c r="Q604" i="2"/>
  <c r="O605" i="2"/>
  <c r="Q605" i="2"/>
  <c r="O606" i="2"/>
  <c r="Q606" i="2"/>
  <c r="O607" i="2"/>
  <c r="Q607" i="2"/>
  <c r="O608" i="2"/>
  <c r="Q608" i="2"/>
  <c r="O609" i="2"/>
  <c r="Q609" i="2"/>
  <c r="Q602" i="2"/>
  <c r="O602" i="2"/>
  <c r="O585" i="2"/>
  <c r="Q585" i="2"/>
  <c r="O586" i="2"/>
  <c r="Q586" i="2"/>
  <c r="O587" i="2"/>
  <c r="Q587" i="2"/>
  <c r="O588" i="2"/>
  <c r="Q588" i="2"/>
  <c r="O589" i="2"/>
  <c r="Q589" i="2"/>
  <c r="O590" i="2"/>
  <c r="Q590" i="2"/>
  <c r="O591" i="2"/>
  <c r="Q591" i="2"/>
  <c r="Q584" i="2"/>
  <c r="O584" i="2"/>
  <c r="O595" i="2"/>
  <c r="Q595" i="2"/>
  <c r="O596" i="2"/>
  <c r="Q596" i="2"/>
  <c r="O597" i="2"/>
  <c r="Q597" i="2"/>
  <c r="O598" i="2"/>
  <c r="Q598" i="2"/>
  <c r="O599" i="2"/>
  <c r="Q599" i="2"/>
  <c r="O600" i="2"/>
  <c r="Q600" i="2"/>
  <c r="O601" i="2"/>
  <c r="Q601" i="2"/>
  <c r="Q594" i="2"/>
  <c r="O594" i="2"/>
  <c r="O577" i="2"/>
  <c r="Q577" i="2"/>
  <c r="O578" i="2"/>
  <c r="Q578" i="2"/>
  <c r="O579" i="2"/>
  <c r="Q579" i="2"/>
  <c r="O581" i="2"/>
  <c r="Q581" i="2"/>
  <c r="O582" i="2"/>
  <c r="Q582" i="2"/>
  <c r="O583" i="2"/>
  <c r="Q583" i="2"/>
  <c r="Q576" i="2"/>
  <c r="O576" i="2"/>
  <c r="W520" i="19"/>
  <c r="Q575" i="2"/>
  <c r="O575" i="2"/>
  <c r="Q562" i="2"/>
  <c r="O562" i="2"/>
  <c r="Q561" i="2"/>
  <c r="O561" i="2"/>
  <c r="Q560" i="2"/>
  <c r="O560" i="2"/>
  <c r="Q559" i="2"/>
  <c r="O559" i="2"/>
  <c r="Q563" i="2"/>
  <c r="O563" i="2"/>
  <c r="Q564" i="2"/>
  <c r="O564" i="2"/>
  <c r="AP507" i="19"/>
  <c r="AO507" i="19"/>
  <c r="AF507" i="19"/>
  <c r="AE507" i="19"/>
  <c r="R505" i="19"/>
  <c r="AC497" i="19"/>
  <c r="AC498" i="19"/>
  <c r="AI496" i="19" l="1"/>
  <c r="AH496" i="19"/>
  <c r="AG496" i="19"/>
  <c r="Q505" i="2"/>
  <c r="O505" i="2"/>
  <c r="Q504" i="2"/>
  <c r="O504" i="2"/>
  <c r="Q506" i="2"/>
  <c r="O506" i="2"/>
  <c r="Q503" i="2"/>
  <c r="O503" i="2"/>
  <c r="Q502" i="2"/>
  <c r="O502" i="2"/>
  <c r="Q507" i="2"/>
  <c r="O507" i="2"/>
  <c r="Q501" i="2"/>
  <c r="O501" i="2"/>
  <c r="Q500" i="2"/>
  <c r="O500" i="2"/>
  <c r="Q508" i="2"/>
  <c r="O508" i="2"/>
  <c r="Q499" i="2"/>
  <c r="O499" i="2"/>
  <c r="Q509" i="2"/>
  <c r="O509" i="2"/>
  <c r="AD486" i="19"/>
  <c r="W486" i="19"/>
  <c r="AD485" i="19"/>
  <c r="W485" i="19"/>
  <c r="AD484" i="19"/>
  <c r="W484" i="19"/>
  <c r="AD483" i="19"/>
  <c r="W483" i="19"/>
  <c r="AD482" i="19"/>
  <c r="W482" i="19"/>
  <c r="AD481" i="19"/>
  <c r="W481" i="19"/>
  <c r="AD480" i="19"/>
  <c r="W480" i="19"/>
  <c r="AD479" i="19"/>
  <c r="W479" i="19"/>
  <c r="AD478" i="19"/>
  <c r="W478" i="19"/>
  <c r="AD477" i="19"/>
  <c r="W477" i="19"/>
  <c r="AI468" i="19"/>
  <c r="AH468" i="19"/>
  <c r="AG468" i="19"/>
  <c r="AD468" i="19"/>
  <c r="W468" i="19"/>
  <c r="AI467" i="19"/>
  <c r="AH467" i="19"/>
  <c r="AG467" i="19"/>
  <c r="AD467" i="19"/>
  <c r="W467" i="19"/>
  <c r="AI466" i="19"/>
  <c r="AH466" i="19"/>
  <c r="AG466" i="19"/>
  <c r="AD466" i="19"/>
  <c r="W466" i="19"/>
  <c r="Q491" i="2"/>
  <c r="O491" i="2"/>
  <c r="Q490" i="2"/>
  <c r="O490" i="2"/>
  <c r="Q489" i="2"/>
  <c r="O489" i="2"/>
  <c r="Q492" i="2"/>
  <c r="O492" i="2"/>
  <c r="AI469" i="19"/>
  <c r="AH469" i="19"/>
  <c r="AG469" i="19"/>
  <c r="O488" i="2"/>
  <c r="O487" i="2"/>
  <c r="O486" i="2"/>
  <c r="O485" i="2"/>
  <c r="O484" i="2"/>
  <c r="W463" i="19"/>
  <c r="W462" i="19"/>
  <c r="Q482" i="2"/>
  <c r="Q481" i="2"/>
  <c r="Q480" i="2"/>
  <c r="Q479" i="2"/>
  <c r="Q478" i="2"/>
  <c r="Q477" i="2"/>
  <c r="O482" i="2"/>
  <c r="O481" i="2"/>
  <c r="O480" i="2"/>
  <c r="O479" i="2"/>
  <c r="O478" i="2"/>
  <c r="O477" i="2"/>
  <c r="W454" i="19"/>
  <c r="W453" i="19"/>
  <c r="W452" i="19"/>
  <c r="Q474" i="2"/>
  <c r="O474" i="2"/>
  <c r="Q473" i="2"/>
  <c r="O473" i="2"/>
  <c r="W455" i="19"/>
  <c r="Q475" i="2"/>
  <c r="O475" i="2"/>
  <c r="Q470" i="2"/>
  <c r="Q471" i="2"/>
  <c r="Q472" i="2"/>
  <c r="Q469" i="2"/>
  <c r="Q465" i="2"/>
  <c r="O469" i="2"/>
  <c r="O465" i="2"/>
  <c r="AD441" i="19"/>
  <c r="W441" i="19"/>
  <c r="AD440" i="19"/>
  <c r="W440" i="19"/>
  <c r="AD442" i="19"/>
  <c r="W442" i="19"/>
  <c r="AD438" i="19"/>
  <c r="Q450" i="2"/>
  <c r="O460" i="2"/>
  <c r="AD431" i="19"/>
  <c r="W431" i="19"/>
  <c r="AD432" i="19"/>
  <c r="W432" i="19"/>
  <c r="AD430" i="19"/>
  <c r="W430" i="19"/>
  <c r="AD429" i="19"/>
  <c r="W429" i="19"/>
  <c r="AD428" i="19"/>
  <c r="W428" i="19"/>
  <c r="AD427" i="19"/>
  <c r="W427" i="19"/>
  <c r="AD426" i="19"/>
  <c r="W426" i="19"/>
  <c r="AD425" i="19"/>
  <c r="W425" i="19"/>
  <c r="AD424" i="19"/>
  <c r="W424" i="19"/>
  <c r="AD423" i="19"/>
  <c r="W423" i="19"/>
  <c r="Q424" i="2"/>
  <c r="O424" i="2"/>
  <c r="AH386" i="19"/>
  <c r="AI386" i="19" s="1"/>
  <c r="AD371" i="19"/>
  <c r="W371" i="19"/>
  <c r="Q398" i="2"/>
  <c r="O398" i="2"/>
  <c r="Q397" i="2"/>
  <c r="O397" i="2"/>
  <c r="Q396" i="2"/>
  <c r="O396" i="2"/>
  <c r="Q421" i="2"/>
  <c r="O421" i="2"/>
  <c r="Q420" i="2"/>
  <c r="O420" i="2"/>
  <c r="Q419" i="2"/>
  <c r="O419" i="2"/>
  <c r="Q418" i="2"/>
  <c r="O418" i="2"/>
  <c r="Q417" i="2"/>
  <c r="Q416" i="2"/>
  <c r="O417" i="2"/>
  <c r="O416" i="2"/>
  <c r="W390" i="19"/>
  <c r="W389" i="19"/>
  <c r="W388" i="19"/>
  <c r="W387" i="19"/>
  <c r="W393" i="19"/>
  <c r="Q414" i="2"/>
  <c r="O414" i="2"/>
  <c r="Q413" i="2"/>
  <c r="O413" i="2"/>
  <c r="Q412" i="2"/>
  <c r="O412" i="2"/>
  <c r="Q411" i="2"/>
  <c r="O411" i="2"/>
  <c r="Q410" i="2"/>
  <c r="O410" i="2"/>
  <c r="Q409" i="2"/>
  <c r="O409" i="2"/>
  <c r="Q408" i="2"/>
  <c r="O408" i="2"/>
  <c r="Q407" i="2"/>
  <c r="O407" i="2"/>
  <c r="Q406" i="2"/>
  <c r="O406" i="2"/>
  <c r="Q405" i="2"/>
  <c r="O405" i="2"/>
  <c r="Q404" i="2"/>
  <c r="O404" i="2"/>
  <c r="Q415" i="2"/>
  <c r="O415" i="2"/>
  <c r="AD384" i="19"/>
  <c r="W384" i="19"/>
  <c r="AI382" i="19"/>
  <c r="AH382" i="19"/>
  <c r="AD382" i="19"/>
  <c r="AB382" i="19"/>
  <c r="AA382" i="19"/>
  <c r="W382" i="19"/>
  <c r="AI381" i="19"/>
  <c r="AH381" i="19"/>
  <c r="AD381" i="19"/>
  <c r="AB381" i="19"/>
  <c r="AA381" i="19"/>
  <c r="W381" i="19"/>
  <c r="AI380" i="19"/>
  <c r="AH380" i="19"/>
  <c r="AD380" i="19"/>
  <c r="AB380" i="19"/>
  <c r="AA380" i="19"/>
  <c r="W380" i="19"/>
  <c r="AI379" i="19"/>
  <c r="AH379" i="19"/>
  <c r="AD379" i="19"/>
  <c r="AB379" i="19"/>
  <c r="AA379" i="19"/>
  <c r="W379" i="19"/>
  <c r="AH377" i="19"/>
  <c r="AI377" i="19"/>
  <c r="AH378" i="19"/>
  <c r="AI378" i="19"/>
  <c r="AH383" i="19"/>
  <c r="AI383" i="19"/>
  <c r="AI376" i="19"/>
  <c r="AH376" i="19"/>
  <c r="AA377" i="19"/>
  <c r="AB377" i="19"/>
  <c r="AA378" i="19"/>
  <c r="AB378" i="19"/>
  <c r="AA383" i="19"/>
  <c r="AB383" i="19"/>
  <c r="AB376" i="19"/>
  <c r="AA376" i="19"/>
  <c r="Q402" i="2"/>
  <c r="Q401" i="2"/>
  <c r="Q400" i="2"/>
  <c r="Q399" i="2"/>
  <c r="Q403" i="2"/>
  <c r="O403" i="2"/>
  <c r="O402" i="2"/>
  <c r="O401" i="2"/>
  <c r="O400" i="2"/>
  <c r="O399" i="2"/>
  <c r="Q391" i="2"/>
  <c r="O391" i="2"/>
  <c r="AE365" i="19"/>
  <c r="AF365" i="19"/>
  <c r="AE361" i="19"/>
  <c r="AF361" i="19"/>
  <c r="AF360" i="19"/>
  <c r="AE360" i="19"/>
  <c r="AD365" i="19"/>
  <c r="AD361" i="19"/>
  <c r="AD360" i="19"/>
  <c r="W365" i="19"/>
  <c r="W361" i="19"/>
  <c r="W360" i="19"/>
  <c r="Q390" i="2"/>
  <c r="Q387" i="2"/>
  <c r="Q385" i="2"/>
  <c r="O390" i="2"/>
  <c r="O387" i="2"/>
  <c r="O385" i="2"/>
  <c r="AD333" i="19"/>
  <c r="AD335" i="19"/>
  <c r="AD336" i="19"/>
  <c r="Q368" i="2"/>
  <c r="Q367" i="2"/>
  <c r="N368" i="2"/>
  <c r="O368" i="2" s="1"/>
  <c r="N367" i="2"/>
  <c r="O367" i="2" s="1"/>
  <c r="N363" i="2"/>
  <c r="O363" i="2" s="1"/>
  <c r="N364" i="2"/>
  <c r="O364" i="2" s="1"/>
  <c r="N365" i="2"/>
  <c r="O365" i="2" s="1"/>
  <c r="Q365" i="2"/>
  <c r="Q364" i="2"/>
  <c r="Q363" i="2"/>
  <c r="Q362" i="2"/>
  <c r="Q360" i="2"/>
  <c r="Q359" i="2"/>
  <c r="N362" i="2"/>
  <c r="O362" i="2" s="1"/>
  <c r="N360" i="2"/>
  <c r="O360" i="2" s="1"/>
  <c r="N359" i="2"/>
  <c r="O359" i="2" s="1"/>
  <c r="Q358" i="2"/>
  <c r="Q357" i="2"/>
  <c r="Q356" i="2"/>
  <c r="Q355" i="2"/>
  <c r="O358" i="2"/>
  <c r="O357" i="2"/>
  <c r="O356" i="2"/>
  <c r="O355" i="2"/>
  <c r="AD339" i="19"/>
  <c r="AD340" i="19"/>
  <c r="AD341" i="19"/>
  <c r="O371" i="2"/>
  <c r="Q371" i="2"/>
  <c r="O372" i="2"/>
  <c r="Q372" i="2"/>
  <c r="O373" i="2"/>
  <c r="Q373" i="2"/>
  <c r="Q370" i="2"/>
  <c r="O370" i="2"/>
  <c r="CC328" i="19"/>
  <c r="CC327" i="19"/>
  <c r="AD327" i="19"/>
  <c r="W327" i="19"/>
  <c r="CC326" i="19"/>
  <c r="AD326" i="19"/>
  <c r="W326" i="19"/>
  <c r="AD325" i="19"/>
  <c r="W325" i="19"/>
  <c r="AD324" i="19"/>
  <c r="O354" i="2"/>
  <c r="AQ316" i="19"/>
  <c r="AQ317" i="19"/>
  <c r="AQ318" i="19"/>
  <c r="AQ319" i="19"/>
  <c r="AQ315" i="19"/>
  <c r="Q348" i="2"/>
  <c r="Q349" i="2"/>
  <c r="Q347" i="2"/>
  <c r="Q342" i="2"/>
  <c r="Q343" i="2"/>
  <c r="Q344" i="2"/>
  <c r="Q345" i="2"/>
  <c r="Q346" i="2"/>
  <c r="Q341" i="2"/>
  <c r="O348" i="2"/>
  <c r="O349" i="2"/>
  <c r="O347" i="2"/>
  <c r="O342" i="2"/>
  <c r="O343" i="2"/>
  <c r="O344" i="2"/>
  <c r="O345" i="2"/>
  <c r="O346" i="2"/>
  <c r="O341" i="2"/>
  <c r="Q339" i="2"/>
  <c r="O339" i="2"/>
  <c r="Q340" i="2"/>
  <c r="O340" i="2"/>
  <c r="W312" i="19"/>
  <c r="AF310" i="19"/>
  <c r="AE310" i="19"/>
  <c r="AD310" i="19"/>
  <c r="W310" i="19"/>
  <c r="AF309" i="19"/>
  <c r="AE309" i="19"/>
  <c r="AD309" i="19"/>
  <c r="W309" i="19"/>
  <c r="AF308" i="19"/>
  <c r="AE308" i="19"/>
  <c r="AD308" i="19"/>
  <c r="W308" i="19"/>
  <c r="AF307" i="19"/>
  <c r="AE307" i="19"/>
  <c r="AD307" i="19"/>
  <c r="W307" i="19"/>
  <c r="AF311" i="19"/>
  <c r="AE311" i="19"/>
  <c r="AD304" i="19"/>
  <c r="O304" i="19"/>
  <c r="O334" i="2"/>
  <c r="Q334" i="2"/>
  <c r="O333" i="2"/>
  <c r="Q333" i="2"/>
  <c r="AC299" i="19"/>
  <c r="AD299" i="19" s="1"/>
  <c r="W299" i="19"/>
  <c r="AC298" i="19"/>
  <c r="AD298" i="19" s="1"/>
  <c r="W298" i="19"/>
  <c r="AC297" i="19"/>
  <c r="AD297" i="19" s="1"/>
  <c r="W297" i="19"/>
  <c r="AC300" i="19"/>
  <c r="AD294" i="19"/>
  <c r="W294" i="19"/>
  <c r="Q326" i="2"/>
  <c r="O326" i="2"/>
  <c r="Q327" i="2"/>
  <c r="O327" i="2"/>
  <c r="AD293" i="19"/>
  <c r="AD289" i="19"/>
  <c r="W289" i="19"/>
  <c r="AD287" i="19"/>
  <c r="W287" i="19"/>
  <c r="AD290" i="19"/>
  <c r="W290" i="19"/>
  <c r="AD291" i="19"/>
  <c r="W291" i="19"/>
  <c r="AD286" i="19"/>
  <c r="W286" i="19"/>
  <c r="AD285" i="19"/>
  <c r="W285" i="19"/>
  <c r="AD277" i="19"/>
  <c r="W277" i="19"/>
  <c r="AD276" i="19"/>
  <c r="W276" i="19"/>
  <c r="AC275" i="19"/>
  <c r="Q319" i="2"/>
  <c r="O319" i="2"/>
  <c r="Q318" i="2"/>
  <c r="O318" i="2"/>
  <c r="Q317" i="2"/>
  <c r="O317" i="2"/>
  <c r="Q320" i="2"/>
  <c r="O320" i="2"/>
  <c r="AI273" i="19"/>
  <c r="AH273" i="19"/>
  <c r="AG273" i="19"/>
  <c r="AD273" i="19"/>
  <c r="W273" i="19"/>
  <c r="AI274" i="19"/>
  <c r="AH274" i="19"/>
  <c r="AG274" i="19"/>
  <c r="AD274" i="19"/>
  <c r="W274" i="19"/>
  <c r="AI271" i="19"/>
  <c r="AH271" i="19"/>
  <c r="AG271" i="19"/>
  <c r="AD271" i="19"/>
  <c r="W271" i="19"/>
  <c r="AI272" i="19"/>
  <c r="AH272" i="19"/>
  <c r="AG272" i="19"/>
  <c r="AD269" i="19"/>
  <c r="W269" i="19"/>
  <c r="AD267" i="19"/>
  <c r="W267" i="19"/>
  <c r="Q316" i="2"/>
  <c r="O316" i="2"/>
  <c r="Q315" i="2"/>
  <c r="Q314" i="2"/>
  <c r="Q313" i="2"/>
  <c r="O313" i="2"/>
  <c r="V264" i="19"/>
  <c r="V263" i="19"/>
  <c r="W263" i="19" s="1"/>
  <c r="AD263" i="19"/>
  <c r="AD262" i="19"/>
  <c r="V262" i="19"/>
  <c r="W262" i="19" s="1"/>
  <c r="AD261" i="19" l="1"/>
  <c r="V261" i="19"/>
  <c r="W261" i="19" s="1"/>
  <c r="W264" i="19"/>
  <c r="Q312" i="2"/>
  <c r="Q311" i="2"/>
  <c r="O312" i="2"/>
  <c r="O311" i="2"/>
  <c r="Q306" i="2"/>
  <c r="Q307" i="2"/>
  <c r="Q308" i="2"/>
  <c r="Q305" i="2"/>
  <c r="O308" i="2"/>
  <c r="O307" i="2"/>
  <c r="O306" i="2"/>
  <c r="O305" i="2"/>
  <c r="AD245" i="19"/>
  <c r="W245" i="19"/>
  <c r="W237" i="19"/>
  <c r="W239" i="19"/>
  <c r="W238" i="19"/>
  <c r="W236" i="19"/>
  <c r="AD240" i="19"/>
  <c r="W240" i="19"/>
  <c r="Q267" i="2"/>
  <c r="Q268" i="2"/>
  <c r="Q269" i="2"/>
  <c r="Q266" i="2"/>
  <c r="O267" i="2"/>
  <c r="O268" i="2"/>
  <c r="O269" i="2"/>
  <c r="O266" i="2"/>
  <c r="Q264" i="2"/>
  <c r="O264" i="2"/>
  <c r="Q263" i="2"/>
  <c r="O263" i="2"/>
  <c r="Q262" i="2"/>
  <c r="O262" i="2"/>
  <c r="Q261" i="2"/>
  <c r="O261" i="2"/>
  <c r="Q259" i="2"/>
  <c r="O259" i="2"/>
  <c r="Q258" i="2"/>
  <c r="O258" i="2"/>
  <c r="Q257" i="2"/>
  <c r="O257" i="2"/>
  <c r="AD233" i="19"/>
  <c r="W233" i="19"/>
  <c r="AD232" i="19"/>
  <c r="W232" i="19"/>
  <c r="AD234" i="19"/>
  <c r="Q256" i="2"/>
  <c r="O256" i="2"/>
  <c r="Q254" i="2"/>
  <c r="O254" i="2"/>
  <c r="Q255" i="2"/>
  <c r="O255" i="2"/>
  <c r="AE250" i="2"/>
  <c r="AF250" i="2" s="1"/>
  <c r="AE249" i="2"/>
  <c r="AF249" i="2" s="1"/>
  <c r="Q250" i="2"/>
  <c r="Q249" i="2"/>
  <c r="AH228" i="19"/>
  <c r="AI228" i="19" s="1"/>
  <c r="AA228" i="19"/>
  <c r="AB228" i="19" s="1"/>
  <c r="AE248" i="2"/>
  <c r="AF248" i="2" s="1"/>
  <c r="Q251" i="2"/>
  <c r="Q248" i="2"/>
  <c r="Q247" i="2"/>
  <c r="O248" i="2"/>
  <c r="O249" i="2"/>
  <c r="O250" i="2"/>
  <c r="O251" i="2"/>
  <c r="O247" i="2"/>
  <c r="AH223" i="19"/>
  <c r="AI223" i="19" s="1"/>
  <c r="AH224" i="19"/>
  <c r="AI224" i="19" s="1"/>
  <c r="AH222" i="19"/>
  <c r="AI222" i="19" s="1"/>
  <c r="AA223" i="19"/>
  <c r="AB223" i="19" s="1"/>
  <c r="AA224" i="19"/>
  <c r="AB224" i="19" s="1"/>
  <c r="AA222" i="19"/>
  <c r="AB222" i="19" s="1"/>
  <c r="AE245" i="2"/>
  <c r="AF245" i="2" s="1"/>
  <c r="AE246" i="2"/>
  <c r="AF246" i="2" s="1"/>
  <c r="AE244" i="2"/>
  <c r="AF244" i="2" s="1"/>
  <c r="AE242" i="2"/>
  <c r="AF242" i="2" s="1"/>
  <c r="AE240" i="2"/>
  <c r="AF240" i="2" s="1"/>
  <c r="Q246" i="2"/>
  <c r="Q245" i="2"/>
  <c r="Q244" i="2"/>
  <c r="Q243" i="2"/>
  <c r="Q242" i="2"/>
  <c r="Q241" i="2"/>
  <c r="Q240" i="2"/>
  <c r="Q239" i="2"/>
  <c r="Q233" i="2"/>
  <c r="Q232" i="2"/>
  <c r="O244" i="2"/>
  <c r="O243" i="2"/>
  <c r="O242" i="2"/>
  <c r="O241" i="2"/>
  <c r="O240" i="2"/>
  <c r="O239" i="2"/>
  <c r="AD219" i="19"/>
  <c r="W219" i="19"/>
  <c r="AD218" i="19"/>
  <c r="W218" i="19"/>
  <c r="AD220" i="19"/>
  <c r="W220" i="19"/>
  <c r="AD216" i="19"/>
  <c r="W216" i="19"/>
  <c r="Q231" i="2"/>
  <c r="Q230" i="2"/>
  <c r="O233" i="2"/>
  <c r="O232" i="2"/>
  <c r="O231" i="2"/>
  <c r="O230" i="2"/>
  <c r="Q201" i="2"/>
  <c r="Q202" i="2"/>
  <c r="Q203" i="2"/>
  <c r="Q204" i="2"/>
  <c r="Q205" i="2"/>
  <c r="Q206" i="2"/>
  <c r="Q207" i="2"/>
  <c r="Q208" i="2"/>
  <c r="Q209" i="2"/>
  <c r="Q210" i="2"/>
  <c r="Q211" i="2"/>
  <c r="Q200" i="2"/>
  <c r="O201" i="2"/>
  <c r="O202" i="2"/>
  <c r="O203" i="2"/>
  <c r="O204" i="2"/>
  <c r="O205" i="2"/>
  <c r="O206" i="2"/>
  <c r="O207" i="2"/>
  <c r="O208" i="2"/>
  <c r="O209" i="2"/>
  <c r="O210" i="2"/>
  <c r="O211" i="2"/>
  <c r="O200" i="2"/>
  <c r="O192" i="2"/>
  <c r="Q192" i="2"/>
  <c r="Q190" i="2"/>
  <c r="O190" i="2"/>
  <c r="Q189" i="2"/>
  <c r="O189" i="2"/>
  <c r="AD181" i="19"/>
  <c r="W181" i="19"/>
  <c r="AD180" i="19"/>
  <c r="W180" i="19"/>
  <c r="Q165" i="2"/>
  <c r="O165" i="2"/>
  <c r="Q166" i="2"/>
  <c r="O166" i="2"/>
  <c r="AD158" i="19"/>
  <c r="W158" i="19"/>
  <c r="Q163" i="2"/>
  <c r="O163" i="2"/>
  <c r="Q164" i="2"/>
  <c r="O164" i="2"/>
  <c r="CU153" i="19"/>
  <c r="CT153" i="19"/>
  <c r="CU152" i="19"/>
  <c r="CT152" i="19"/>
  <c r="AD152" i="19"/>
  <c r="W152" i="19"/>
  <c r="CU151" i="19"/>
  <c r="CT151" i="19"/>
  <c r="AD151" i="19"/>
  <c r="W151" i="19"/>
  <c r="CU150" i="19"/>
  <c r="CT150" i="19"/>
  <c r="AD150" i="19"/>
  <c r="W150" i="19"/>
  <c r="CU149" i="19"/>
  <c r="CT149" i="19"/>
  <c r="AD149" i="19"/>
  <c r="W149" i="19"/>
  <c r="W153" i="19"/>
  <c r="AD136" i="19"/>
  <c r="W136" i="19"/>
  <c r="AD135" i="19"/>
  <c r="W135" i="19"/>
  <c r="AD148" i="19"/>
  <c r="W148" i="19"/>
  <c r="AD147" i="19"/>
  <c r="W147" i="19"/>
  <c r="Q157" i="2"/>
  <c r="O157" i="2"/>
  <c r="Q156" i="2"/>
  <c r="O156" i="2"/>
  <c r="Q158" i="2"/>
  <c r="Q159" i="2"/>
  <c r="O158" i="2"/>
  <c r="O159" i="2"/>
  <c r="Q155" i="2"/>
  <c r="O155" i="2"/>
  <c r="Q154" i="2"/>
  <c r="O154" i="2"/>
  <c r="W134" i="19"/>
  <c r="Q143" i="2"/>
  <c r="Q142" i="2"/>
  <c r="O142" i="2"/>
  <c r="O143" i="2"/>
  <c r="CA124" i="19"/>
  <c r="BZ124" i="19"/>
  <c r="Q136" i="2"/>
  <c r="Q132" i="2"/>
  <c r="O132" i="2"/>
  <c r="Q130" i="2"/>
  <c r="O130" i="2"/>
  <c r="Q129" i="2"/>
  <c r="O129" i="2"/>
  <c r="Q128" i="2"/>
  <c r="O128" i="2"/>
  <c r="Q131" i="2"/>
  <c r="O131" i="2"/>
  <c r="AD121" i="19"/>
  <c r="W121" i="19"/>
  <c r="AD120" i="19"/>
  <c r="W120" i="19"/>
  <c r="AD119" i="19"/>
  <c r="W119" i="19"/>
  <c r="BG115" i="19"/>
  <c r="AX115" i="19"/>
  <c r="V115" i="19"/>
  <c r="Q122" i="2"/>
  <c r="O122" i="2"/>
  <c r="Q114" i="2"/>
  <c r="O114" i="2"/>
  <c r="Q120" i="2"/>
  <c r="O120" i="2"/>
  <c r="Q119" i="2"/>
  <c r="O119" i="2"/>
  <c r="Q118" i="2"/>
  <c r="O118" i="2"/>
  <c r="Q121" i="2"/>
  <c r="O121" i="2"/>
  <c r="Q115" i="2"/>
  <c r="O115" i="2"/>
  <c r="O116" i="2"/>
  <c r="Q116" i="2"/>
  <c r="W109" i="19"/>
  <c r="W111" i="19"/>
  <c r="W110" i="19"/>
  <c r="AD106" i="19"/>
  <c r="W106" i="19"/>
  <c r="Q113" i="2"/>
  <c r="O113" i="2"/>
  <c r="Q112" i="2"/>
  <c r="O112" i="2"/>
  <c r="AG99" i="19"/>
  <c r="AH99" i="19"/>
  <c r="AI99" i="19"/>
  <c r="AG100" i="19"/>
  <c r="AH100" i="19"/>
  <c r="AI100" i="19"/>
  <c r="AI98" i="19"/>
  <c r="AH98" i="19"/>
  <c r="AG98" i="19"/>
  <c r="W102" i="19"/>
  <c r="W101" i="19"/>
  <c r="Q100" i="2" l="1"/>
  <c r="Q102" i="2"/>
  <c r="Q99" i="2"/>
  <c r="Q101" i="2"/>
  <c r="Q110" i="2"/>
  <c r="O110" i="2"/>
  <c r="Q109" i="2"/>
  <c r="O109" i="2"/>
  <c r="Q108" i="2"/>
  <c r="O108" i="2"/>
  <c r="Q107" i="2"/>
  <c r="O107" i="2"/>
  <c r="Q111" i="2"/>
  <c r="O111" i="2"/>
  <c r="Q106" i="2"/>
  <c r="O106" i="2"/>
  <c r="Q105" i="2"/>
  <c r="Q104" i="2"/>
  <c r="Q103" i="2"/>
  <c r="O105" i="2"/>
  <c r="O104" i="2"/>
  <c r="O103" i="2"/>
  <c r="W99" i="19"/>
  <c r="W98" i="19"/>
  <c r="O97" i="2"/>
  <c r="O96" i="2"/>
  <c r="O95" i="2"/>
  <c r="O94" i="2"/>
  <c r="O98" i="2"/>
  <c r="AF88" i="19"/>
  <c r="AE88" i="19"/>
  <c r="AF87" i="19"/>
  <c r="AE87" i="19"/>
  <c r="AF86" i="19"/>
  <c r="AE86" i="19"/>
  <c r="AF85" i="19"/>
  <c r="AE85" i="19"/>
  <c r="AF89" i="19"/>
  <c r="AE89" i="19"/>
  <c r="AS89" i="2"/>
  <c r="AR89" i="2"/>
  <c r="Q88" i="2"/>
  <c r="Q89" i="2"/>
  <c r="O88" i="2"/>
  <c r="O89" i="2"/>
  <c r="W79" i="19"/>
  <c r="O83" i="2"/>
  <c r="O82" i="2"/>
  <c r="O81" i="2"/>
  <c r="Q81" i="2"/>
  <c r="Q82" i="2"/>
  <c r="Q83" i="2"/>
  <c r="O75" i="19"/>
  <c r="W72" i="19"/>
  <c r="W69" i="19"/>
  <c r="W71" i="19"/>
  <c r="W68" i="19"/>
  <c r="W67" i="19"/>
  <c r="W66" i="19"/>
  <c r="AI51" i="19"/>
  <c r="AH51" i="19"/>
  <c r="AG51" i="19"/>
  <c r="W51" i="19"/>
  <c r="AI52" i="19"/>
  <c r="AH52" i="19"/>
  <c r="AG52" i="19"/>
  <c r="AL49" i="19"/>
  <c r="AM49" i="19"/>
  <c r="AN49" i="19"/>
  <c r="AL50" i="19"/>
  <c r="AM50" i="19"/>
  <c r="AN50" i="19"/>
  <c r="AN48" i="19"/>
  <c r="AM48" i="19"/>
  <c r="AL48" i="19"/>
  <c r="AG49" i="19"/>
  <c r="AH49" i="19"/>
  <c r="AI49" i="19"/>
  <c r="AG50" i="19"/>
  <c r="AH50" i="19"/>
  <c r="AI50" i="19"/>
  <c r="AI48" i="19"/>
  <c r="AH48" i="19"/>
  <c r="AG48" i="19"/>
  <c r="Q55" i="2"/>
  <c r="Q54" i="2"/>
  <c r="Q52" i="2"/>
  <c r="O55" i="2"/>
  <c r="O54" i="2"/>
  <c r="O52" i="2"/>
  <c r="AD36" i="19"/>
  <c r="W36" i="19"/>
  <c r="O44" i="2"/>
  <c r="O43" i="2"/>
  <c r="AD23" i="19"/>
  <c r="W23" i="19"/>
  <c r="AD21" i="19"/>
  <c r="W21" i="19"/>
  <c r="AF18" i="19"/>
  <c r="AE18" i="19"/>
  <c r="AF17" i="19"/>
  <c r="AE17" i="19"/>
  <c r="AC19" i="19"/>
  <c r="V19" i="19"/>
  <c r="W19" i="19" s="1"/>
  <c r="AD17" i="19"/>
  <c r="AD18" i="19"/>
  <c r="AD4" i="19"/>
  <c r="AD5" i="19"/>
  <c r="AD6" i="19"/>
  <c r="AD22" i="19"/>
  <c r="AD29" i="19"/>
  <c r="AD37" i="19"/>
  <c r="AD48" i="19"/>
  <c r="AD49" i="19"/>
  <c r="AD50" i="19"/>
  <c r="AD77" i="19"/>
  <c r="AD78" i="19"/>
  <c r="AD83" i="19"/>
  <c r="AD84" i="19"/>
  <c r="AD103" i="19"/>
  <c r="AD107" i="19"/>
  <c r="AD108" i="19"/>
  <c r="AD105" i="19"/>
  <c r="AD122" i="19"/>
  <c r="AD134" i="19"/>
  <c r="AD145" i="19"/>
  <c r="AD146" i="19"/>
  <c r="AD137" i="19"/>
  <c r="AD153" i="19"/>
  <c r="AD157" i="19"/>
  <c r="AD159" i="19"/>
  <c r="AD182" i="19"/>
  <c r="AD210" i="19"/>
  <c r="AD211" i="19"/>
  <c r="AD228" i="19"/>
  <c r="AD230" i="19"/>
  <c r="AD231" i="19"/>
  <c r="AD235" i="19"/>
  <c r="AD264" i="19"/>
  <c r="AD265" i="19"/>
  <c r="AD266" i="19"/>
  <c r="AD270" i="19"/>
  <c r="AD268" i="19"/>
  <c r="AD272" i="19"/>
  <c r="AD275" i="19"/>
  <c r="AD278" i="19"/>
  <c r="AD283" i="19"/>
  <c r="AD284" i="19"/>
  <c r="AD288" i="19"/>
  <c r="AD300" i="19"/>
  <c r="AD303" i="19"/>
  <c r="AD311" i="19"/>
  <c r="AD314" i="19"/>
  <c r="AD328" i="19"/>
  <c r="AD338" i="19"/>
  <c r="AD329" i="19"/>
  <c r="AD331" i="19"/>
  <c r="AD332" i="19"/>
  <c r="AD366" i="19"/>
  <c r="AD376" i="19"/>
  <c r="AD377" i="19"/>
  <c r="AD378" i="19"/>
  <c r="AD383" i="19"/>
  <c r="AD385" i="19"/>
  <c r="AD372" i="19"/>
  <c r="AD386" i="19"/>
  <c r="AD433" i="19"/>
  <c r="AD443" i="19"/>
  <c r="AD448" i="19"/>
  <c r="AD457" i="19"/>
  <c r="AD458" i="19"/>
  <c r="AD469" i="19"/>
  <c r="AD476" i="19"/>
  <c r="AD487" i="19"/>
  <c r="AD496" i="19"/>
  <c r="AD498" i="19"/>
  <c r="AD497" i="19"/>
  <c r="AD499" i="19"/>
  <c r="AD505" i="19"/>
  <c r="AD506" i="19"/>
  <c r="AD536" i="19"/>
  <c r="AD543" i="19"/>
  <c r="AD545" i="19"/>
  <c r="AD547" i="19"/>
  <c r="AD553" i="19"/>
  <c r="AD554" i="19"/>
  <c r="AD555" i="19"/>
  <c r="AD597" i="19"/>
  <c r="AD601" i="19"/>
  <c r="AD603" i="19"/>
  <c r="AD604" i="19"/>
  <c r="AD612" i="19"/>
  <c r="AD618" i="19"/>
  <c r="AD657" i="19"/>
  <c r="AD658" i="19"/>
  <c r="AD660" i="19"/>
  <c r="AD661" i="19"/>
  <c r="AD662" i="19"/>
  <c r="AD663" i="19"/>
  <c r="AD665" i="19"/>
  <c r="AD666" i="19"/>
  <c r="AD683" i="19"/>
  <c r="AD671" i="19"/>
  <c r="AD676" i="19"/>
  <c r="AD700" i="19"/>
  <c r="AD701" i="19"/>
  <c r="AD702" i="19"/>
  <c r="AD703" i="19"/>
  <c r="AD705" i="19"/>
  <c r="AD706" i="19"/>
  <c r="AD713" i="19"/>
  <c r="AD714" i="19"/>
  <c r="AD721" i="19"/>
  <c r="AD728" i="19"/>
  <c r="AD737" i="19"/>
  <c r="AD738" i="19"/>
  <c r="AD734" i="19"/>
  <c r="AD746" i="19"/>
  <c r="AD748" i="19"/>
  <c r="AD752" i="19"/>
  <c r="AD759" i="19"/>
  <c r="AD768" i="19"/>
  <c r="AD773" i="19"/>
  <c r="AD774" i="19"/>
  <c r="AD781" i="19"/>
  <c r="AD789" i="19"/>
  <c r="AD784" i="19"/>
  <c r="AD791" i="19"/>
  <c r="AD792" i="19"/>
  <c r="AD793" i="19"/>
  <c r="AD794" i="19"/>
  <c r="AD795" i="19"/>
  <c r="AD796" i="19"/>
  <c r="AD797" i="19"/>
  <c r="AD799" i="19"/>
  <c r="AD824" i="19"/>
  <c r="AD830" i="19"/>
  <c r="AD829" i="19"/>
  <c r="AD844" i="19"/>
  <c r="AD848" i="19"/>
  <c r="AD3" i="19"/>
  <c r="W4" i="19"/>
  <c r="W5" i="19"/>
  <c r="W6" i="19"/>
  <c r="W14" i="19"/>
  <c r="W15" i="19"/>
  <c r="W16" i="19"/>
  <c r="W17" i="19"/>
  <c r="W18" i="19"/>
  <c r="W22" i="19"/>
  <c r="W29" i="19"/>
  <c r="W37" i="19"/>
  <c r="W39" i="19"/>
  <c r="W40" i="19"/>
  <c r="W41" i="19"/>
  <c r="W48" i="19"/>
  <c r="W49" i="19"/>
  <c r="W50" i="19"/>
  <c r="W52" i="19"/>
  <c r="W70" i="19"/>
  <c r="W75" i="19"/>
  <c r="W77" i="19"/>
  <c r="W78" i="19"/>
  <c r="W80" i="19"/>
  <c r="W83" i="19"/>
  <c r="W100" i="19"/>
  <c r="W103" i="19"/>
  <c r="W107" i="19"/>
  <c r="W104" i="19"/>
  <c r="W108" i="19"/>
  <c r="W105" i="19"/>
  <c r="W115" i="19"/>
  <c r="W122" i="19"/>
  <c r="W124" i="19"/>
  <c r="W125" i="19"/>
  <c r="W126" i="19"/>
  <c r="W127" i="19"/>
  <c r="W128" i="19"/>
  <c r="W130" i="19"/>
  <c r="W131" i="19"/>
  <c r="W132" i="19"/>
  <c r="W144" i="19"/>
  <c r="W145" i="19"/>
  <c r="W146" i="19"/>
  <c r="W137" i="19"/>
  <c r="W157" i="19"/>
  <c r="W159" i="19"/>
  <c r="W160" i="19"/>
  <c r="W171" i="19"/>
  <c r="W182" i="19"/>
  <c r="W183" i="19"/>
  <c r="W186" i="19"/>
  <c r="W188" i="19"/>
  <c r="W189" i="19"/>
  <c r="W190" i="19"/>
  <c r="W191" i="19"/>
  <c r="W210" i="19"/>
  <c r="W211" i="19"/>
  <c r="W222" i="19"/>
  <c r="W223" i="19"/>
  <c r="W224" i="19"/>
  <c r="W228" i="19"/>
  <c r="W230" i="19"/>
  <c r="W231" i="19"/>
  <c r="W234" i="19"/>
  <c r="W235" i="19"/>
  <c r="W246" i="19"/>
  <c r="W247" i="19"/>
  <c r="W253" i="19"/>
  <c r="W254" i="19"/>
  <c r="W255" i="19"/>
  <c r="W256" i="19"/>
  <c r="W259" i="19"/>
  <c r="W260" i="19"/>
  <c r="W265" i="19"/>
  <c r="W266" i="19"/>
  <c r="W270" i="19"/>
  <c r="W268" i="19"/>
  <c r="W272" i="19"/>
  <c r="W275" i="19"/>
  <c r="W278" i="19"/>
  <c r="W283" i="19"/>
  <c r="W284" i="19"/>
  <c r="W288" i="19"/>
  <c r="W292" i="19"/>
  <c r="W300" i="19"/>
  <c r="W303" i="19"/>
  <c r="W311" i="19"/>
  <c r="W313" i="19"/>
  <c r="W314" i="19"/>
  <c r="W315" i="19"/>
  <c r="W316" i="19"/>
  <c r="W317" i="19"/>
  <c r="W318" i="19"/>
  <c r="W319" i="19"/>
  <c r="W324" i="19"/>
  <c r="W328" i="19"/>
  <c r="W338" i="19"/>
  <c r="W339" i="19"/>
  <c r="W340" i="19"/>
  <c r="W341" i="19"/>
  <c r="W329" i="19"/>
  <c r="W331" i="19"/>
  <c r="W332" i="19"/>
  <c r="W333" i="19"/>
  <c r="W335" i="19"/>
  <c r="W336" i="19"/>
  <c r="W347" i="19"/>
  <c r="W366" i="19"/>
  <c r="W368" i="19"/>
  <c r="W376" i="19"/>
  <c r="W377" i="19"/>
  <c r="W378" i="19"/>
  <c r="W383" i="19"/>
  <c r="W385" i="19"/>
  <c r="W392" i="19"/>
  <c r="W391" i="19"/>
  <c r="W370" i="19"/>
  <c r="W372" i="19"/>
  <c r="W386" i="19"/>
  <c r="W433" i="19"/>
  <c r="W438" i="19"/>
  <c r="W443" i="19"/>
  <c r="W448" i="19"/>
  <c r="W457" i="19"/>
  <c r="W458" i="19"/>
  <c r="W459" i="19"/>
  <c r="W465" i="19"/>
  <c r="W469" i="19"/>
  <c r="W476" i="19"/>
  <c r="W487" i="19"/>
  <c r="W498" i="19"/>
  <c r="W497" i="19"/>
  <c r="W499" i="19"/>
  <c r="W505" i="19"/>
  <c r="W507" i="19"/>
  <c r="W518" i="19"/>
  <c r="W521" i="19"/>
  <c r="W522" i="19"/>
  <c r="W525" i="19"/>
  <c r="W536" i="19"/>
  <c r="W543" i="19"/>
  <c r="W545" i="19"/>
  <c r="W549" i="19"/>
  <c r="W550" i="19"/>
  <c r="W551" i="19"/>
  <c r="W552" i="19"/>
  <c r="W554" i="19"/>
  <c r="W555" i="19"/>
  <c r="W556" i="19"/>
  <c r="W586" i="19"/>
  <c r="W587" i="19"/>
  <c r="W588" i="19"/>
  <c r="W589" i="19"/>
  <c r="W593" i="19"/>
  <c r="W597" i="19"/>
  <c r="W601" i="19"/>
  <c r="W602" i="19"/>
  <c r="W603" i="19"/>
  <c r="W604" i="19"/>
  <c r="W612" i="19"/>
  <c r="W618" i="19"/>
  <c r="W620" i="19"/>
  <c r="W643" i="19"/>
  <c r="W644" i="19"/>
  <c r="W645" i="19"/>
  <c r="W646" i="19"/>
  <c r="W649" i="19"/>
  <c r="W650" i="19"/>
  <c r="W657" i="19"/>
  <c r="W658" i="19"/>
  <c r="W659" i="19"/>
  <c r="W665" i="19"/>
  <c r="W666" i="19"/>
  <c r="W675" i="19"/>
  <c r="W683" i="19"/>
  <c r="W671" i="19"/>
  <c r="W676" i="19"/>
  <c r="W700" i="19"/>
  <c r="W701" i="19"/>
  <c r="W702" i="19"/>
  <c r="W703" i="19"/>
  <c r="W705" i="19"/>
  <c r="W706" i="19"/>
  <c r="W713" i="19"/>
  <c r="W714" i="19"/>
  <c r="W721" i="19"/>
  <c r="W723" i="19"/>
  <c r="W724" i="19"/>
  <c r="W728" i="19"/>
  <c r="W737" i="19"/>
  <c r="W738" i="19"/>
  <c r="W734" i="19"/>
  <c r="W746" i="19"/>
  <c r="W748" i="19"/>
  <c r="W752" i="19"/>
  <c r="W759" i="19"/>
  <c r="W768" i="19"/>
  <c r="W773" i="19"/>
  <c r="W774" i="19"/>
  <c r="W781" i="19"/>
  <c r="W780" i="19"/>
  <c r="W782" i="19"/>
  <c r="W789" i="19"/>
  <c r="W784" i="19"/>
  <c r="W791" i="19"/>
  <c r="W792" i="19"/>
  <c r="W793" i="19"/>
  <c r="W794" i="19"/>
  <c r="W795" i="19"/>
  <c r="W796" i="19"/>
  <c r="W797" i="19"/>
  <c r="W799" i="19"/>
  <c r="W804" i="19"/>
  <c r="W805" i="19"/>
  <c r="W806" i="19"/>
  <c r="W807" i="19"/>
  <c r="W808" i="19"/>
  <c r="W824" i="19"/>
  <c r="W837" i="19"/>
  <c r="W830" i="19"/>
  <c r="W829" i="19"/>
  <c r="W844" i="19"/>
  <c r="W848" i="19"/>
  <c r="W3" i="19"/>
  <c r="Q953" i="2" l="1"/>
  <c r="O953" i="2"/>
  <c r="Q952" i="2"/>
  <c r="O952" i="2"/>
  <c r="Q951" i="2"/>
  <c r="O951" i="2"/>
  <c r="Q950" i="2"/>
  <c r="O950" i="2"/>
  <c r="Q949" i="2"/>
  <c r="O949" i="2"/>
  <c r="Q947" i="2"/>
  <c r="O947" i="2"/>
  <c r="Q948" i="2"/>
  <c r="O948" i="2"/>
  <c r="Q945" i="2"/>
  <c r="O945" i="2"/>
  <c r="Q944" i="2"/>
  <c r="O944" i="2"/>
  <c r="Q946" i="2"/>
  <c r="O946" i="2"/>
  <c r="Q277" i="2"/>
  <c r="O277" i="2"/>
  <c r="Q276" i="2"/>
  <c r="O276" i="2"/>
  <c r="Q274" i="2"/>
  <c r="O274" i="2"/>
  <c r="Q191" i="2"/>
  <c r="Q260" i="2"/>
  <c r="Q275" i="2"/>
  <c r="Q617" i="2"/>
  <c r="Q890" i="2"/>
  <c r="Q913" i="2"/>
  <c r="Q933" i="2"/>
  <c r="O191" i="2"/>
  <c r="O260" i="2"/>
  <c r="O275" i="2"/>
  <c r="O617" i="2"/>
  <c r="O879" i="2"/>
  <c r="O890" i="2"/>
  <c r="O913" i="2"/>
  <c r="O933" i="2"/>
  <c r="BN397" i="2"/>
  <c r="BN398" i="2"/>
  <c r="BN396" i="2"/>
  <c r="BC397" i="2"/>
  <c r="BC398" i="2"/>
  <c r="BC396" i="2"/>
  <c r="Q180" i="2"/>
  <c r="Q179" i="2"/>
  <c r="O180" i="2"/>
  <c r="O179" i="2"/>
  <c r="O178" i="2"/>
  <c r="Q178" i="2"/>
  <c r="U775" i="2"/>
  <c r="U776" i="2"/>
  <c r="U449" i="2"/>
  <c r="AS403" i="2"/>
  <c r="U372" i="2"/>
  <c r="U371" i="2"/>
  <c r="U370" i="2"/>
  <c r="U373" i="2"/>
  <c r="U358" i="2"/>
  <c r="U357" i="2"/>
  <c r="U355" i="2"/>
  <c r="U356" i="2"/>
  <c r="U321" i="2"/>
  <c r="U167" i="2" l="1"/>
  <c r="U84" i="2" l="1"/>
  <c r="U85" i="2"/>
  <c r="AS76" i="2"/>
  <c r="AR76" i="2"/>
  <c r="AZ37" i="2"/>
  <c r="AY37" i="2"/>
  <c r="AW37" i="2"/>
  <c r="AV37" i="2"/>
  <c r="AR3" i="2"/>
  <c r="AS3" i="2"/>
  <c r="AR4" i="2"/>
  <c r="AS4" i="2"/>
  <c r="W519" i="19"/>
</calcChain>
</file>

<file path=xl/sharedStrings.xml><?xml version="1.0" encoding="utf-8"?>
<sst xmlns="http://schemas.openxmlformats.org/spreadsheetml/2006/main" count="31868" uniqueCount="4191">
  <si>
    <t>Title</t>
  </si>
  <si>
    <t>Authors</t>
  </si>
  <si>
    <t>Published Year</t>
  </si>
  <si>
    <t>Published Month</t>
  </si>
  <si>
    <t>Journal</t>
  </si>
  <si>
    <t>Volume</t>
  </si>
  <si>
    <t>Issue</t>
  </si>
  <si>
    <t>Pages</t>
  </si>
  <si>
    <t>DOI</t>
  </si>
  <si>
    <t>Study</t>
  </si>
  <si>
    <t>Diagnostic-prognostic value and electrophysiological correlates of CSF biomarkers of neurodegeneration and neuroinflammation in amyotrophic lateral sclerosis</t>
  </si>
  <si>
    <t>Abu-Rumeileh, S.; Vacchiano, V.; Zenesini, C.; Polischi, B.; de Pasqua, S.; Fileccia, E.; Mammana, A.; Di Stasi, V.; Capellari, S.; Salvi, F.; Liguori, R.; Parchi, P.</t>
  </si>
  <si>
    <t>Jun</t>
  </si>
  <si>
    <t>J Neurol</t>
  </si>
  <si>
    <t>1699-1708</t>
  </si>
  <si>
    <t>10.1007/s00415-020-09761-z</t>
  </si>
  <si>
    <t>Abu-Rumeileh 2020</t>
  </si>
  <si>
    <t>Tau protein as a diagnostic and prognostic biomarker in amyotrophic lateral sclerosis</t>
  </si>
  <si>
    <t>Agnello, L.; Colletti, T.; Lo Sasso, B.; Vidali, M.; Spataro, R.; Gambino, C. M.; Giglio, R. V.; Piccoli, T.; Bivona, G.; La Bella, V.; Ciaccio, M.</t>
  </si>
  <si>
    <t>Eur J Neurol</t>
  </si>
  <si>
    <t>1868-1875</t>
  </si>
  <si>
    <t>10.1111/ene.14789</t>
  </si>
  <si>
    <t>Agnello 2021</t>
  </si>
  <si>
    <t>Eating peptides: biomarkers of neurodegeneration in amyotrophic lateral sclerosis and frontotemporal dementia</t>
  </si>
  <si>
    <t>Ahmed, R. M.; Phan, K.; Highton-Williamson, E.; Strikwerda-Brown, C.; Caga, J.; Ramsey, E.; Zoing, M.; Devenney, E.; Kim, W. S.; Hodges, J. R.; Piguet, O.; Halliday, G. M.; Kiernan, M. C.</t>
  </si>
  <si>
    <t>Mar</t>
  </si>
  <si>
    <t>Ann Clin Transl Neurol</t>
  </si>
  <si>
    <t>486-495</t>
  </si>
  <si>
    <t>10.1002/acn3.721</t>
  </si>
  <si>
    <t>Ahmed 2019</t>
  </si>
  <si>
    <t>Inflammatory mediators, lipoproteins and apolipoproteins in early diagnosis of amyotrophic lateral sclerosis</t>
  </si>
  <si>
    <t>Alarcan, H.; Berthet, M.; Suire, L.; Colas, C.; Gonzalez, L.; Paget, C.; Benz-de Bretagne, I.; Piver, E.; Vourc'h, P.; Andres, C.; Corcia, P.; Blasco, H.</t>
  </si>
  <si>
    <t>Oct</t>
  </si>
  <si>
    <t>SLAS Technol</t>
  </si>
  <si>
    <t>327-334</t>
  </si>
  <si>
    <t>10.1016/j.slast.2022.07.003</t>
  </si>
  <si>
    <t>Alarcan 2022</t>
  </si>
  <si>
    <t>Could VGF and/or its derived peptide act as biomarkers for the diagnosis of neurodegenerative diseases: A systematic review</t>
  </si>
  <si>
    <t>Alqarni, S.; Alsebai, M.</t>
  </si>
  <si>
    <t>Front Endocrinol (Lausanne)</t>
  </si>
  <si>
    <t>10.3389/fendo.2022.1032192</t>
  </si>
  <si>
    <t>Alqarni 2022</t>
  </si>
  <si>
    <t>Increased C-X-C Motif Chemokine Ligand 12 Levels in Cerebrospinal Fluid as a Candidate Biomarker in Sporadic Amyotrophic Lateral Sclerosis</t>
  </si>
  <si>
    <t>Andrés-Benito, P.; Povedano, M.; Domínguez, R.; Marco, C.; Colomina, M. J.; López-Pérez, O.; Santana, I.; Baldeiras, I.; Martínez-Yelámos, S.; Zerr, I.; Llorens, F.; Fernández-Irigoyen, J.; Santamaría, E.; Ferrer, I.</t>
  </si>
  <si>
    <t>Nov</t>
  </si>
  <si>
    <t>International Journal of Molecular Sciences</t>
  </si>
  <si>
    <t>10.3390/ijms21228680</t>
  </si>
  <si>
    <t>Andrés-Benito 2020</t>
  </si>
  <si>
    <t>A multicentre validation study of the diagnostic value of plasma neurofilament light</t>
  </si>
  <si>
    <t>Ashton, N. J.; Janelidze, S.; Al Khleifat, A.; Leuzy, A.; van der Ende, E. L.; Karikari, T. K.; Benedet, A. L.; Pascoal, T. A.; Lleó, A.; Parnetti, L.; Galimberti, D.; Bonanni, L.; Pilotto, A.; Padovani, A.; Lycke, J.; Novakova, L.; Axelsson, M.; Velayudhan, L.; Rabinovici, G. D.; Miller, B.; Pariante, C.; Nikkheslat, N.; Resnick, S. M.; Thambisetty, M.; Schöll, M.; Fernández-Eulate, G.; Gil-Bea, F. J.; López de Munain, A.; Al-Chalabi, A.; Rosa-Neto, P.; Strydom, A.; Svenningsson, P.; Stomrud, E.; Santillo, A.; Aarsland, D.; van Swieten, J. C.; Palmqvist, S.; Zetterberg, H.; Blennow, K.; Hye, A.; Hansson, O.</t>
  </si>
  <si>
    <t>Nat Commun</t>
  </si>
  <si>
    <t>10.1038/s41467-021-23620-z</t>
  </si>
  <si>
    <t>Ashton 2021</t>
  </si>
  <si>
    <t>Jul</t>
  </si>
  <si>
    <t>Diagnostic utility of neurofilament markers for MND is limited in restricted disease phenotype and for differentiation from compressive myeloradiculopathies</t>
  </si>
  <si>
    <t>Baumgartner, D.; Mazanec, R.; Hanzalová, J.</t>
  </si>
  <si>
    <t>1600-1614</t>
  </si>
  <si>
    <t>10.1007/s00415-022-11504-1</t>
  </si>
  <si>
    <t>Baumgartner 2023</t>
  </si>
  <si>
    <t>Neurofilaments can differentiate ALS subgroups and ALS from common diagnostic mimics</t>
  </si>
  <si>
    <t>Behzadi, A.; Pujol-Calderón, F.; Tjust, A. E.; Wuolikainen, A.; Höglund, K.; Forsberg, K.; Portelius, E.; Blennow, K.; Zetterberg, H.; Andersen, P. M.</t>
  </si>
  <si>
    <t>Sci Rep</t>
  </si>
  <si>
    <t>10.1038/s41598-021-01499-6</t>
  </si>
  <si>
    <t>Behzadi 2021</t>
  </si>
  <si>
    <t>Amyotroph Lateral Scler Frontotemporal Degener</t>
  </si>
  <si>
    <t>Metabolite Profiling Reveals Predictive Biomarkers and the Absence of β-Methyl Amino-l-alanine in Plasma from Individuals Diagnosed with Amyotrophic Lateral Sclerosis</t>
  </si>
  <si>
    <t>Bereman, M. S.; Kirkwood, K. I.; Sabaretnam, T.; Furlong, S.; Rowe, D. B.; Guillemin, G. J.; Mellinger, A. L.; Muddiman, D. C.</t>
  </si>
  <si>
    <t>J Proteome Res</t>
  </si>
  <si>
    <t>3276-3285</t>
  </si>
  <si>
    <t>10.1021/acs.jproteome.0c00216</t>
  </si>
  <si>
    <t>Bereman 2020</t>
  </si>
  <si>
    <t>TDP-43 as structure-based biomarker in amyotrophic lateral sclerosis</t>
  </si>
  <si>
    <t>Beyer, L.; Günther, R.; Koch, J. C.; Klebe, S.; Hagenacker, T.; Lingor, P.; Biesalski, A. S.; Hermann, A.; Nabers, A.; Gold, R.; Tönges, L.; Gerwert, K.</t>
  </si>
  <si>
    <t>Jan</t>
  </si>
  <si>
    <t>271-277</t>
  </si>
  <si>
    <t>10.1002/acn3.51256</t>
  </si>
  <si>
    <t>Beyer 2021</t>
  </si>
  <si>
    <t>Diagnostic Value of Cerebrospinal Fluid Neurofilament Light Protein in Neurology: A Systematic Review and Meta-analysis</t>
  </si>
  <si>
    <t>Bridel, C.; van Wieringen, W. N.; Zetterberg, H.; Tijms, B. M.; Teunissen, C. E.; Alvarez-Cermeño, J. C.; Andreasson, U.; Axelsson, M.; Bäckström, D. C.; Bartos, A.; Bjerke, M.; Blennow, K.; Boxer, A.; Brundin, L.; Burman, J.; Christensen, T.; Fialová, L.; Forsgren, L.; Frederiksen, J. L.; Gisslén, M.; Gray, E.; Gunnarsson, M.; Hall, S.; Hansson, O.; Herbert, M. K.; Jakobsson, J.; Jessen-Krut, J.; Janelidze, S.; Johannsson, G.; Jonsson, M.; Kappos, L.; Khademi, M.; Khalil, M.; Kuhle, J.; Landén, M.; Leinonen, V.; Logroscino, G.; Lu, C. H.; Lycke, J.; Magdalinou, N. K.; Malaspina, A.; Mattsson, N.; Meeter, L. H.; Mehta, S. R.; Modvig, S.; Olsson, T.; Paterson, R. W.; Pérez-Santiago, J.; Piehl, F.; Pijnenburg, Y. A. L.; Pyykkö, O. T.; Ragnarsson, O.; Rojas, J. C.; Romme Christensen, J.; Sandberg, L.; Scherling, C. S.; Schott, J. M.; Sellebjerg, F. T.; Simone, I. L.; Skillbäck, T.; Stilund, M.; Sundström, P.; Svenningsson, A.; Tortelli, R.; Tortorella, C.; Trentini, A.; Troiano, M.; Turner, M. R.; van Swieten, J. C.; Vågberg, M.; Verbeek, M. M.; Villar, L. M.; Visser, P. J.; Wallin, A.; Weiss, A.; Wikkelsø, C.; Wild, E. J.</t>
  </si>
  <si>
    <t>JAMA Neurol</t>
  </si>
  <si>
    <t>1035-1048</t>
  </si>
  <si>
    <t>10.1001/jamaneurol.2019.1534</t>
  </si>
  <si>
    <t>Bridel 2019</t>
  </si>
  <si>
    <t>Combination of serum and CSF neurofilament-light and neuroinflammatory biomarkers to evaluate ALS</t>
  </si>
  <si>
    <t>Brodovitch, A.; Boucraut, J.; Delmont, E.; Parlanti, A.; Grapperon, A. M.; Attarian, S.; Verschueren, A.</t>
  </si>
  <si>
    <t>10.1038/s41598-020-80370-6</t>
  </si>
  <si>
    <t>Brodovitch 2021</t>
  </si>
  <si>
    <t>Serum neurofilament light chain cut-off definition for clinical diagnosis and prognosis of amyotrophic lateral sclerosis</t>
  </si>
  <si>
    <t>Brousse, M.; Delaby, C.; De La Cruz, E.; Kuhle, J.; Benkert, P.; Mondesert, E.; Ginestet, N.; Hirtz, C.; Camu, W.; Lehmann, S.; Esselin, F.</t>
  </si>
  <si>
    <t>1919-1927</t>
  </si>
  <si>
    <t>10.1111/ene.15813</t>
  </si>
  <si>
    <t>Brousse 2023</t>
  </si>
  <si>
    <t>VAPB ER-Aggregates, A Possible New Biomarker in ALS Pathology</t>
  </si>
  <si>
    <t>Cadoni, M. P. L.; Biggio, M. L.; Arru, G.; Secchi, G.; Orrù, N.; Clemente, M. G.; Sechi, G.; Yamoah, A.; Tripathi, P.; Orrù, S.; Manetti, R.; Galleri, G.</t>
  </si>
  <si>
    <t>Cells</t>
  </si>
  <si>
    <t>10.3390/cells9010164</t>
  </si>
  <si>
    <t>Cadoni 2020</t>
  </si>
  <si>
    <t>Systematic review and meta-analysis of dysregulated microRNAs derived from liquid biopsies as biomarkers for amyotrophic lateral sclerosis</t>
  </si>
  <si>
    <t>Casado Gama, H.; Amorós, M. A.; Andrade de Araújo, M.; Sha, C. M.; Vieira, M. P. S.; Torres, R. G. D.; Souza, G. F.; Junkes, J. A.; Dokholyan, N. V.; Leite Góes Gitaí, D.; Duzzioni, M.</t>
  </si>
  <si>
    <t>Noncoding RNA Res</t>
  </si>
  <si>
    <t>523-535</t>
  </si>
  <si>
    <t>10.1016/j.ncrna.2024.02.006</t>
  </si>
  <si>
    <t>CasadoGama 2024</t>
  </si>
  <si>
    <t>Teaching an old dog new tricks: Serum troponin T as a biomarker in amyotrophic lateral sclerosis</t>
  </si>
  <si>
    <t>Castro-Gomez, Sergio; Radermacher, Barbara; Tacik, Pawel; Mirandola, Sandra R.; Heneka, Michael T.; Weydt, Patrick</t>
  </si>
  <si>
    <t>Brain Communications</t>
  </si>
  <si>
    <t>10.1093/braincomms/fcab274</t>
  </si>
  <si>
    <t>Castro-Gomez 2021</t>
  </si>
  <si>
    <t>Creatine kinase in the diagnosis and prognostic prediction of amyotrophic lateral sclerosis: a retrospective case-control study</t>
  </si>
  <si>
    <t>Chen, X. P.; Wei, Q. Q.; Ou, R. W.; Hou, Y. B.; Zhang, L. Y.; Yuan, X. Q.; Yao, Y. Q.; Jia, D. S.; Zhang, Q.; Li, W. X.; Shang, H. F.</t>
  </si>
  <si>
    <t>Neural Regen Res</t>
  </si>
  <si>
    <t>591-595</t>
  </si>
  <si>
    <t>10.4103/1673-5374.293159</t>
  </si>
  <si>
    <t>Chen 2021</t>
  </si>
  <si>
    <t>Amyotrophic Lateral Sclerosis and Frontotemporal Degeneration</t>
  </si>
  <si>
    <t>Chen 2019</t>
  </si>
  <si>
    <t>Costa 2019</t>
  </si>
  <si>
    <t>Exploring Cerebrospinal Fluid IgG N-Glycosylation as Potential Biomarker for Amyotrophic Lateral Sclerosis</t>
  </si>
  <si>
    <t>Costa, J.; Streich, L.; Pinto, S.; Pronto-Laborinho, A.; Nimtz, M.; Conradt, H. S.; de Carvalho, M.</t>
  </si>
  <si>
    <t>Aug</t>
  </si>
  <si>
    <t>Mol Neurobiol</t>
  </si>
  <si>
    <t>5729-5739</t>
  </si>
  <si>
    <t>10.1007/s12035-019-1482-9</t>
  </si>
  <si>
    <t>Elevated Plasma Phosphorylated Tau 181 in Amyotrophic Lateral Sclerosis</t>
  </si>
  <si>
    <t>Cousins, K. A. Q.; Shaw, L. M.; Shellikeri, S.; Dratch, L.; Rosario, L.; Elman, L. B.; Quinn, C.; Amado, D. A.; Wolk, D. A.; Tropea, T. F.; Chen-Plotkin, A.; Irwin, D. J.; Grossman, M.; Lee, E. B.; Trojanowski, J. Q.; McMillan, C. T.</t>
  </si>
  <si>
    <t>Ann Neurol</t>
  </si>
  <si>
    <t>807-818</t>
  </si>
  <si>
    <t>10.1002/ana.26462</t>
  </si>
  <si>
    <t>Cousins 2022</t>
  </si>
  <si>
    <t>Identification of let-7f and miR-338 as plasma-based biomarkers for sporadic amyotrophic lateral sclerosis using meta-analysis and empirical validation</t>
  </si>
  <si>
    <t>Daneshafrooz, N.; Joghataei, M. T.; Mehdizadeh, M.; Alavi, A.; Barati, M.; Panahi, B.; Teimourian, S.; Zamani, B.</t>
  </si>
  <si>
    <t>10.1038/s41598-022-05067-4</t>
  </si>
  <si>
    <t>Daneshafrooz 2022</t>
  </si>
  <si>
    <t>Limited value of serum neurofilament light chain in diagnosing amyotrophic lateral sclerosis</t>
  </si>
  <si>
    <t>Davies, J. C.; Dharmadasa, T.; Thompson, A. G.; Edmond, E. C.; Yoganathan, K.; Gao, J.; Talbot, K.; Turner, M. R.</t>
  </si>
  <si>
    <t>Brain Commun</t>
  </si>
  <si>
    <t>fcad163</t>
  </si>
  <si>
    <t>10.1093/braincomms/fcad163</t>
  </si>
  <si>
    <t>Davies 2023</t>
  </si>
  <si>
    <t>Neuroinflammation-Related Proteins NOD2 and Spp1 Are Abnormally Upregulated in Amyotrophic Lateral Sclerosis</t>
  </si>
  <si>
    <t>de Luna, N.; Carbayo, Á; Dols-Icardo, O.; Turon-Sans, J.; Reyes-Leiva, D.; Illan-Gala, I.; Jericó, I.; Pagola-Lorz, I.; Lleixà, C.; Querol, L.; Rubio-Guerra, S.; Alcolea, D.; Fortea, J.; Lleó, A.; Cortés-Vicente, E.; Rojas-Garcia, R.</t>
  </si>
  <si>
    <t>Neurol Neuroimmunol Neuroinflamm</t>
  </si>
  <si>
    <t>10.1212/nxi.0000000000200072</t>
  </si>
  <si>
    <t>deLuna 2023</t>
  </si>
  <si>
    <t>Serum neurofilament heavy chains as early marker of motor neuron degeneration</t>
  </si>
  <si>
    <t>De Schaepdryver, M.; Goossens, J.; De Meyer, S.; Jeromin, A.; Masrori, P.; Brix, B.; Claeys, K. G.; Schaeverbeke, J.; Adamczuk, K.; Vandenberghe, R.; Van Damme, P.; Poesen, K.</t>
  </si>
  <si>
    <t>1971-1979</t>
  </si>
  <si>
    <t>10.1002/acn3.50890</t>
  </si>
  <si>
    <t>DeSchaepdryver 2019</t>
  </si>
  <si>
    <t>Effect of neurofilament analysis on the diagnostic delay in amyotrophic lateral sclerosis</t>
  </si>
  <si>
    <t>De Schaepdryver, M.; Masrori, P.; Van Damme, P.; Poesen, K.</t>
  </si>
  <si>
    <t>CNS Neurosci Ther</t>
  </si>
  <si>
    <t>70-77</t>
  </si>
  <si>
    <t>10.1111/cns.13960</t>
  </si>
  <si>
    <t>Journal of the Neurological Sciences</t>
  </si>
  <si>
    <t>A longitudinal study defined circulating microRNAs as reliable biomarkers for disease prognosis and progression in ALS human patients</t>
  </si>
  <si>
    <t>Dobrowolny, G.; Martone, J.; Lepore, E.; Casola, I.; Petrucci, A.; Inghilleri, M.; Morlando, M.; Colantoni, A.; Scicchitano, B. M.; Calvo, A.; Bisogni, G.; Chiò, A.; Sabatelli, M.; Bozzoni, I.; Musarò, A.</t>
  </si>
  <si>
    <t>Cell Death Discov</t>
  </si>
  <si>
    <t>10.1038/s41420-020-00397-6</t>
  </si>
  <si>
    <t>Dobrowolny 2021</t>
  </si>
  <si>
    <t>Circular RNAs as Potential Blood Biomarkers in Amyotrophic Lateral Sclerosis</t>
  </si>
  <si>
    <t>Dolinar, A.; Koritnik, B.; Glavač, D.; Ravnik-Glavač, M.</t>
  </si>
  <si>
    <t>Dec</t>
  </si>
  <si>
    <t>8052-8062</t>
  </si>
  <si>
    <t>10.1007/s12035-019-1627-x</t>
  </si>
  <si>
    <t>Dolinar 2019</t>
  </si>
  <si>
    <t>Synchrotron-Based Fourier-Transform Infrared Micro-Spectroscopy of Cerebrospinal Fluid from Amyotrophic Lateral Sclerosis Patients Reveals a Unique Biomolecular Profile</t>
  </si>
  <si>
    <t>Dučić, T.; Koch, J. C.</t>
  </si>
  <si>
    <t>10.3390/cells12111451</t>
  </si>
  <si>
    <t>Dučić 2023</t>
  </si>
  <si>
    <t>Serum-based differentiation between multiple sclerosis and amyotrophic lateral sclerosis by Random Forest classification of FTIR spectra</t>
  </si>
  <si>
    <t>El Khoury, Y.; Collongues, N.; De Sèze, J.; Gulsari, V.; Patte-Mensah, C.; Marcou, G.; Varnek, A.; Mensah-Nyagan, A. G.; Hellwig, P.</t>
  </si>
  <si>
    <t>Analyst</t>
  </si>
  <si>
    <t>4647-4652</t>
  </si>
  <si>
    <t>10.1039/c9an00754g</t>
  </si>
  <si>
    <t>ElKhoury 2019</t>
  </si>
  <si>
    <t>Comparative diagnosis interest of NfL and pNfH in CSF and plasma in a context of FTD-ALS spectrum</t>
  </si>
  <si>
    <t>Escal, J.; Fourier, A.; Formaglio, M.; Zimmer, L.; Bernard, E.; Mollion, H.; Bost, M.; Herrmann, M.; Ollagnon-Roman, E.; Quadrio, I.; Dorey, J. M.</t>
  </si>
  <si>
    <t>1522-1529</t>
  </si>
  <si>
    <t>10.1007/s00415-021-10714-3</t>
  </si>
  <si>
    <t>Escal 2022</t>
  </si>
  <si>
    <t>Integrated evaluation of a panel of neurochemical biomarkers to optimize diagnosis and prognosis in amyotrophic lateral sclerosis</t>
  </si>
  <si>
    <t>Falzone, Y. M.; Domi, T.; Mandelli, A.; Pozzi, L.; Schito, P.; Russo, T.; Barbieri, A.; Fazio, R.; Volontè, M. A.; Magnani, G.; Del Carro, U.; Carrera, P.; Malaspina, A.; Agosta, F.; Quattrini, A.; Furlan, R.; Filippi, M.; Riva, N.</t>
  </si>
  <si>
    <t>1930-1939</t>
  </si>
  <si>
    <t>10.1111/ene.15321</t>
  </si>
  <si>
    <t>Falzone 2022</t>
  </si>
  <si>
    <t>Diagnostic and prognostic value of CSF neurofilaments in a cohort of patients with motor neuron disease: A cross-sectional study</t>
  </si>
  <si>
    <t>Gagliardi, D.; Faravelli, I.; Meneri, M.; Saccomanno, D.; Govoni, A.; Magri, F.; Ricci, G.; Siciliano, G.; Pietro Comi, G.; Corti, S.</t>
  </si>
  <si>
    <t>Apr</t>
  </si>
  <si>
    <t>J Cell Mol Med</t>
  </si>
  <si>
    <t>3765-3771</t>
  </si>
  <si>
    <t>10.1111/jcmm.16240</t>
  </si>
  <si>
    <t>Gagliardi 2021</t>
  </si>
  <si>
    <t>Inflammatory markers in cerebrospinal fluid: independent prognostic biomarkers in amyotrophic lateral sclerosis?</t>
  </si>
  <si>
    <t>Gille, B.; De Schaepdryver, M.; Dedeene, L.; Goossens, J.; Claeys, K. G.; Van Den Bosch, L.; Tournoy, J.; Van Damme, P.; Poesen, K.</t>
  </si>
  <si>
    <t>J Neurol Neurosurg Psychiatry</t>
  </si>
  <si>
    <t>1338-1346</t>
  </si>
  <si>
    <t>10.1136/jnnp-2018-319586</t>
  </si>
  <si>
    <t>Serum neurofilament light chain levels as a marker of upper motor neuron degeneration in patients with Amyotrophic Lateral Sclerosis</t>
  </si>
  <si>
    <t>Gille, B.; De Schaepdryver, M.; Goossens, J.; Dedeene, L.; De Vocht, J.; Oldoni, E.; Goris, A.; Van Den Bosch, L.; Depreitere, B.; Claeys, K. G.; Tournoy, J.; Van Damme, P.; Poesen, K.</t>
  </si>
  <si>
    <t>Neuropathology and Applied Neurobiology</t>
  </si>
  <si>
    <t>291-304</t>
  </si>
  <si>
    <t>10.1111/nan.12511</t>
  </si>
  <si>
    <t>Differential Expression of miRNAs in Amyotrophic Lateral Sclerosis Patients</t>
  </si>
  <si>
    <t>Gomes, B. C.; Peixinho, N.; Pisco, R.; Gromicho, M.; Pronto-Laborinho, A. C.; Rueff, J.; de Carvalho, M.; Rodrigues, A. S.</t>
  </si>
  <si>
    <t>7104-7117</t>
  </si>
  <si>
    <t>10.1007/s12035-023-03520-7</t>
  </si>
  <si>
    <t>Gomes 2023</t>
  </si>
  <si>
    <t>Mitochondrial Aconitase Enzymatic Activity: A Potential Long-Term Survival Biomarker in the Blood of ALS Patients</t>
  </si>
  <si>
    <t>González-Mingot, C.; Miana-Mena, F. J.; Iñarrea, P. J.; Iñiguez, C.; Capablo, J. L.; Osta, R.; Gil-Sánchez, A.; Brieva, L.; Larrodé, P.</t>
  </si>
  <si>
    <t>J Clin Med</t>
  </si>
  <si>
    <t>10.3390/jcm12103560</t>
  </si>
  <si>
    <t>González-Mingot 2023</t>
  </si>
  <si>
    <t>Using blood data for the differential diagnosis and prognosis of motor neuron diseases: a new dataset for machine learning applications</t>
  </si>
  <si>
    <t>Greco, A.; Chiesa, M. R.; Da Prato, I.; Romanelli, A. M.; Dolciotti, C.; Cavallini, G.; Masciandaro, S. M.; Scilingo, E. P.; Del Carratore, R.; Bongioanni, P.</t>
  </si>
  <si>
    <t>10.1038/s41598-021-82940-8</t>
  </si>
  <si>
    <t>Greco 2021</t>
  </si>
  <si>
    <t>RNA sequencing of peripheral blood in amyotrophic lateral sclerosis reveals distinct molecular subtypes: Considerations for biomarker discovery</t>
  </si>
  <si>
    <t>Grima, N.; Liu, S.; Southwood, D.; Henden, L.; Smith, A.; Lee, A.; Rowe, D. B.; D'Silva, S.; Blair, I. P.; Williams, K. L.</t>
  </si>
  <si>
    <t>Neuropathol Appl Neurobiol</t>
  </si>
  <si>
    <t>e12943</t>
  </si>
  <si>
    <t>10.1111/nan.12943</t>
  </si>
  <si>
    <t>Grima 2023</t>
  </si>
  <si>
    <t>Visinin-like protein 1 levels in blood and CSF as emerging markers for Alzheimer's and other neurodegenerative diseases</t>
  </si>
  <si>
    <t>Halbgebauer, S.; Steinacker, P.; Riedel, D.; Oeckl, P.; Anderl-Straub, S.; Lombardi, J.; von Arnim, C. A. F.; Nagl, M.; Giese, A.; Ludolph, A. C.; Otto, M.</t>
  </si>
  <si>
    <t>Alzheimers Res Ther</t>
  </si>
  <si>
    <t>10.1186/s13195-022-01122-4</t>
  </si>
  <si>
    <t>Comparison of CSF and serum neurofilament light and heavy chain as differential diagnostic biomarkers for ALS</t>
  </si>
  <si>
    <t>Halbgebauer, S.; Steinacker, P.; Verde, F.; Weishaupt, J.; Oeckl, P.; von Arnim, C.; Dorst, J.; Feneberg, E.; Mayer, B.; Rosenbohm, A.; Silani, V.; Ludolph, A. C.; Otto, M.</t>
  </si>
  <si>
    <t>68-74</t>
  </si>
  <si>
    <t>10.1136/jnnp-2021-327129</t>
  </si>
  <si>
    <t>Circulating proteomic biomarkers for diagnosing sporadic amyotrophic lateral sclerosis: a cross-sectional study</t>
  </si>
  <si>
    <t>He, L.; Zhou, Q.; Xiu, C.; Shao, Y.; Shen, D.; Meng, H.; Le, W.; Chen, S.</t>
  </si>
  <si>
    <t>1842-1848</t>
  </si>
  <si>
    <t>10.4103/1673-5374.389357</t>
  </si>
  <si>
    <t>He 2024</t>
  </si>
  <si>
    <t>Low plasma hyaluronan is associated with faster functional decline in patients with amyotrophic lateral sclerosis</t>
  </si>
  <si>
    <t>Holdom, C. J.; Ngo, S. T.; McCombe, P. A.; Henderson, R. D.; Steyn, F. J.</t>
  </si>
  <si>
    <t>42-48</t>
  </si>
  <si>
    <t>10.1080/21678421.2021.1918721</t>
  </si>
  <si>
    <t>Holdom 2022</t>
  </si>
  <si>
    <t>Longitudinal biomarkers in amyotrophic lateral sclerosis</t>
  </si>
  <si>
    <t>Huang, F.; Zhu, Y.; Hsiao-Nakamoto, J.; Tang, X.; Dugas, J. C.; Moscovitch-Lopatin, M.; Glass, J. D.; Brown, R. H., Jr.; Ladha, S. S.; Lacomis, D.; Harris, J. M.; Scearce-Levie, K.; Ho, C.; Bowser, R.; Berry, J. D.</t>
  </si>
  <si>
    <t>1103-1116</t>
  </si>
  <si>
    <t>10.1002/acn3.51078</t>
  </si>
  <si>
    <t>Huang 2020</t>
  </si>
  <si>
    <t>Brevican and Neurocan Cleavage Products in the Cerebrospinal Fluid - Differential Occurrence in ALS, Epilepsy and Small Vessel Disease</t>
  </si>
  <si>
    <t>Hußler, W.; Höhn, L.; Stolz, C.; Vielhaber, S.; Garz, C.; Schmitt, F. C.; Gundelfinger, E. D.; Schreiber, S.; Seidenbecher, C. I.</t>
  </si>
  <si>
    <t>Front Cell Neurosci</t>
  </si>
  <si>
    <t>10.3389/fncel.2022.838432</t>
  </si>
  <si>
    <t>Hußler 2022</t>
  </si>
  <si>
    <t>A fluid biomarker reveals loss of TDP-43 splicing repression in presymptomatic ALS-FTD</t>
  </si>
  <si>
    <t>Irwin, K. E.; Jasin, P.; Braunstein, K. E.; Sinha, I. R.; Garret, M. A.; Bowden, K. D.; Chang, K.; Troncoso, J. C.; Moghekar, A.; Oh, E. S.; Raitcheva, D.; Bartlett, D.; Miller, T.; Berry, J. D.; Traynor, B. J.; Ling, J. P.; Wong, P. C.</t>
  </si>
  <si>
    <t>Feb</t>
  </si>
  <si>
    <t>Nat Med</t>
  </si>
  <si>
    <t>382-393</t>
  </si>
  <si>
    <t>10.1038/s41591-023-02788-5</t>
  </si>
  <si>
    <t>Irwin 2024</t>
  </si>
  <si>
    <t>Profiling TREM2 expression in amyotrophic lateral sclerosis</t>
  </si>
  <si>
    <t>Jericó, I.; Vicuña-Urriza, J.; Blanco-Luquin, I.; Macias, M.; Martinez-Merino, L.; Roldán, M.; Rojas-Garcia, R.; Pagola-Lorz, I.; Carbayo, A.; De Luna, N.; Zelaya, V.; Mendioroz, M.</t>
  </si>
  <si>
    <t>Brain Behav Immun</t>
  </si>
  <si>
    <t>117-126</t>
  </si>
  <si>
    <t>10.1016/j.bbi.2023.01.013</t>
  </si>
  <si>
    <t>Jericó 2023</t>
  </si>
  <si>
    <t>Characteristics of serum metabolites in sporadic amyotrophic lateral sclerosis patients based on gas chromatography-mass spectrometry</t>
  </si>
  <si>
    <t>Jia, R.; Chen, Q.; Zhou, Q.; Zhang, R.; Jin, J.; Hu, F.; Liu, X.; Qin, X.; Kang, L.; Zhao, S.; Dang, Y.; Dang, J.</t>
  </si>
  <si>
    <t>10.1038/s41598-021-00312-8</t>
  </si>
  <si>
    <t>Jia 2021</t>
  </si>
  <si>
    <t>Identification of a potential non-coding RNA biomarker signature for amyotrophic lateral sclerosis</t>
  </si>
  <si>
    <t>Joilin, Greig; Gray, Elizabeth; Thompson, Alexander G.; Bobeva, Yoana; Talbot, Kevin; Weishaupt, Jochen; Ludolph, Albert; Malaspina, Andrea; Leigh, P. Nigel; Newbury, Sarah F.; Turner, Martin R.; Hafezparast, Majid</t>
  </si>
  <si>
    <t>10.1093/braincomms/fcaa053</t>
  </si>
  <si>
    <t>Combined use of CSF NfL and CSF TDP-43 improves diagnostic performance in ALS</t>
  </si>
  <si>
    <t>Kasai, T.; Kojima, Y.; Ohmichi, T.; Tatebe, H.; Tsuji, Y.; Noto, Y. I.; Kitani-Morii, F.; Shinomoto, M.; Allsop, D.; Mizuno, T.; Tokuda, T.</t>
  </si>
  <si>
    <t>2489-2502</t>
  </si>
  <si>
    <t>10.1002/acn3.50943</t>
  </si>
  <si>
    <t>Kasai 2019</t>
  </si>
  <si>
    <t>Quantum Capacitance Based Amplified Graphene Phononics for Studying Neurodegenerative Diseases</t>
  </si>
  <si>
    <t>Keisham, B.; Seksenyan, A.; Denyer, S.; Kheirkhah, P.; Arnone, G. D.; Avalos, P.; Bhimani, A. D.; Svendsen, C.; Berry, V.; Mehta, A. I.</t>
  </si>
  <si>
    <t>ACS Appl Mater Interfaces</t>
  </si>
  <si>
    <t>169-175</t>
  </si>
  <si>
    <t>10.1021/acsami.8b15893</t>
  </si>
  <si>
    <t>Keisham 2019</t>
  </si>
  <si>
    <t>Amyotrophic Lateral Sclerosis (ALS) prediction model derived from plasma and CSF biomarkers</t>
  </si>
  <si>
    <t>Khosla, R.; Rain, M.; Sharma, S.; Anand, A.</t>
  </si>
  <si>
    <t>PLoS One</t>
  </si>
  <si>
    <t>e0247025</t>
  </si>
  <si>
    <t>10.1371/journal.pone.0247025</t>
  </si>
  <si>
    <t>Khosla 2021</t>
  </si>
  <si>
    <t>Cardiac troponin T is elevated and increases longitudinally in ALS patients</t>
  </si>
  <si>
    <t>Kläppe, U.; Chamoun, S.; Shen, Q.; Finn, A.; Evertsson, B.; Zetterberg, H.; Blennow, K.; Press, R.; Samuelsson, K.; Månberg, A.; Fang, F.; Ingre, C.</t>
  </si>
  <si>
    <t>58-65</t>
  </si>
  <si>
    <t>10.1080/21678421.2021.1939384</t>
  </si>
  <si>
    <t>Kläppe 2022</t>
  </si>
  <si>
    <t>Neurodegenerative biomarkers outperform neuroinflammatory biomarkers in amyotrophic lateral sclerosis</t>
  </si>
  <si>
    <t>Kläppe, U.; Sennfält, S.; Lovik, A.; Finn, A.; Bofaisal, U.; Zetterberg, H.; Blennow, K.; Piehl, F.; Kmezic, I.; Press, R.; Samuelsson, K.; Månberg, A.; Fang, F.; Ingre, C.</t>
  </si>
  <si>
    <t>150-161</t>
  </si>
  <si>
    <t>10.1080/21678421.2023.2263874</t>
  </si>
  <si>
    <t>Kläppe 2024</t>
  </si>
  <si>
    <t>Multifocal motor neuropathy as a mimic of amyotrophic lateral sclerosis: Serum neurofilament light chain as a reliable diagnostic biomarker</t>
  </si>
  <si>
    <t>Kleinveld, V. E. A.; Keritam, O.; Horlings, C. G. C.; Cetin, H.; Wanschitz, J.; Hotter, A.; Zirch, L. S.; Zimprich, F.; Topakian, R.; Müller, P.; Oel, D.; Quasthoff, S.; Erdler, M.; Rauschka, H.; Grinzinger, S.; Jecel, J.; Gaulhofer, P.; Castek, B.; Stadler, K.; Löscher, W. N.</t>
  </si>
  <si>
    <t>Muscle Nerve</t>
  </si>
  <si>
    <t>422-427</t>
  </si>
  <si>
    <t>10.1002/mus.28054</t>
  </si>
  <si>
    <t>Kleinveld 2024</t>
  </si>
  <si>
    <t>Utilizing neurodegenerative markers for the diagnostic evaluation of amyotrophic lateral sclerosis</t>
  </si>
  <si>
    <t>Klíčová, K.; Mareš, J.; Menšíková, K.; Kaiserová, M.; Friedecký, D.; Kaňovský, P.; Strnad, M.; Matěj, R.</t>
  </si>
  <si>
    <t>Eur J Med Res</t>
  </si>
  <si>
    <t>10.1186/s40001-023-01596-4</t>
  </si>
  <si>
    <t>Klíčová 2024</t>
  </si>
  <si>
    <t>Metal ratios as possible biomarkers for amyotrophic lateral sclerosis</t>
  </si>
  <si>
    <t>Koski, L.; Berntsson, E.; Vikström, M.; Wärmländer, Skts; Roos, P. M.</t>
  </si>
  <si>
    <t>J Trace Elem Med Biol</t>
  </si>
  <si>
    <t>10.1016/j.jtemb.2023.127163</t>
  </si>
  <si>
    <t>Koski 2023</t>
  </si>
  <si>
    <t>Aβ1-42 and Tau as Potential Biomarkers for Diagnosis and Prognosis of Amyotrophic Lateral Sclerosis</t>
  </si>
  <si>
    <t>Lanznaster, D.; Hergesheimer, R. C.; Bakkouche, S. E.; Beltran, S.; Vourc'h, P.; Andres, C. R.; Dufour-Rainfray, D.; Corcia, P.; Blasco, H.</t>
  </si>
  <si>
    <t>Int J Mol Sci</t>
  </si>
  <si>
    <t>10.3390/ijms21082911</t>
  </si>
  <si>
    <t>Lanznaster 2020</t>
  </si>
  <si>
    <t>Utilizing machine learning and lipidomics to distinguish primary lateral sclerosis from amyotrophic lateral sclerosis</t>
  </si>
  <si>
    <t>Lee, I.; Stingone, J. A.; Chan, R. B.; Mitsumoto, H.</t>
  </si>
  <si>
    <t>306-310</t>
  </si>
  <si>
    <t>10.1002/mus.27797</t>
  </si>
  <si>
    <t>Lee 2023</t>
  </si>
  <si>
    <t>Combined Tissue-Fluid Proteomics to Unravel Phenotypic Variability in Amyotrophic Lateral Sclerosis</t>
  </si>
  <si>
    <t>Leoni, E.; Bremang, M.; Mitra, V.; Zubiri, I.; Jung, S.; Lu, C. H.; Adiutori, R.; Lombardi, V.; Russell, C.; Koncarevic, S.; Ward, M.; Pike, I.; Malaspina, A.</t>
  </si>
  <si>
    <t>10.1038/s41598-019-40632-4</t>
  </si>
  <si>
    <t>Leoni 2019</t>
  </si>
  <si>
    <t>Blood-brain barrier dysfunction and myelin basic protein in survival of amyotrophic lateral sclerosis with or without frontotemporal dementia</t>
  </si>
  <si>
    <t>Li, J. Y.; Cai, Z. Y.; Sun, X. H.; Shen, D. C.; Yang, X. Z.; Liu, M. S.; Cui, L. Y.</t>
  </si>
  <si>
    <t>May</t>
  </si>
  <si>
    <t>Neurological Sciences</t>
  </si>
  <si>
    <t>3201-3210</t>
  </si>
  <si>
    <t>10.1007/s10072-021-05731-z</t>
  </si>
  <si>
    <t>Comparison of neurofilament light and heavy chain in spinal muscular atrophy and amyotrophic lateral sclerosis: A pilot study</t>
  </si>
  <si>
    <t>Li, J. Y.; Dai, Y.; Sun, X. H.; Ren, H. T.; Shen, D. C.; Yang, X. Z.; Liu, M. S.; Cui, L. Y.</t>
  </si>
  <si>
    <t>Brain Behav</t>
  </si>
  <si>
    <t>e2997</t>
  </si>
  <si>
    <t>10.1002/brb3.2997</t>
  </si>
  <si>
    <t>Li 2023</t>
  </si>
  <si>
    <t>UCHL1 from serum and CSF is a candidate biomarker for amyotrophic lateral sclerosis</t>
  </si>
  <si>
    <t>Li, R.; Wang, J.; Xie, W.; Liu, J.; Wang, C.</t>
  </si>
  <si>
    <t>1420-1428</t>
  </si>
  <si>
    <t>10.1002/acn3.51141</t>
  </si>
  <si>
    <t>Small peptide CSF fingerprint of amyotrophic lateral sclerosis</t>
  </si>
  <si>
    <t>Lumi, R.; Petri, S.; Siwy, J.; Latosinska, A.; Raad, J.; Zürbig, P.; Skripuletz, T.; Mischak, H.; Beige, J.</t>
  </si>
  <si>
    <t>e0302280</t>
  </si>
  <si>
    <t>10.1371/journal.pone.0302280</t>
  </si>
  <si>
    <t>Lumi 2024</t>
  </si>
  <si>
    <t>European Journal of Neurology</t>
  </si>
  <si>
    <t>SerpinA1 levels in amyotrophic lateral sclerosis patients: An exploratory study</t>
  </si>
  <si>
    <t>Martinelli, I.; Zucchi, E.; Simonini, C.; Gianferrari, G.; Bedin, R.; Biral, C.; Ghezzi, A.; Fini, N.; Carra, S.; Mandrioli, J.</t>
  </si>
  <si>
    <t>e16054</t>
  </si>
  <si>
    <t>10.1111/ene.16054</t>
  </si>
  <si>
    <t>Martinelli 2024</t>
  </si>
  <si>
    <t>Amyloid-Beta Co-Pathology Is a Major Determinant of the Elevated Plasma GFAP Values in Amyotrophic Lateral Sclerosis</t>
  </si>
  <si>
    <t>Mastrangelo, A.; Vacchiano, V.; Zenesini, C.; Ruggeri, E.; Baiardi, S.; Cherici, A.; Avoni, P.; Polischi, B.; Santoro, F.; Capellari, S.; Liguori, R.; Parchi, P.</t>
  </si>
  <si>
    <t>Sep</t>
  </si>
  <si>
    <t>10.3390/ijms241813976</t>
  </si>
  <si>
    <t>Mastrangelo 2023</t>
  </si>
  <si>
    <t>Validation of a newly developed immunoassay for TDP-43 in human plasma</t>
  </si>
  <si>
    <t>Matsuura, S.; Tatebe, H.; Higuchi, M.; Tokuda, T.</t>
  </si>
  <si>
    <t>Heliyon</t>
  </si>
  <si>
    <t>e24672</t>
  </si>
  <si>
    <t>10.1016/j.heliyon.2024.e24672</t>
  </si>
  <si>
    <t>Matsuura 2024</t>
  </si>
  <si>
    <t>Serum Neurofilaments in Motor Neuron Disease and Their Utility in Differentiating ALS, PMA and PLS</t>
  </si>
  <si>
    <t>McCluskey, G.; Morrison, K. E.; Donaghy, C.; McConville, J.; McCarron, M. O.; McVerry, F.; Duddy, W.; Duguez, S.</t>
  </si>
  <si>
    <t>Life (Basel)</t>
  </si>
  <si>
    <t>10.3390/life13061301</t>
  </si>
  <si>
    <t>McCluskey 2023</t>
  </si>
  <si>
    <t>Plasma taurine is an axonal excitability-translatable biomarker for amyotrophic lateral sclerosis</t>
  </si>
  <si>
    <t>Nakazato, T.; Kanai, K.; Kataura, T.; Nojiri, S.; Hattori, N.; Saiki, S.</t>
  </si>
  <si>
    <t>10.1038/s41598-022-13397-6</t>
  </si>
  <si>
    <t>Nakazato 2022</t>
  </si>
  <si>
    <t>Increased cerebrospinal fluid adenosine 5'-triphosphate in patients with amyotrophic lateral sclerosis</t>
  </si>
  <si>
    <t>Nukui, T.; Matsui, A.; Niimi, H.; Sugimoto, T.; Hayashi, T.; Dougu, N.; Konishi, H.; Yamamoto, M.; Anada, R.; Matsuda, N.; Kitajima, I.; Nakatsuji, Y.</t>
  </si>
  <si>
    <t>BMC Neurol</t>
  </si>
  <si>
    <t>10.1186/s12883-021-02288-4</t>
  </si>
  <si>
    <t>Nukui 2021</t>
  </si>
  <si>
    <t>Association of Cerebrospinal Fluid Neurofilament Light Protein Levels With Cognition in Patients With Dementia, Motor Neuron Disease, and Movement Disorders</t>
  </si>
  <si>
    <t>Olsson, B.; Portelius, E.; Cullen, N. C.; Sandelius, Å; Zetterberg, H.; Andreasson, U.; Höglund, K.; Irwin, D. J.; Grossman, M.; Weintraub, D.; Chen-Plotkin, A.; Wolk, D.; McCluskey, L.; Elman, L.; Shaw, L. M.; Toledo, J. B.; McBride, J.; Hernandez-Con, P.; Lee, V. M. Y.; Trojanowski, J. Q.; Blennow, K.</t>
  </si>
  <si>
    <t>Jama Neurology</t>
  </si>
  <si>
    <t>318-325</t>
  </si>
  <si>
    <t>10.1001/jamaneurol.2018.3746</t>
  </si>
  <si>
    <t>Olsson 2019</t>
  </si>
  <si>
    <t>Diagnostic Circulating miRNAs in Sporadic Amyotrophic Lateral Sclerosis</t>
  </si>
  <si>
    <t>Panio, A.; Cava, C.; D'Antona, S.; Bertoli, G.; Porro, D.</t>
  </si>
  <si>
    <t>Front Med (Lausanne)</t>
  </si>
  <si>
    <t>10.3389/fmed.2022.861960</t>
  </si>
  <si>
    <t>Panio 2022</t>
  </si>
  <si>
    <t>Decoding distinctive features of plasma extracellular vesicles in amyotrophic lateral sclerosis</t>
  </si>
  <si>
    <t>Pasetto, Laura; Callegaro, Stefano; Corbelli, Alessandro; Fiordaliso, Fabio; Ferrara, Deborah; Brunelli, Laura; Sestito, Giovanna; Pastorelli, Roberta; Bianchi, Elisa; Cretich, Marina; Chiari, Marcella; Potrich, Cristina; Moglia, Cristina; Corbo, Massimo; Sorarù, Gianni; Lunetta, Christian; Calvo, Andrea; Chiò, Adriano; Mora, Gabriele; Pennuto, Maria; Quattrone, Alessandro; Rinaldi, Francesco; D'Agostino, Vito Giuseppe; Basso, Manuela; Bonetto, Valentina</t>
  </si>
  <si>
    <t>Molecular Neurodegeneration</t>
  </si>
  <si>
    <t>10.1186/s13024-021-00470-3</t>
  </si>
  <si>
    <t>Pasetto 2021</t>
  </si>
  <si>
    <t>Multiple pathways of lipid dysregulation in amyotrophic lateral sclerosis</t>
  </si>
  <si>
    <t>Phan, Katherine; He, Ying; Bhatia, Surabhi; Pickford, Russell; McDonald, Gordon; Mazumder, Srestha; Timmins, Hannah C.; Hodges, John R.; Piguet, Olivier; Dzamko, Nicolas; Halliday, Glenda M.; Kiernan, Matthew C.; Kim, Woojin Scott</t>
  </si>
  <si>
    <t>10.1093/braincomms/fcac340</t>
  </si>
  <si>
    <t>Phan 2022</t>
  </si>
  <si>
    <t>Role of the immune system in amyotrophic lateral sclerosis. Analysis of the natural killer cells and other circulating lymphocytes in a cohort of ALS patients</t>
  </si>
  <si>
    <t>Piccoli, T.; Castro, F.; La Bella, V.; Meraviglia, S.; Di Simone, M.; Salemi, G.; Dieli, F.; Spataro, R.</t>
  </si>
  <si>
    <t>10.1186/s12883-023-03255-x</t>
  </si>
  <si>
    <t>Piccoli 2023</t>
  </si>
  <si>
    <t>Humoral response to neurofilaments and dipeptide repeats in ALS progression</t>
  </si>
  <si>
    <t>Puentes, F.; Lombardi, V.; Lu, C. H.; Yildiz, O.; Fratta, P.; Isaacs, A.; Bobeva, Y.; Wuu, J.; Benatar, M.; Malaspina, A.</t>
  </si>
  <si>
    <t>1831-1844</t>
  </si>
  <si>
    <t>10.1002/acn3.51428</t>
  </si>
  <si>
    <t>Puentes 2021</t>
  </si>
  <si>
    <t>Aberrantly Expressed Hsa_circ_0060762 and CSE1L as Potential Peripheral Blood Biomarkers for ALS</t>
  </si>
  <si>
    <t>Ravnik Glavač, M.; Mezzavilla, M.; Dolinar, A.; Koritnik, B.; Glavač, D.</t>
  </si>
  <si>
    <t>Biomedicines</t>
  </si>
  <si>
    <t>10.3390/biomedicines11051316</t>
  </si>
  <si>
    <t>RavnikGlavač 2023</t>
  </si>
  <si>
    <t>TDP-43 and Phosphorylated TDP-43 Levels in Paired Plasma and CSF Samples in Amyotrophic Lateral Sclerosis</t>
  </si>
  <si>
    <t>Ren, Y.; Li, S.; Chen, S.; Sun, X.; Yang, F.; Wang, H.; Li, M.; Cui, F.; Huang, X.</t>
  </si>
  <si>
    <t>Front Neurol</t>
  </si>
  <si>
    <t>10.3389/fneur.2021.663637</t>
  </si>
  <si>
    <t>Ren 2021</t>
  </si>
  <si>
    <t>BDNF and Pro-BDNF in Amyotrophic Lateral Sclerosis: A New Perspective for Biomarkers of Neurodegeneration</t>
  </si>
  <si>
    <t>Riolo, G.; Ricci, C.; De Angelis, N.; Marzocchi, C.; Guerrera, G.; Borsellino, G.; Giannini, F.; Battistini, S.</t>
  </si>
  <si>
    <t>Brain Sciences</t>
  </si>
  <si>
    <t>10.3390/brainsci12050617</t>
  </si>
  <si>
    <t>Riolo 2022</t>
  </si>
  <si>
    <t>Plasma NfL levels and longitudinal change rates in C9orf72 and GRN-associated diseases: from tailored references to clinical applications</t>
  </si>
  <si>
    <t>Saracino, D.; Dorgham, K.; Camuzat, A.; Rinaldi, D.; Rametti-Lacroux, A.; Houot, M.; Clot, F.; Martin-Hardy, P.; Jornea, L.; Azuar, C.; Migliaccio, R.; Pasquier, F.; Couratier, P.; Auriacombe, S.; Sauvée, M.; Boutoleau-Bretonnière, C.; Pariente, J.; Didic, M.; Hannequin, D.; Wallon, D.; Colliot, O.; Dubois, B.; Brice, A.; Levy, R.; Forlani, S.; Le Ber, I.</t>
  </si>
  <si>
    <t>1278-1288</t>
  </si>
  <si>
    <t>10.1136/jnnp-2021-326914</t>
  </si>
  <si>
    <t>Identification of a circulating miRNA signature in extracellular vesicles collected from amyotrophic lateral sclerosis patients</t>
  </si>
  <si>
    <t>Saucier, Daniel; Wajnberg, Gabriel; Roy, Jeremy; Beauregard, Annie-Pier; Chacko, Simi; Crapoulet, Nicolas; Fournier, Sébastien; Ghosh, Anirban; Lewis, Stephen M.; Marrero, Alier; O'Connell, Colleen; Ouellette, Rodney J.; Morin, Pier, Jr.</t>
  </si>
  <si>
    <t>Brain Research</t>
  </si>
  <si>
    <t>100-108</t>
  </si>
  <si>
    <t>10.1016/j.brainres.2018.12.016</t>
  </si>
  <si>
    <t>Saucier 2019</t>
  </si>
  <si>
    <t>Systematic Assessment of 10 Biomarker Candidates Focusing on α-Synuclein-Related Disorders</t>
  </si>
  <si>
    <t>Schulz, I.; Kruse, N.; Gera, R. G.; Kremer, T.; Cedarbaum, J.; Barbour, R.; Zago, W.; Schade, S.; Otte, B.; Bartl, M.; Hutten, S. J.; Trenkwalder, C.; Mollenhauer, B.</t>
  </si>
  <si>
    <t>Mov Disord</t>
  </si>
  <si>
    <t>2874-2887</t>
  </si>
  <si>
    <t>10.1002/mds.28738</t>
  </si>
  <si>
    <t>Schulz 2021</t>
  </si>
  <si>
    <t>Neurofilament light chain as a biological marker for amyotrophic lateral sclerosis: a meta-analysis study</t>
  </si>
  <si>
    <t>Sferruzza, G.; Bosco, L.; Falzone, Y. M.; Russo, T.; Domi, T.; Quattrini, A.; Filippi, M.; Riva, N.</t>
  </si>
  <si>
    <t>446-457</t>
  </si>
  <si>
    <t>10.1080/21678421.2021.2007952</t>
  </si>
  <si>
    <t>Sferruzza 2022</t>
  </si>
  <si>
    <t>Neurofilaments in Sporadic and Familial Amyotrophic Lateral Sclerosis: A Systematic Review and Meta-Analysis</t>
  </si>
  <si>
    <t>Shahim, P.; Norato, G.; Sinaii, N.; Zetterberg, H.; Blennow, K.; Chan, L.; Grunseich, C.</t>
  </si>
  <si>
    <t>Genes (Basel)</t>
  </si>
  <si>
    <t>10.3390/genes15040496</t>
  </si>
  <si>
    <t>Shahim 2024</t>
  </si>
  <si>
    <t>Neurofilament markers in serum and cerebrospinal fluid of patients with amyotrophic lateral sclerosis</t>
  </si>
  <si>
    <t>Shi, J.; Qin, X.; Chang, X.; Wang, H.; Guo, J.; Zhang, W.</t>
  </si>
  <si>
    <t>583-587</t>
  </si>
  <si>
    <t>10.1111/jcmm.17100</t>
  </si>
  <si>
    <t>Shi 2022</t>
  </si>
  <si>
    <t>CSF Heavy Neurofilament May Discriminate and Predict Motor Neuron Diseases with Upper Motor Neuron Involvement</t>
  </si>
  <si>
    <t>Simonini, C.; Zucchi, E.; Bedin, R.; Martinelli, I.; Gianferrari, G.; Fini, N.; Soraù, G.; Liguori, R.; Vacchiano, V.; Mandrioli, J.</t>
  </si>
  <si>
    <t>10.3390/biomedicines9111623</t>
  </si>
  <si>
    <t>Simonini 2021</t>
  </si>
  <si>
    <t>TDP-43 and HERV-K Envelope-Specific Immunogenic Epitopes Are Recognized in ALS Patients</t>
  </si>
  <si>
    <t>Simula, E. R.; Arru, G.; Zarbo, I. R.; Solla, P.; Sechi, L. A.</t>
  </si>
  <si>
    <t>Viruses</t>
  </si>
  <si>
    <t>10.3390/v13112301</t>
  </si>
  <si>
    <t>Simula 2021</t>
  </si>
  <si>
    <t>Plasma neurofilament light levels show elevation two years prior to diagnosis of amyotrophic lateral sclerosis in the UK Biobank</t>
  </si>
  <si>
    <t>Smith, E. N.; Lee, J.; Prilutsky, D.; Zicha, S.; Wang, Z.; Han, S.; Zach, N.</t>
  </si>
  <si>
    <t>170-176</t>
  </si>
  <si>
    <t>10.1080/21678421.2023.2285428</t>
  </si>
  <si>
    <t>Smith 2024</t>
  </si>
  <si>
    <t>Assessment of diagnostic potential of some circulating microRNAs in Amyotrophic Lateral Sclerosis Patients, an Egyptian study</t>
  </si>
  <si>
    <t>Soliman, R.; Mousa, N. O.; Rashed, H. R.; Moustafa, R. R.; Hamdi, N.; Osman, A.; Fahmy, N.</t>
  </si>
  <si>
    <t>Clin Neurol Neurosurg</t>
  </si>
  <si>
    <t>10.1016/j.clineuro.2021.106883</t>
  </si>
  <si>
    <t>Soliman 2021</t>
  </si>
  <si>
    <t>Chitotriosidase as biomarker for early stage amyotrophic lateral sclerosis: a multicenter study</t>
  </si>
  <si>
    <t>Steinacker, P.; Feneberg, E.; Halbgebauer, S.; Witzel, S.; Verde, F.; Oeckl, P.; Van Damme, P.; Gaur, N.; Gray, E.; Grosskreutz, J.; Jardel, C. G.; Kachanov, M.; Kuhle, J.; Lamari, F.; Maceski, A.; Del Mar Amador, M.; Mayer, B.; Morelli, C.; Petri, S.; Poesen, K.; Raaphorst, J.; Salachas, F.; Silani, V.; Turner, M. R.; Verbeek, M. M.; Volk, A. E.; Weishaupt, J. H.; Weydt, P.; Ludolph, A. C.; Otto, M.</t>
  </si>
  <si>
    <t>276-286</t>
  </si>
  <si>
    <t>10.1080/21678421.2020.1861023</t>
  </si>
  <si>
    <t>Steinacker 2021</t>
  </si>
  <si>
    <t>ALS blood expression profiling identifies new biomarkers, patient subgroups, and evidence for neutrophilia and hypoxia</t>
  </si>
  <si>
    <t>Swindell, W. R.; Kruse, C. P. S.; List, E. O.; Berryman, D. E.; Kopchick, J. J.</t>
  </si>
  <si>
    <t>J Transl Med</t>
  </si>
  <si>
    <t>10.1186/s12967-019-1909-0</t>
  </si>
  <si>
    <t>Swindell 2019</t>
  </si>
  <si>
    <t>CSF chitinase proteins in amyotrophic lateral sclerosis</t>
  </si>
  <si>
    <t>Thompson, A. G.; Gray, E.; Bampton, A.; Raciborska, D.; Talbot, K.; Turner, M. R.</t>
  </si>
  <si>
    <t>1215-1220</t>
  </si>
  <si>
    <t>10.1136/jnnp-2019-320442</t>
  </si>
  <si>
    <t>Thompson 2019</t>
  </si>
  <si>
    <t>Multicentre appraisal of amyotrophic lateral sclerosis biofluid biomarkers shows primacy of blood neurofilament light chain</t>
  </si>
  <si>
    <t>Thompson, Alexander G.; Gray, Elizabeth; Verber, Nick; Bobeva, Yoana; Lombardi, Vittoria; Shepheard, Stephanie R.; Yildiz, Ozlem; Feneberg, Emily; Farrimond, Lucy; Dharmadasa, Thanuja; Gray, Pamela; Edmond, Evan C.; Scaber, Jakub; Gagliardi, Delia; Kirby, Janine; Jenkins, Thomas M.; Fratta, Pietro; McDermott, Christopher J.; Manohar, Sanjay G.; Talbot, Kevin; Malaspina, Andrea; Shaw, Pamela J.; Turner, Martin R.</t>
  </si>
  <si>
    <t>10.1093/braincomms/fcac029</t>
  </si>
  <si>
    <t>Thompson 2022</t>
  </si>
  <si>
    <t>Serum neurofilament light chain at time of diagnosis is an independent prognostic factor of survival in amyotrophic lateral sclerosis</t>
  </si>
  <si>
    <t>Thouvenot, E.; Demattei, C.; Lehmann, S.; Maceski-Maleska, A.; Hirtz, C.; Juntas-Morales, R.; Pageot, N.; Esselin, F.; Alphandéry, S.; Vincent, T.; Camu, W.</t>
  </si>
  <si>
    <t>251-257</t>
  </si>
  <si>
    <t>10.1111/ene.14063</t>
  </si>
  <si>
    <t>Thouvenot 2020</t>
  </si>
  <si>
    <t>Neuron-specific enolase level is a useful biomarker for distinguishing amyotrophic lateral sclerosis from cervical spondylotic myelopathy</t>
  </si>
  <si>
    <t>Tsukahara, A.; Hosokawa, T.; Nishioka, D.; Kotani, T.; Ishida, S.; Takeuchi, T.; Kimura, F.; Arawaka, S.</t>
  </si>
  <si>
    <t>10.1038/s41598-021-02310-2</t>
  </si>
  <si>
    <t>Tsukahara 2021</t>
  </si>
  <si>
    <t>Elevated plasma p-tau181 levels unrelated to Alzheimer's disease pathology in amyotrophic lateral sclerosis</t>
  </si>
  <si>
    <t>Vacchiano, V.; Mastrangelo, A.; Zenesini, C.; Baiardi, S.; Avoni, P.; Polischi, B.; Capellari, S.; Salvi, F.; Liguori, R.; Parchi, P.</t>
  </si>
  <si>
    <t>428-435</t>
  </si>
  <si>
    <t>10.1136/jnnp-2022-330709</t>
  </si>
  <si>
    <t>Vacchiano 2023</t>
  </si>
  <si>
    <t>Plasma and CSF Neurofilament Light Chain in Amyotrophic Lateral Sclerosis: A Cross-Sectional and Longitudinal Study</t>
  </si>
  <si>
    <t>Vacchiano, V.; Mastrangelo, A.; Zenesini, C.; Masullo, M.; Quadalti, C.; Avoni, P.; Polischi, B.; Cherici, A.; Capellari, S.; Salvi, F.; Liguori, R.; Parchi, P.</t>
  </si>
  <si>
    <t>Front Aging Neurosci</t>
  </si>
  <si>
    <t>10.3389/fnagi.2021.753242</t>
  </si>
  <si>
    <t>Vacchiano 2021</t>
  </si>
  <si>
    <t>Chitotriosidase, a biomarker of amyotrophic lateral sclerosis, accentuates neurodegeneration in spinal motor neurons through neuroinflammation</t>
  </si>
  <si>
    <t>Varghese, Anu Mary; Ghosh, Mausam; Bhagat, Savita Kumari; Vijayalakshmi, K.; Preethish-Kumar, Veeramani; Vengalil, Seena; Chevula, Pradeep-Chandra-Reddy; Nashi, Saraswati; Polavarapu, Kiran; Sharma, Meenakshi; Dhaliwal, Rupinder Singh; Philip, Mariamma; Nalini, Atchayaram; Alladi, Phalguni Anand; Sathyaprabha, Talakad N.; Raju, Trichur R.</t>
  </si>
  <si>
    <t>Journal of Neuroinflammation</t>
  </si>
  <si>
    <t>10.1186/s12974-020-01909-y</t>
  </si>
  <si>
    <t>Varghese 2020</t>
  </si>
  <si>
    <t>Phenotypic correlates of serum neurofilament light chain levels in amyotrophic lateral sclerosis</t>
  </si>
  <si>
    <t>Verde, F.; Milone, I.; Colombo, E.; Maranzano, A.; Solca, F.; Torre, S.; Doretti, A.; Gentile, F.; Manini, A.; Bonetti, R.; Peverelli, S.; Messina, S.; Maderna, L.; Morelli, C.; Poletti, B.; Ratti, A.; Silani, V.; Ticozzi, N.</t>
  </si>
  <si>
    <t>Frontiers in Aging Neuroscience</t>
  </si>
  <si>
    <t>10.3389/fnagi.2023.1132808</t>
  </si>
  <si>
    <t>Serum levels of glial fibrillary acidic protein in patients with amyotrophic lateral sclerosis</t>
  </si>
  <si>
    <t>Verde, F.; Milone, I.; Maranzano, A.; Colombo, E.; Torre, S.; Solca, F.; Doretti, A.; Gentile, F.; Manini, A.; Bonetti, R.; Peverelli, S.; Messina, S.; Maderna, L.; Morelli, C.; Poletti, B.; Ratti, A.; Silani, V.; Ticozzi, N.</t>
  </si>
  <si>
    <t>Annals of Clinical and Translational Neurology</t>
  </si>
  <si>
    <t>118-129</t>
  </si>
  <si>
    <t>10.1002/acn3.51708</t>
  </si>
  <si>
    <t>Neurofilament light chain in serum for the diagnosis of amyotrophic lateral sclerosis</t>
  </si>
  <si>
    <t>Verde, F.; Steinacker, P.; Weishaupt, J. H.; Kassubek, J.; Oeckl, P.; Halbgebauer, S.; Tumani, H.; von Arnim, C. A. F.; Dorst, J.; Feneberg, E.; Mayer, B.; Müller, H. P.; Gorges, M.; Rosenbohm, A.; Volk, A. E.; Silani, V.; Ludolph, A. C.; Otto, M.</t>
  </si>
  <si>
    <t>157-164</t>
  </si>
  <si>
    <t>10.1136/jnnp-2018-318704</t>
  </si>
  <si>
    <t>Verde 2019</t>
  </si>
  <si>
    <t>Cerebrospinal fluid phosphorylated neurofilament heavy chain and chitotriosidase in primary lateral sclerosis</t>
  </si>
  <si>
    <t>Verde, F.; Zaina, G.; Bodio, C.; Borghi, O.; Peverelli, S.; Colombrita, C.; Maderna, L.; Soranna, D.; Zambon, A.; Morelli, C.; Ticozzi, N.; Ratti, A.; Meroni, P. L.; Silani, V.</t>
  </si>
  <si>
    <t>Verde 2020</t>
  </si>
  <si>
    <t>A Systematic Review of Suggested Molecular Strata, Biomarkers and Their Tissue Sources in ALS</t>
  </si>
  <si>
    <t>Vijayakumar, U. G.; Milla, V.; Cynthia Stafford, M. Y.; Bjourson, A. J.; Duddy, W.; Duguez, S. M.</t>
  </si>
  <si>
    <t>10.3389/fneur.2019.00400</t>
  </si>
  <si>
    <t>Vijayakumar 2019</t>
  </si>
  <si>
    <t>Diagnostic value of neurofilaments in differentiating motor neuron disease from multifocal motor neuropathy</t>
  </si>
  <si>
    <t>Wohnrade, C.; Seeliger, T.; Gingele, S.; Bjelica, B.; Skripuletz, T.; Petri, S.</t>
  </si>
  <si>
    <t>4441-4452</t>
  </si>
  <si>
    <t>10.1007/s00415-024-12355-8</t>
  </si>
  <si>
    <t>Wohnrade 2024</t>
  </si>
  <si>
    <t>Cerebrospinal fluid MFG-E8 as a promising biomarker of amyotrophic lateral sclerosis</t>
  </si>
  <si>
    <t>Yang, B.; Wu, Y.; Wang, Y.; Yang, H.; Du, B.; Di, W.; Xu, X.; Shi, X.</t>
  </si>
  <si>
    <t>Neurol Sci</t>
  </si>
  <si>
    <t>2915-2920</t>
  </si>
  <si>
    <t>10.1007/s10072-020-04416-3</t>
  </si>
  <si>
    <t>Yang 2020</t>
  </si>
  <si>
    <t>Rab Geranylgeranyltransferase Subunit Beta as a Potential Indicator to Assess the Progression of Amyotrophic Lateral Sclerosis</t>
  </si>
  <si>
    <t>Yang, J.; Xin, C.; Huo, J.; Li, X.; Dong, H.; Liu, Q.; Li, R.; Liu, Y.</t>
  </si>
  <si>
    <t>Brain Sci</t>
  </si>
  <si>
    <t>10.3390/brainsci13111531</t>
  </si>
  <si>
    <t>Yang 2023</t>
  </si>
  <si>
    <t>Role of plasma phosphorylated neurofilament heavy chain (pNfH) in amyotrophic lateral sclerosis</t>
  </si>
  <si>
    <t>Zecca, C.; Dell'Abate, M. T.; Pasculli, G.; Capozzo, R.; Barone, R.; Arima, S.; Pollice, A.; Brescia, V.; Tortelli, R.; Logroscino, G.</t>
  </si>
  <si>
    <t>3608-3615</t>
  </si>
  <si>
    <t>10.1111/jcmm.17232</t>
  </si>
  <si>
    <t>Zecca 2022</t>
  </si>
  <si>
    <t>Zhang, Q. J.; Chen, Y.; Zou, X. H.; Hu, W.; Ye, M. L.; Guo, Q. F.; Lin, X. L.; Feng, S. Y.; Wang, N.</t>
  </si>
  <si>
    <t>2010-2018</t>
  </si>
  <si>
    <t>10.1002/acn3.51194</t>
  </si>
  <si>
    <t>Zhang 2020</t>
  </si>
  <si>
    <t>Biomarkers in cerebrospinal fluid for amyotrophic lateral sclerosis phenotypes</t>
  </si>
  <si>
    <t>Zhou, J.; Zeng, Q.; Liao, Q.; Niu, Q.; Gu, W.; Su, D.; Li, S.; Xiao, B.; Bi, F.</t>
  </si>
  <si>
    <t>1467-1480</t>
  </si>
  <si>
    <t>10.1002/acn3.51836</t>
  </si>
  <si>
    <t>Zhou 2023</t>
  </si>
  <si>
    <t>Targeted Multiple Reaction Monitoring Analysis of CSF Identifies UCHL1 and GPNMB as Candidate Biomarkers for ALS</t>
  </si>
  <si>
    <t>Zhu, S.; Wuolikainen, A.; Wu, J.; Öhman, A.; Wingsle, G.; Moritz, T.; Andersen, P. M.; Forsgren, L.; Trupp, M.</t>
  </si>
  <si>
    <t>J Mol Neurosci</t>
  </si>
  <si>
    <t>643-657</t>
  </si>
  <si>
    <t>10.1007/s12031-019-01411-y</t>
  </si>
  <si>
    <t>Zhu 2019</t>
  </si>
  <si>
    <t>CK</t>
    <phoneticPr fontId="2"/>
  </si>
  <si>
    <t>miR</t>
    <phoneticPr fontId="2"/>
  </si>
  <si>
    <t>RNAseq</t>
  </si>
  <si>
    <t>Country</t>
    <phoneticPr fontId="2"/>
  </si>
  <si>
    <t>TP</t>
  </si>
  <si>
    <t>Sensitivity</t>
  </si>
  <si>
    <t>Specificity</t>
  </si>
  <si>
    <t>PPV</t>
  </si>
  <si>
    <t>NPV</t>
  </si>
  <si>
    <t>DOR</t>
  </si>
  <si>
    <t>USA</t>
  </si>
  <si>
    <t>ELISA</t>
  </si>
  <si>
    <t>UK</t>
  </si>
  <si>
    <t>SampleSize_ALS</t>
    <phoneticPr fontId="2"/>
  </si>
  <si>
    <t>AssayMethod</t>
    <phoneticPr fontId="2"/>
  </si>
  <si>
    <t>Mean_ALS</t>
    <phoneticPr fontId="2"/>
  </si>
  <si>
    <t>SD_ALS</t>
    <phoneticPr fontId="2"/>
  </si>
  <si>
    <t>SE_ALS</t>
    <phoneticPr fontId="2"/>
  </si>
  <si>
    <t>upper95CI_ALS</t>
    <phoneticPr fontId="2"/>
  </si>
  <si>
    <t>lower95CI_ALS</t>
    <phoneticPr fontId="2"/>
  </si>
  <si>
    <t>AUC</t>
    <phoneticPr fontId="2"/>
  </si>
  <si>
    <t>AUC_upperCI</t>
    <phoneticPr fontId="2"/>
  </si>
  <si>
    <t>AUC_lowerCI</t>
    <phoneticPr fontId="2"/>
  </si>
  <si>
    <t>ELISA</t>
    <phoneticPr fontId="2"/>
  </si>
  <si>
    <t>Italy</t>
    <phoneticPr fontId="2"/>
  </si>
  <si>
    <t>HC</t>
    <phoneticPr fontId="2"/>
  </si>
  <si>
    <t>ALSmimics</t>
    <phoneticPr fontId="2"/>
  </si>
  <si>
    <t>Control</t>
    <phoneticPr fontId="2"/>
  </si>
  <si>
    <t>ALS_age_sd</t>
    <phoneticPr fontId="2"/>
  </si>
  <si>
    <t>Med_ALS</t>
    <phoneticPr fontId="2"/>
  </si>
  <si>
    <t>Q1_ALS</t>
    <phoneticPr fontId="2"/>
  </si>
  <si>
    <t>Q3_ALS</t>
    <phoneticPr fontId="2"/>
  </si>
  <si>
    <t>Mean_Con</t>
    <phoneticPr fontId="2"/>
  </si>
  <si>
    <t>SD_Con</t>
    <phoneticPr fontId="2"/>
  </si>
  <si>
    <t>SE_Con</t>
    <phoneticPr fontId="2"/>
  </si>
  <si>
    <t>upperCI_Con</t>
    <phoneticPr fontId="2"/>
  </si>
  <si>
    <t>lowerCI_Con</t>
    <phoneticPr fontId="2"/>
  </si>
  <si>
    <t>Med_Con</t>
    <phoneticPr fontId="2"/>
  </si>
  <si>
    <t>SampleSize_Con</t>
    <phoneticPr fontId="2"/>
  </si>
  <si>
    <t>Q1_Con</t>
    <phoneticPr fontId="2"/>
  </si>
  <si>
    <t>Q3_Con</t>
    <phoneticPr fontId="2"/>
  </si>
  <si>
    <t>Pval_ALSvsCon</t>
    <phoneticPr fontId="2"/>
  </si>
  <si>
    <t>&lt;0.001</t>
    <phoneticPr fontId="2"/>
  </si>
  <si>
    <t>ALS_age_mean</t>
    <phoneticPr fontId="2"/>
  </si>
  <si>
    <t>ControlSetting</t>
    <phoneticPr fontId="2"/>
  </si>
  <si>
    <t>age- and sex-matched individuals with no clinical or neuroradiological evidence of central nervous system diseases. Their CSF biomarker levels (p-tau/Aβ42 and t-tau/Aβ42) were within normal ranges​.</t>
  </si>
  <si>
    <t>genetic_cases</t>
    <phoneticPr fontId="2"/>
  </si>
  <si>
    <t>cases_with_FH</t>
    <phoneticPr fontId="2"/>
  </si>
  <si>
    <t>CLEIA</t>
    <phoneticPr fontId="2"/>
  </si>
  <si>
    <t>ALS_age_median</t>
    <phoneticPr fontId="2"/>
  </si>
  <si>
    <t>Sens_upperCI</t>
  </si>
  <si>
    <t>Sens_lowerCI</t>
  </si>
  <si>
    <t>Spe_lowerCI</t>
  </si>
  <si>
    <t>Spe_upperCI</t>
  </si>
  <si>
    <t>Amyloidosis,BiopolarD,BrainTumor,NPH,VascularEncephalopathy,MS,ConvulsionDisorder,TrigeminalNeuralagia</t>
  </si>
  <si>
    <t>Australia</t>
  </si>
  <si>
    <t>HC</t>
  </si>
  <si>
    <t>recruited from a panel of volunteers and were age- and education-matched and scored above 88/100 on the Addenbrooke’s Cognitive Examination-Revised</t>
  </si>
  <si>
    <t>ALScog vs HC</t>
  </si>
  <si>
    <t>ALSmimics</t>
  </si>
  <si>
    <t>no</t>
  </si>
  <si>
    <t>&lt;0.001</t>
  </si>
  <si>
    <t>Bio-Plex™ Human Cytokine 8-plex Assay for Inflammatory cytokines, and  COBAS 8000 analyzer for Lipid and apolipoprotein levels</t>
  </si>
  <si>
    <t>France</t>
  </si>
  <si>
    <t>various disease (tableS1)</t>
  </si>
  <si>
    <t>pg/mL</t>
  </si>
  <si>
    <t>MeasuredLevel</t>
  </si>
  <si>
    <t>ng/mL</t>
  </si>
  <si>
    <t>PPV_lower</t>
  </si>
  <si>
    <t>PPV_upper</t>
  </si>
  <si>
    <t>NPV_lower</t>
  </si>
  <si>
    <t>NPV_upper</t>
  </si>
  <si>
    <t>ELISA and SELDI-MS</t>
  </si>
  <si>
    <t>Spain</t>
  </si>
  <si>
    <t>CXCL12</t>
  </si>
  <si>
    <t>age-matched, 1st Cohort</t>
  </si>
  <si>
    <t>age-matched, 2nd Cohort</t>
  </si>
  <si>
    <t>KCL cohort</t>
  </si>
  <si>
    <t>Simoa</t>
  </si>
  <si>
    <t>NO</t>
  </si>
  <si>
    <t>Czech</t>
  </si>
  <si>
    <t>initially suspected</t>
  </si>
  <si>
    <t>CM,IBM,Motor Neuropathy,Muscular Dystrophy,HSP,Ideopathic Polyneuropathy,</t>
  </si>
  <si>
    <t>DC</t>
  </si>
  <si>
    <t>MND vs DC</t>
  </si>
  <si>
    <t>%FH</t>
  </si>
  <si>
    <t>ALS_age_1Q</t>
  </si>
  <si>
    <t>ALS_age_3Q</t>
  </si>
  <si>
    <t>myelo-/radiculopathy and CIDP and MMN, CIAP, polyneuropathy of defined etiology, MG, myopathy, functional disorder</t>
  </si>
  <si>
    <t>myelo-/radiculopathy  and CIDP and MMN, CIAP, polyneuropathy of defined etiology, MG, myopathy, functional disorder</t>
  </si>
  <si>
    <t>other MNDs (n=13), neuropathies &amp; myelopathies (n=24) and myopathies (n=7)</t>
  </si>
  <si>
    <t>Cut_off_Value</t>
  </si>
  <si>
    <t>ApoA1, IL7,IL8,Calprotectin,IL10</t>
  </si>
  <si>
    <t>creatine, creatinine, methylhistidine, Histidine, Proline, Dihydrothymine</t>
  </si>
  <si>
    <t>Model</t>
  </si>
  <si>
    <t>Germany</t>
  </si>
  <si>
    <t>immuno-infrared sensor technology​</t>
  </si>
  <si>
    <t>FluidType</t>
  </si>
  <si>
    <t>CSF</t>
  </si>
  <si>
    <t>serum</t>
  </si>
  <si>
    <t>plasma</t>
  </si>
  <si>
    <t>NfL</t>
  </si>
  <si>
    <t>t-tau</t>
  </si>
  <si>
    <t>p-tau</t>
  </si>
  <si>
    <t>ptau_ttau_ratio</t>
  </si>
  <si>
    <t>YKL40</t>
  </si>
  <si>
    <t>CHIT1</t>
  </si>
  <si>
    <t>CHIT1_WT_Het</t>
  </si>
  <si>
    <t>NPY</t>
  </si>
  <si>
    <t>Leptin</t>
  </si>
  <si>
    <t>MODEL</t>
  </si>
  <si>
    <t>VGF</t>
  </si>
  <si>
    <t>pNfH</t>
  </si>
  <si>
    <t>metabolite_modeling</t>
  </si>
  <si>
    <t>amide I band frequencies in cm⁻¹​</t>
  </si>
  <si>
    <t>PD</t>
  </si>
  <si>
    <t>other neurological disease</t>
  </si>
  <si>
    <t>&lt; 0.0001</t>
  </si>
  <si>
    <t>both CSF and Plasma</t>
  </si>
  <si>
    <t>Multiple</t>
  </si>
  <si>
    <t>R-PLEX and V-PLEX</t>
  </si>
  <si>
    <t>R-PLEX</t>
  </si>
  <si>
    <t>IPN</t>
  </si>
  <si>
    <t>Infammatory Peripheral Neuropathies</t>
  </si>
  <si>
    <t>both CSF and Serum</t>
  </si>
  <si>
    <t>CSF NfL, CSF ICAM-1, and serum IFN-γ</t>
  </si>
  <si>
    <t>Non-ALS patients (including other neurological diseases)</t>
  </si>
  <si>
    <t>&lt;0.0001</t>
  </si>
  <si>
    <t>PBMC</t>
  </si>
  <si>
    <t>Italy</t>
  </si>
  <si>
    <t>Immunofluorescence analysis (IFA) and flow cytometry assays (FCAs)</t>
  </si>
  <si>
    <t>Healthy donors</t>
  </si>
  <si>
    <t>results were primarily in terms of fluorescence intensity</t>
  </si>
  <si>
    <t>TnT</t>
  </si>
  <si>
    <t>ng/L</t>
  </si>
  <si>
    <t>High-sensitivity cardiac cTnT and cTnI measurements were performed in a fully accredited commercial laboratory</t>
  </si>
  <si>
    <t>healthy controls</t>
  </si>
  <si>
    <t>age- and sex-matched healthy control</t>
  </si>
  <si>
    <t>China</t>
  </si>
  <si>
    <t>Automatic biochemistry analyzer (Roche Cobas 8000)</t>
  </si>
  <si>
    <t>U/L</t>
  </si>
  <si>
    <t>ALS-mimicking disorders, including multiple system atrophy, axonal peripheral neuropathy, demyelinating spinal cord lesion, idiopathic brachial plexopathy, and chronic inflammatory demyelinating neuropathy</t>
  </si>
  <si>
    <t>Portugal</t>
  </si>
  <si>
    <t>Normal-Phase High-Performance Liquid Chromatography (NP-HPLC) combined with exoglycosidase digestion and MALDI-TOF mass spectrometry (Matrix-Assisted Laser Desorption/Ionization Time-Of-Flight Mass Spectrometry)</t>
  </si>
  <si>
    <t>%</t>
  </si>
  <si>
    <t>IgG N-Glycosylation (Gal index)</t>
  </si>
  <si>
    <t>AD</t>
  </si>
  <si>
    <t>p-tau181</t>
  </si>
  <si>
    <t>IQR_ALS</t>
  </si>
  <si>
    <t>IQR_Con</t>
  </si>
  <si>
    <t xml:space="preserve"> xMAP Luminex</t>
  </si>
  <si>
    <t>blood</t>
  </si>
  <si>
    <t>Iran</t>
  </si>
  <si>
    <t>TaqMan Real-time qPCR</t>
  </si>
  <si>
    <t>let-7f-5p</t>
  </si>
  <si>
    <t>2−ΔΔCT</t>
  </si>
  <si>
    <t>miR-338-3p</t>
  </si>
  <si>
    <t>combine let-7f-5p and miR-338-3p</t>
  </si>
  <si>
    <t>3 with PLS, 19 with alternative diagnoses</t>
  </si>
  <si>
    <t>R-plex NfL Meso Scale Discovery assay (with detection limit 5.5 pg/ml)</t>
  </si>
  <si>
    <t>NOD2</t>
  </si>
  <si>
    <t>Age-matched and sex-matched cognitively normal controls from the Sant Pau Initiative on Neurodegeneration (SPIN) cohort</t>
  </si>
  <si>
    <t>FTD</t>
  </si>
  <si>
    <t>Spp1</t>
  </si>
  <si>
    <t>community-recruited with exclusions for major neurological or psychiatric conditions, cancer within 5 years, or a family history of neurological diseases</t>
  </si>
  <si>
    <t>Belgium</t>
  </si>
  <si>
    <t>pNfH, age,</t>
  </si>
  <si>
    <t xml:space="preserve"> (supple table) Disease controls included patients with motor neuron disease suspicion, ultimately not diagnosed with ALS. Conditions included disease mimics like inclusion body myositis and radiculopathies​</t>
  </si>
  <si>
    <t>miR</t>
  </si>
  <si>
    <t>absolute quantification in copies per 200 μL serum</t>
  </si>
  <si>
    <t>Varied by miRNA type and disease stage</t>
  </si>
  <si>
    <t>Slovenia</t>
  </si>
  <si>
    <t>Age- and sex-matched with ALS patients</t>
  </si>
  <si>
    <t>Microarray followed by qPCR for validation</t>
  </si>
  <si>
    <t>has_circ0000567</t>
  </si>
  <si>
    <t>AUC_plusminus</t>
  </si>
  <si>
    <t>Relative expression shown in fold changes</t>
  </si>
  <si>
    <t>has_circ0005218</t>
  </si>
  <si>
    <t>has_circ0035796</t>
  </si>
  <si>
    <t>has_circ0043138</t>
  </si>
  <si>
    <t>has_circ0063411</t>
  </si>
  <si>
    <t>has_circ0088036</t>
  </si>
  <si>
    <t>has_circ0023919</t>
  </si>
  <si>
    <t>UCHL1</t>
  </si>
  <si>
    <t>GFAP</t>
  </si>
  <si>
    <t>DEG encompassed various neurodegenerative disorders​</t>
  </si>
  <si>
    <t>&lt;0.01</t>
  </si>
  <si>
    <t>NS</t>
  </si>
  <si>
    <t>ALSmd presented similar symptoms but were ruled out from an ALS diagnosis after extensive testing</t>
  </si>
  <si>
    <t>HC had no relation to ALS patients</t>
  </si>
  <si>
    <t>healthy individuals</t>
  </si>
  <si>
    <t>Other neurological disorders, including inflammatory, peripheral neuropathy, vascular, and neurodegenerative conditions, and SMA3</t>
  </si>
  <si>
    <t>Specified by clinical diagnosis distinct from ALS</t>
  </si>
  <si>
    <t>MCP1</t>
  </si>
  <si>
    <t>V-PLEX</t>
  </si>
  <si>
    <t>&lt;0.05</t>
  </si>
  <si>
    <t>Meso Scale Discovery (MSD) assay</t>
  </si>
  <si>
    <t>ALS mimics: chronic radiculopathy7, myasthenia gravis2, and cervical stenosis1, Brachial plexopathy2, Hirayama1, IBM1, neuropathy3, brainstem vascular lesions 1</t>
  </si>
  <si>
    <t>GBS+CIDP</t>
  </si>
  <si>
    <t>HSP</t>
  </si>
  <si>
    <t>PLS</t>
  </si>
  <si>
    <t>PMA</t>
  </si>
  <si>
    <t>ALS-like symptoms later ruled out for DM</t>
  </si>
  <si>
    <t>miRs</t>
  </si>
  <si>
    <t>RT-qPCR</t>
  </si>
  <si>
    <t>gender and age-matched neurologically normal controls</t>
  </si>
  <si>
    <t>quantified in relative expression levels via RT-qPCR</t>
  </si>
  <si>
    <t>depends on miRs</t>
  </si>
  <si>
    <t>age sex matched, no clinical signs of neuromotor disorders</t>
  </si>
  <si>
    <t>Mitochondrial Aconitase (Aco2)</t>
  </si>
  <si>
    <t>Enzyme activity analysis (specific biochemical assay for Aco2 activity)</t>
  </si>
  <si>
    <t>mU/mg</t>
  </si>
  <si>
    <t>neurologically normal controls from Macquarie University's Neurodegenerative Disease Biobank.</t>
  </si>
  <si>
    <t>ALL_VST (Variance-Stabilized Transformation for 12,569 genes)</t>
  </si>
  <si>
    <t>NR; Leave-One-Out (LOO) cross-validation strategy</t>
  </si>
  <si>
    <t>ALL_LCPM (Log Counts Per Million for 12,569 genes)</t>
  </si>
  <si>
    <t>FDR_VST (Variance-Stabilized Transformation for the 245 FDR-selected genes; FDR&lt;0.05)</t>
  </si>
  <si>
    <t>FDR_LCPM (Log Counts Per Million for the 245 FDR-selected genes; FDR&lt;0.05)</t>
  </si>
  <si>
    <t>control group did not exhibit neurodegenerative disease symptoms and was primarily used to exclude inflammation of the CNS</t>
  </si>
  <si>
    <t>Non-neurodegenerative controls</t>
  </si>
  <si>
    <t>Halbgebauer 2022–1</t>
  </si>
  <si>
    <t>Halbgebauer 2022–2</t>
  </si>
  <si>
    <t>Gille 2019–1</t>
  </si>
  <si>
    <t>Gille 2019–2</t>
  </si>
  <si>
    <t>VILIP-1</t>
  </si>
  <si>
    <t>NonND</t>
  </si>
  <si>
    <t>AD; International Working Group 2 criteria</t>
  </si>
  <si>
    <t>bvFTD</t>
  </si>
  <si>
    <t>bvFTD; the international criteria were used</t>
  </si>
  <si>
    <t>CJD</t>
  </si>
  <si>
    <t xml:space="preserve">CJD;  neuropathologically confrmed cases from the Department of Neurology in Göttingen </t>
  </si>
  <si>
    <t>PD=17, DLB=2, PDD=7, diagnosed by specialists for movement disorders according to the UK PD society brain bank criteria</t>
  </si>
  <si>
    <t>PDspectrum</t>
  </si>
  <si>
    <t>NfH</t>
  </si>
  <si>
    <t>Ella</t>
  </si>
  <si>
    <t>Age- and sex-matched healthy controls</t>
  </si>
  <si>
    <t>non-ALS patients whose initial differential diagnosis included ALS</t>
  </si>
  <si>
    <t>CAMP</t>
  </si>
  <si>
    <t>Log(P)=0.002×HBB+0.572×CAMP+0.196×TLN1+0.900×ZYX+0.201×TPT1−6.981</t>
  </si>
  <si>
    <t>P=0.426</t>
  </si>
  <si>
    <t>Hyaluronan</t>
  </si>
  <si>
    <t>recruited as a convenience sample, consisting of family, friends, and colleagues of ALS patients​</t>
  </si>
  <si>
    <t>ALS setting</t>
  </si>
  <si>
    <t>revised_El_escorial_2000, possible to definite</t>
  </si>
  <si>
    <t>revised_El_escorial_2000, classification not specified</t>
  </si>
  <si>
    <t>EFNS guidelines on the clinical management of amyotrophic lateral sclerosis (MALS) 2012 EJN, probable ALS</t>
  </si>
  <si>
    <t>Awaji_El_escorial_2009, classification not specified</t>
  </si>
  <si>
    <t>revised_El_Escorial_2015, patients with only LMN-isolated lesion in≥2 regions were also included</t>
  </si>
  <si>
    <t>EFNS guidelines on the clinical management of amyotrophic lateral sclerosis (MALS) 2012 EJN, classification not specified</t>
  </si>
  <si>
    <t>Aβ42</t>
  </si>
  <si>
    <t>cognitively unimpaired, healthy control</t>
  </si>
  <si>
    <t>revised_El_escorial_2000, definite</t>
  </si>
  <si>
    <t>Not_Specified_Criteria, definite diagnosis</t>
  </si>
  <si>
    <t>revised_El_escorial_2000, definite or Probable</t>
  </si>
  <si>
    <t>El_Escorial_not_specidied_ver, definite or probable</t>
  </si>
  <si>
    <t>GoldCoast_2020, classification not specified</t>
  </si>
  <si>
    <t>Not_Specified_Criteria</t>
  </si>
  <si>
    <t>revised_El_escorial_2000, excluding possible and suspected</t>
  </si>
  <si>
    <t>El_escorial_1994, probable or definite</t>
  </si>
  <si>
    <t>Controls without neurological diseases (e.g., sourced from various repositories like NEALS, Innovative Research, and others)​</t>
  </si>
  <si>
    <t>El_Escorial_not_specidied_ver, all classifications</t>
  </si>
  <si>
    <t>NfL, pNfH, MCP1, IL18, sTERM2,,,</t>
  </si>
  <si>
    <t>patients with non-specific neurological complaints, having undergone lumbar puncture to exclude neurological conditions</t>
  </si>
  <si>
    <t>Brevican</t>
  </si>
  <si>
    <t>Neurocan</t>
  </si>
  <si>
    <t>Quantification of brevican and neurocan used sandwich ELISAs for total levels, and immunoblotting for cleavage products in the CSF samples​</t>
  </si>
  <si>
    <t>Meso Scale Discovery (MSD) ELISA using a novel monoclonal antibody (TC1HDG) specific to cryptic HDGFL2</t>
  </si>
  <si>
    <t>HDGFL2</t>
  </si>
  <si>
    <t>symptomatic C9orf72 mutation carriers with familial ALS-FTD</t>
  </si>
  <si>
    <t>migraine</t>
  </si>
  <si>
    <t>sTREM2</t>
  </si>
  <si>
    <t>age- and sex-matched healthy control, CSF-controls subjects who underwent a spinal anesthesia in minor surgery and met the above criteria</t>
  </si>
  <si>
    <t>age- and gender-matched volunteers without any nervous system diseases​</t>
  </si>
  <si>
    <t>GC/MS (Gas chromatography-mass spectrometry)</t>
  </si>
  <si>
    <t>using 4 differential metabolites. 2,4,6-tri-tert-butylbenzenethiol, beta-alanine, glycine, and ethanolamine</t>
  </si>
  <si>
    <t>using 9 differential metabolites. Maltose, Glyceric acid, Lactic acid, Beta-alanine, Phosphoric acid, Glutamic acid, Ethanolamine, Glycine, 2,4,6-Tri-tert-butylbenzenethiol</t>
  </si>
  <si>
    <t>UK&amp;Germany</t>
  </si>
  <si>
    <t>RNAseq for initial screening -&gt; RTqPCR for validation -&gt; Random forest modeling</t>
  </si>
  <si>
    <t>NonALS</t>
  </si>
  <si>
    <t>Non-ALS controls include HC, neurological controls, and disease mimics. HC: age- and sex-matched to ALS, typically spouse or friends</t>
  </si>
  <si>
    <t>Random Forest Modeling using 6 ncRNAs (hsa-miR-16-5p, hsa-miR-21-5p, hsa-miR-92a-3p, hsa-piR-33151, TRV-AAC4-1.1, and TRA-AGC6-1.1)</t>
  </si>
  <si>
    <t>Japan</t>
  </si>
  <si>
    <t>Age-matched controls with non-neurodegenerative diseases, showing no neurological symptoms​</t>
  </si>
  <si>
    <t>Non-age-matched controls with neuromuscular diseases including CIDP, GBS, MMN, and IBM​</t>
  </si>
  <si>
    <t>TDP43</t>
  </si>
  <si>
    <t>CSF_NfL × CSF_TDP43</t>
  </si>
  <si>
    <t>revised_El_escorial_2000, all classifications (All suspected and possible ALS patients were confirmed to show conversion to probable or definite ALS within the follow-up period)</t>
  </si>
  <si>
    <t>CSF_NfL × Plasma_NfL</t>
  </si>
  <si>
    <t>CSF_TDP43 × Plasma_NfL</t>
  </si>
  <si>
    <t>revised_El_escorial_2000, definite and probeble and possible</t>
  </si>
  <si>
    <t>healthy individuals without ALS.</t>
  </si>
  <si>
    <t>India</t>
  </si>
  <si>
    <t>P=1/(1+eˆ(-Y)).Y=−57.04+0.151×Age−0.243×BMI−2501.477×VEGFR2 plasma level+93.109×OPTN plasma level−0.244×VEGF CSF level+3.184×VEGFR2 CSF level−0.130×TDP43 CSF level</t>
  </si>
  <si>
    <t>siblings and partners of ALS patients as healthy controls</t>
  </si>
  <si>
    <t>Sweden</t>
  </si>
  <si>
    <t>hs-cTnT</t>
  </si>
  <si>
    <t>Roche Diagnostics Elecsys 5th generation assay.</t>
  </si>
  <si>
    <t>patients initially suspected of ALS but diagnosed with other diseases</t>
  </si>
  <si>
    <t>ELISA, UmanDiagnostics sandwich enzyme-linked immunoassay</t>
  </si>
  <si>
    <t>ELISA (Euroimmun, Lübeck, Germany)</t>
  </si>
  <si>
    <t>ELISA (UmanDiagnostics, Sweden)</t>
  </si>
  <si>
    <t>Simoa (Quanterix, Billerica, MA)</t>
  </si>
  <si>
    <t>ELISA (CircuLex, MBL, Japan)</t>
  </si>
  <si>
    <t>ELISA (R&amp;D Systems, Minneapolis, MN, USA)</t>
  </si>
  <si>
    <t>individuals who were initially suspected of having ALS but were later diagnosed with other conditions, including Motor Neuropathy, IBM, PD, PSP, Neuroborreliosis, Polyneuropathy, Spinal stenosis, Benign fasciculations, MSA</t>
  </si>
  <si>
    <t>individuals without neurological diseases, specifically siblings and partners of ALS patients.</t>
  </si>
  <si>
    <t>Austria</t>
  </si>
  <si>
    <t>Multifocal Motor Neuropathy (MMN), patients with definite and probable MMN according to the criteria of the European Federation of Neurological Societies or, in absence of conduction block, patients with MMN symptomatology and positive response to IVIg therapy were included.</t>
  </si>
  <si>
    <t>MMN</t>
  </si>
  <si>
    <t>lumbar puncture used to rule out central nervous system pathology e.g., tension-type headache, lower back pain, or dizziness.</t>
  </si>
  <si>
    <t>Clusterin</t>
  </si>
  <si>
    <t>µg/L</t>
  </si>
  <si>
    <t>Controls include outpatients with minor complaints, medical students, family members, and friends of ALS patients.</t>
  </si>
  <si>
    <t>Norway</t>
  </si>
  <si>
    <t>High-resolution inductively coupled plasma mass spectrometry (HR-ICP-MS</t>
  </si>
  <si>
    <t>Cadmium</t>
  </si>
  <si>
    <t>Uranium</t>
  </si>
  <si>
    <t>Aluminium</t>
  </si>
  <si>
    <t>Vanadium</t>
  </si>
  <si>
    <t>Mercury</t>
  </si>
  <si>
    <t>no neurological diseases confirmed.</t>
  </si>
  <si>
    <t>ELISA (INNOTEST by Fujirebio, Belgium)</t>
  </si>
  <si>
    <t>age-matched healthy controls without a history of neurotrauma or inflammatory/metabolic disorders</t>
  </si>
  <si>
    <t>ApoE</t>
  </si>
  <si>
    <t>revised_El_escorial_2000, excluding suspected</t>
  </si>
  <si>
    <t>individuals without infammatory diseases and traumatic brain injury (psychiatric disorders, peripheral neuropathy, primary headache, vestibular vertigo, movement disorders, and vascular malformation)</t>
  </si>
  <si>
    <t>MBP</t>
  </si>
  <si>
    <t>nmol/L</t>
  </si>
  <si>
    <t>not specified</t>
  </si>
  <si>
    <t>g/L</t>
  </si>
  <si>
    <t>Qalb</t>
  </si>
  <si>
    <t>mg/g</t>
  </si>
  <si>
    <t>QIgG</t>
  </si>
  <si>
    <t>ALSFTD</t>
  </si>
  <si>
    <t>FTD diagnosed with Rascovsky Criteria</t>
  </si>
  <si>
    <t>SMA</t>
  </si>
  <si>
    <t>ELISA (IBL, Hamburg, Germany)</t>
  </si>
  <si>
    <t>Specific diseases in control cohorts include cervical stenosis, multiple system atrophy, multiple sclerosis, polyneuropathy, myasthenia gravis, Guillain-Barré syndrome, radiculopathy, and others</t>
  </si>
  <si>
    <t>using VGF, Osteopontin, Secretogranin-1, SOD-1, and EFEMP1​</t>
  </si>
  <si>
    <t>patients without neurodegenerative diseases, typically undergoing lumbar puncture for non-ALS conditions (e.g., facial palsy, headaches)​</t>
  </si>
  <si>
    <t>El_escorial_1994, possible or probable or definite</t>
  </si>
  <si>
    <t>Capillary Electrophoresis-Mass Spectrometry (CE-MS)​</t>
  </si>
  <si>
    <t>individuals who underwent lumbar puncture (LP) but did not receive a major disease diagnosis</t>
  </si>
  <si>
    <t>SerpinA1</t>
  </si>
  <si>
    <t>µg/mL</t>
  </si>
  <si>
    <t>DC+HC</t>
  </si>
  <si>
    <t>Disease controls consist of patients with specific conditions such as myopathies, spinal muscular atrophy (SMA), neuromuscular diseases, Parkinson’s disease (PD), spinal bulbar muscular atrophy (SBMA), and myasthenia gravis (MG)</t>
  </si>
  <si>
    <t>ECLIA using commercial kits (K1517XR-2 for NFL and K1517YR-2 for NFH) provided by Meso Scale Diagnostics (MSD), Rockville, Maryland, USA</t>
  </si>
  <si>
    <t>MND</t>
  </si>
  <si>
    <t>MND (ALS34+PMA8+PLS5)</t>
  </si>
  <si>
    <t>iNPH</t>
  </si>
  <si>
    <t>iNPH patients were chosen as controls due to the absence of central nervous tissue injury or CSF pleocytosis</t>
  </si>
  <si>
    <t>ATP</t>
  </si>
  <si>
    <t>highly sensitive assay for ATP using a luciferase luminous reaction</t>
  </si>
  <si>
    <t>pmol/L</t>
  </si>
  <si>
    <t>not explicitly specified</t>
  </si>
  <si>
    <t>HC?</t>
  </si>
  <si>
    <t>hsa_miR_338_5p</t>
  </si>
  <si>
    <t>hsa_miR_4745_5p</t>
  </si>
  <si>
    <t>hsa_miR_4763_3p</t>
  </si>
  <si>
    <t>hsa_miR_4745_5p with hsa-miR_193b</t>
  </si>
  <si>
    <t>36 individuals without known neuromuscular diseases. This included plasma from five anonymized healthy volunteers</t>
  </si>
  <si>
    <t xml:space="preserve"> Plasma EV size distribution, HSP90 levels.</t>
  </si>
  <si>
    <t>Nanotracking Analysis (NTA; for EV size distribution), and  Western Blot (WB; for HSP90 levels)</t>
  </si>
  <si>
    <t>MD</t>
  </si>
  <si>
    <t>SBMA</t>
  </si>
  <si>
    <t>muscular dystrophies, which generally do not involve nerve damage​</t>
  </si>
  <si>
    <t>32 SBMA</t>
  </si>
  <si>
    <t xml:space="preserve"> Plasma EV size distribution (the size distribution curves were approximated, compressed, and used as input features for the Random Forest classifier. This transformation allowed the model to handle high-dimensional data in a compact, manageable format, improving diagnostic accuracy across control groups​)</t>
  </si>
  <si>
    <t>Healthy controls were recruited without neurological or psychiatric disorders and cognitive impairments.</t>
  </si>
  <si>
    <t>liquid chromatography-mass spectrometry and thin-layer chromatography for validation.</t>
  </si>
  <si>
    <t>DG(18:1/18:1)</t>
  </si>
  <si>
    <t>CoQ8</t>
  </si>
  <si>
    <t>Flow cytometry</t>
  </si>
  <si>
    <t>NKcells</t>
  </si>
  <si>
    <t>cells/µL</t>
  </si>
  <si>
    <t>PLS21+PPMS37(patients without MRI evidence of disease activity)</t>
  </si>
  <si>
    <t>age- and sex-matched healthy</t>
  </si>
  <si>
    <t>NfL–IC</t>
  </si>
  <si>
    <t>NfH–antibodies</t>
  </si>
  <si>
    <t>Age- and sex-matched unrelated healthy Slovenian blood donors served as controls. healthy blood donors without systemic disease.</t>
  </si>
  <si>
    <t>hsa_circ_0060762</t>
  </si>
  <si>
    <t>Microarray for initial screening, followed by qPCR for validation.</t>
  </si>
  <si>
    <t>downregulated in ALS by X-fold campared to controls</t>
  </si>
  <si>
    <t>CSE1L</t>
  </si>
  <si>
    <t>Age-matched healthy individuals initially visiting the Neurology Clinic</t>
  </si>
  <si>
    <t>pTDP43</t>
  </si>
  <si>
    <t>relative unit (%)</t>
  </si>
  <si>
    <t>BDNF</t>
  </si>
  <si>
    <t>HC+DC</t>
  </si>
  <si>
    <t>49 healthy, 19 Alzheimer’s Disease, 20 inflammatory diseases (12 with Multiple Sclerosis (MS) and 8 with Guillain-Barré syndrome (GBS))</t>
  </si>
  <si>
    <t>age- and sex-matched individuals from the same ethnic background as ALS patients, with no history of neurological diseases.</t>
  </si>
  <si>
    <t>ID</t>
  </si>
  <si>
    <t>GBS+MS</t>
  </si>
  <si>
    <t>proBDNF</t>
  </si>
  <si>
    <t>BDNF_proBDNF_ratio</t>
  </si>
  <si>
    <t>neurologically healthy individuals</t>
  </si>
  <si>
    <t>C9orf72 patients</t>
  </si>
  <si>
    <t>GRN patients</t>
  </si>
  <si>
    <t>plasmaEV</t>
  </si>
  <si>
    <t>Canada</t>
  </si>
  <si>
    <t>Next-generation sequencing and digital droplet PCR (ddPCR)</t>
  </si>
  <si>
    <t>miR-15a-5p</t>
  </si>
  <si>
    <t>miR-193a-5p</t>
  </si>
  <si>
    <t>miR-15a-5p + miR-181b-1-5p Combination</t>
  </si>
  <si>
    <t>ALSFTD_Not_Specified_Criteria</t>
  </si>
  <si>
    <t>aSyn</t>
  </si>
  <si>
    <t>S100B</t>
  </si>
  <si>
    <t>Not_Specified_Criteria, definite or probeble</t>
  </si>
  <si>
    <t>non-inflammatory neurological disorders including Hydrocephalus, CSF leak, Intracranial hypotension, Primary migraine, Intracranial hypertension, Hypokalemic paralysis, Multifocal motor neuropathy, Non-immune-mediated peripheral neuropathy</t>
  </si>
  <si>
    <t>hSP</t>
  </si>
  <si>
    <t>HERV-K-env-su(20–38)</t>
  </si>
  <si>
    <t>Optical density (OD) at 405 nm</t>
  </si>
  <si>
    <t>TDP-43(258–271)</t>
  </si>
  <si>
    <t>TDP-43(398-411)</t>
  </si>
  <si>
    <t>TDP-43(398-411)P</t>
  </si>
  <si>
    <t>Olink Explore 3072 panel with the NEFL assay</t>
  </si>
  <si>
    <t>age- and sex-matched control from UKbiobank</t>
  </si>
  <si>
    <t>coded as G12.2 and G12.21(ICD10)​; Specified as amyotrophic lateral sclerosis (ALS) within the context of motor neuron disease (MND)</t>
  </si>
  <si>
    <t>Egypt</t>
  </si>
  <si>
    <t>qPCR with SYBR Green</t>
  </si>
  <si>
    <t>miR-206</t>
  </si>
  <si>
    <t>miR-143</t>
  </si>
  <si>
    <t>polyneuropathy, peripheral mononeuropathy, brachial plexopathy, radiculopathy, myopathy, juvenile parkinsonism, lipid storage disease, spastic paraplegia, fasciculation syndromes, cerebrovascular disease, myelopathy, no neurological diagnosis</t>
  </si>
  <si>
    <t xml:space="preserve">no signs of neurodegeneration or acute or chronic inflammation of the brain served as control group </t>
  </si>
  <si>
    <t>BRI3, ATP5ME, HCFC1, MCTP2, POLR3C (using Support Vector Machine Classifier)</t>
  </si>
  <si>
    <t>Microarray for initial screening, followed by machine learning (SVM)</t>
  </si>
  <si>
    <t>HC+ALSmimics</t>
  </si>
  <si>
    <t>combined HC+ALSmimics</t>
  </si>
  <si>
    <t>Healthy control subjects were spouses and friends of clinic attendees</t>
  </si>
  <si>
    <t>CHI3L2</t>
  </si>
  <si>
    <t>Patients with non-ALS causes of motor weakness in whom the diagnosis of ALS was considered a plausible differential diagnosis</t>
  </si>
  <si>
    <t>pNfH+CHIT1</t>
  </si>
  <si>
    <t>pNfH+CHI3L2</t>
  </si>
  <si>
    <t>Healthy controls were recruited "from spouses and friends of clinic attendees,</t>
  </si>
  <si>
    <t>MSD R-PLEX</t>
  </si>
  <si>
    <t>suppleT7, multiple heterogenous disease</t>
  </si>
  <si>
    <t>ELISA (CircuLex )</t>
  </si>
  <si>
    <t>AirlieHouseCriteria, probable or definite</t>
  </si>
  <si>
    <t>age-matched, blood donors</t>
  </si>
  <si>
    <t>NSE</t>
  </si>
  <si>
    <t>revised_El_escorial_2000, all classifications</t>
  </si>
  <si>
    <t>ECLIA</t>
  </si>
  <si>
    <t>CSM</t>
  </si>
  <si>
    <t>myelopathic symptom(e.g., limb numbness, issues with fine motor skills, gait disturbances)+Radiologic evidence of cervical cord compression on MRI, correlating with clinical symptoms.</t>
  </si>
  <si>
    <t>Patients fulfilling the criteria for ‘probable AD dementia with evidence of the AD pathophysiological process’ according to the 2011 NIAAA criteria</t>
  </si>
  <si>
    <t>Patients evaluated for ALS who received an alternative clinical diagnosis during the diagnostic work-up and/or follow-up and with at least one biofluid available were included in the ALS mimics group</t>
  </si>
  <si>
    <t>lacking any clinical or neuroradiological evidence of central nervous system (CNS) disease</t>
  </si>
  <si>
    <t>age- and gender-matched patients with non-neurodegenerative, non-infectious neurological diseases such as benign intracranial hypertension and peripheral neuropathy were also collected and used as non-ALS (NALS-CSF) samples, while CSF samples of patients undergoing orthopedic surgery without any neurological involvement were used as normal CSF (N-CSF)</t>
  </si>
  <si>
    <t>CHIT1_enzyme_activity</t>
  </si>
  <si>
    <t>enzyme activity was measured by incubating 2.5 μg of protein with a fluorogenic substrate at 37°C, stopping the reaction with a buffer, and quantifying fluorescence (excitation 365 nm, emission 450 nm) as μmol/μl/min</t>
  </si>
  <si>
    <t>enzyme activity</t>
  </si>
  <si>
    <t>μmol/μl/min</t>
  </si>
  <si>
    <t>&lt; 0.001</t>
  </si>
  <si>
    <t>neurologically healthy controls. There is no further specification</t>
  </si>
  <si>
    <t>Neurologically healthy controls</t>
  </si>
  <si>
    <t>Patients without neurodegenerative diseases and without inflammatory diseases of the central nervous system (CNS).</t>
  </si>
  <si>
    <t>Patients with conditions included in the differential diagnosis of ALS. Details in Table2. Multiple diseases.</t>
  </si>
  <si>
    <t>Includes all NonND, DC, and additional neurodegenerative groups (e.g., Alzheimer’s, FTD, Parkinson’s).</t>
  </si>
  <si>
    <t>neurological controls (NCs) were selected randomly from our biobank to form two cohorts with sex and age distributions similar to PLS</t>
  </si>
  <si>
    <t>They all fulfilled—at the time of sampling or on later evaluations—the recently published (2020) diagnostic criteria for definite (n=9) or probable (n=1) PLS</t>
  </si>
  <si>
    <t>MND (ALS28+PLS5+PMA1), for ALS revised El-escorial 2000 classification not specified</t>
  </si>
  <si>
    <t>MFG-E8</t>
  </si>
  <si>
    <t>healthy volunteers</t>
  </si>
  <si>
    <t>Excluded those with acute or chronic inflammatory diseases (e.g., pneumonia, rheumatoid arthritis)​</t>
  </si>
  <si>
    <t>RABGGTB</t>
  </si>
  <si>
    <t>Not specified (likely expressed in arbitrary units (AU)?)</t>
  </si>
  <si>
    <t>Immunofluorescence analysis</t>
  </si>
  <si>
    <t>monocyte-derived macrophages</t>
  </si>
  <si>
    <t>Matched by sex and age (±3 years) with a cohort of healthy volunteers.</t>
  </si>
  <si>
    <t>The healthy controls were those who have not suffered from neurological disease and have not shown a known family history of ALS, and those who have not shown any neurological symptoms when the blood samples were collected</t>
  </si>
  <si>
    <t>Surface-enhanced Raman spectroscopy (SERS)</t>
  </si>
  <si>
    <t>Raman bands at 722 cm⁻¹</t>
  </si>
  <si>
    <t>Raman bands at 739 cm⁻¹</t>
  </si>
  <si>
    <t>LBP</t>
  </si>
  <si>
    <t>"Sex- and age-matched controls" admitted to a neurological inpatient clinic without degenerative or inflammatory nervous system diseases. TableS1</t>
  </si>
  <si>
    <t>Patients with other neurological symptoms unrelated to ALS or Parkinson’s disease.</t>
  </si>
  <si>
    <t>Targeted multiple reaction monitoring (MRM) mass spectrometry</t>
  </si>
  <si>
    <t>UCHL1 (LGF)</t>
  </si>
  <si>
    <t>UCHL1 (LGV)</t>
  </si>
  <si>
    <t>GPNMB</t>
  </si>
  <si>
    <t>age- and gender-matched subjects who presented with neurological disorders other than ALS. They received a lumbar puncture mainly for other conditions (e.g., headache, dizziness, polyneuropathy, syncope) as exclusion diagnostics</t>
  </si>
  <si>
    <t>SR-FTIR (Synchrotron-based Fourier-transform infrared spectroscopy)</t>
  </si>
  <si>
    <t>FTIR averaged spectra</t>
  </si>
  <si>
    <t>80 serum samples from HC donors were purchased from the 'Etablissement Français du Sang' (Strasbourg, France).</t>
  </si>
  <si>
    <t>FTIR =&gt; random forest model</t>
  </si>
  <si>
    <t>FTIR Spectroscopy</t>
  </si>
  <si>
    <t>Primary Psychiatric Disorders (PPD). individuals with depression, bipolar disorder, and schizophrenia</t>
  </si>
  <si>
    <t>FAS = ALS + FTLD spectrum</t>
  </si>
  <si>
    <t>LMND(Lower Motor Neuron Disease)</t>
  </si>
  <si>
    <t>analyzing 10-ranked features, from 108 blood analytes (SVM-RFE): Cholesterol (Chol), CD8 lymphocyte counts (CD8), IgG levels (IgG), Gamma globulin (γGl), High-Density Lipoprotein (HDL), Prothrombin Time (PT), Triglycerides (Trig), CD4 lymphocyte counts (CD4), IgE levels (IgE), Partial Thromboplastin Time (PTT)</t>
  </si>
  <si>
    <t>Accuracy</t>
  </si>
  <si>
    <t>Raman spectroscopy</t>
  </si>
  <si>
    <t>Definite ALS based on clinical neuropathological diagnosis</t>
  </si>
  <si>
    <t>Non-neurological causes of death, specified as heart disease, cancer, pulmonary embolism, and normal​</t>
  </si>
  <si>
    <t>Phonon vibration energies of graphene (2D peak changes)​</t>
  </si>
  <si>
    <t>cm-1</t>
  </si>
  <si>
    <t>liquid chromatography-mass spectrometry</t>
  </si>
  <si>
    <t>definite PLS with at least 5 y after symptom onset and no evidence of lower motor neuron (LMN) degeneration on physical examination and electrodiagnostic studie</t>
  </si>
  <si>
    <t>age- matched normal controls were purchased from KAC Co.Ltd.</t>
  </si>
  <si>
    <t>Control participants with no cognitive decline, whose participation came via 2 means: cognitively intact individuals were followed up to autopsy, and individuals died at the University of Pennsylvania Hospital and their family members participated in a retrospective interview assessing their cognitive status.</t>
  </si>
  <si>
    <t>NfL+ptau+Ttau+Ab42</t>
  </si>
  <si>
    <t>10.1136/jnnp-2020-324059</t>
  </si>
  <si>
    <t>221-223</t>
  </si>
  <si>
    <t>Some CSF Kynurenine Pathway Intermediates Associated with Disease Evolution in Amyotrophic Lateral Sclerosis</t>
  </si>
  <si>
    <t>Alarcan, H.; Chaumond, R.; Emond, P.; Benz-De Bretagne, I.; Lefèvre, A.; Bakkouche, S. E.; Veyrat-Durebex, C.; Vourc'h, P.; Andres, C.; Corcia, P.; Blasco, H.</t>
  </si>
  <si>
    <t>Biomolecules</t>
  </si>
  <si>
    <t>10.3390/biom11050691</t>
  </si>
  <si>
    <t>Alarcan 2021</t>
  </si>
  <si>
    <t>Implication of Central Nervous System Barrier Impairment in Amyotrophic Lateral Sclerosis: Gender-Related Difference in Patients</t>
  </si>
  <si>
    <t>Alarcan, H.; Vourc'h, P.; Berton, L.; Benz-De Bretagne, I.; Piver, E.; Andres, C. R.; Corcia, P.; Veyrat-Durebex, C.; Blasco, H.</t>
  </si>
  <si>
    <t>10.3390/ijms241311196</t>
  </si>
  <si>
    <t>Alarcan 2023</t>
  </si>
  <si>
    <t>Elevated Cerebrospinal Fluid Proteins and Albumin Determine a Poor Prognosis for Spinal Amyotrophic Lateral Sclerosis</t>
  </si>
  <si>
    <t>Assialioui, A.; Domínguez, R.; Ferrer, I.; Andrés-Benito, P.; Povedano, M.</t>
  </si>
  <si>
    <t>10.3390/ijms231911063</t>
  </si>
  <si>
    <t>Assialioui 2022</t>
  </si>
  <si>
    <t>Elevated acute phase proteins reflect peripheral inflammation and disease severity in patients with amyotrophic lateral sclerosis</t>
  </si>
  <si>
    <t>Beers, D. R.; Zhao, W.; Neal, D. W.; Thonhoff, J. R.; Thome, A. D.; Faridar, A.; Wen, S.; Wang, J.; Appel, S. H.</t>
  </si>
  <si>
    <t>10.1038/s41598-020-72247-5</t>
  </si>
  <si>
    <t>Validation of serum neurofilaments as prognostic and potential pharmacodynamic biomarkers for ALS</t>
  </si>
  <si>
    <t>Benatar, M.; Zhang, L.; Wang, L.; Granit, V.; Statland, J.; Barohn, R.; Swenson, A.; Ravits, J.; Jackson, C.; Burns, T. M.; Trivedi, J.; Pioro, E. P.; Caress, J.; Katz, J.; McCauley, J. L.; Rademakers, R.; Malaspina, A.; Ostrow, L. W.; Wuu, J.</t>
  </si>
  <si>
    <t>Neurology</t>
  </si>
  <si>
    <t>e59-e69</t>
  </si>
  <si>
    <t>10.1212/wnl.0000000000009559</t>
  </si>
  <si>
    <t>Benatar 2020</t>
  </si>
  <si>
    <t>Collagen XIX Alpha 1 Improves Prognosis in Amyotrophic Lateral Sclerosis</t>
  </si>
  <si>
    <t>Calvo, A. C.; Cibreiro, G. A.; Merino, P. T.; Roy, J. F.; Galiana, A.; Rufián, A. J.; Cano, J. M.; Martín, M. A.; Moreno, L.; Larrodé, P.; Vázquez, P. C.; Galán, L.; Mora, J.; Muñoz-Blanco, J. L.; Muñoz, M. J.; Zaragoza, P.; Pegoraro, E.; Sorarù, G.; Mora, M.; Lunetta, C.; Penco, S.; Tarlarini, C.; Esteban, J.; Osta, R.; Redondo, A. G.</t>
  </si>
  <si>
    <t>Aging Dis</t>
  </si>
  <si>
    <t>278-292</t>
  </si>
  <si>
    <t>10.14336/ad.2018.0917</t>
  </si>
  <si>
    <t>Prospective natural history study of ALS clinical characteristics and biomarkers</t>
  </si>
  <si>
    <t>Cammack, Alexander J.; Atassi, Nazem; Hyman, Theodore; van den Berg, Leonard H.; Harms, Matthew; Baloh, Robert H.; Brown, Robert H.; van Es, Michael A.; Veldink, Jan H.; de Vries, Balint S.; Rothstein, Jeffrey D.; Drain, Caroline; Jockel-Balsarotti, Jennifer; Malcolm, Amber; Boodram, Sonia; Salter, Amber; Wightman, Nicholas; Hong, Yu; Sherman, Alexander V.; Esparza, Thomas J.</t>
  </si>
  <si>
    <t>e1605-e1617</t>
  </si>
  <si>
    <t>10.1212/WNL.0000000000008359</t>
  </si>
  <si>
    <t>Cammack 2019</t>
  </si>
  <si>
    <t>Endocannabinoids and related lipids in serum from patients with amyotrophic lateral sclerosis</t>
  </si>
  <si>
    <t>Carter, G. T.; McLaughlin, R. J.; Cuttler, C.; Sauber, G. J.; Weeks, D. L.; Hillard, C. J.; Weiss, M. D.</t>
  </si>
  <si>
    <t>120-126</t>
  </si>
  <si>
    <t>10.1002/mus.27096</t>
  </si>
  <si>
    <t>Carter 2021</t>
  </si>
  <si>
    <t>Teaching an old dog new tricks: serum troponin T as a biomarker in amyotrophic lateral sclerosis</t>
  </si>
  <si>
    <t>Castro-Gomez, S.; Radermacher, B.; Tacik, P.; Mirandola, S. R.; Heneka, M. T.; Weydt, P.</t>
  </si>
  <si>
    <t>fcab274</t>
  </si>
  <si>
    <t>Altered Metabolic Profiles of the Plasma of Patients with Amyotrophic Lateral Sclerosis</t>
  </si>
  <si>
    <t>Chang, K. H.; Lin, C. N.; Chen, C. M.; Lyu, R. K.; Chu, C. C.; Liao, M. F.; Huang, C. C.; Chang, H. S.; Ro, L. S.; Kuo, H. C.</t>
  </si>
  <si>
    <t>10.3390/biomedicines9121944</t>
  </si>
  <si>
    <t>Chang 2021</t>
  </si>
  <si>
    <t>Plasma extracellular vesicle tau and TDP-43 as diagnostic biomarkers in FTD and ALS</t>
  </si>
  <si>
    <t>Chatterjee, M.; Özdemir, S.; Fritz, C.; Möbius, W.; Kleineidam, L.; Mandelkow, E.; Biernat, J.; Doğdu, C.; Peters, O.; Cosma, N. C.; Wang, X.; Schneider, L. S.; Priller, J.; Spruth, E.; Kühn, A. A.; Krause, P.; Klockgether, T.; Vogt, I. R.; Kimmich, O.; Spottke, A.; Hoffmann, D. C.; Fliessbach, K.; Miklitz, C.; McCormick, C.; Weydt, P.; Falkenburger, B.; Brandt, M.; Guenther, R.; Dinter, E.; Wiltfang, J.; Hansen, N.; Bähr, M.; Zerr, I.; Flöel, A.; Nestor, P. J.; Düzel, E.; Glanz, W.; Incesoy, E.; Bürger, K.; Janowitz, D.; Perneczky, R.; Rauchmann, B. S.; Hopfner, F.; Wagemann, O.; Levin, J.; Teipel, S.; Kilimann, I.; Goerss, D.; Prudlo, J.; Gasser, T.; Brockmann, K.; Mengel, D.; Zimmermann, M.; Synofzik, M.; Wilke, C.; Selma-González, J.; Turon-Sans, J.; Santos-Santos, M. A.; Alcolea, D.; Rubio-Guerra, S.; Fortea, J.; Carbayo, Á; Lleó, A.; Rojas-García, R.; Illán-Gala, I.; Wagner, M.; Frommann, I.; Roeske, S.; Bertram, L.; Heneka, M. T.; Brosseron, F.; Ramirez, A.; Schmid, M.; Beschorner, R.; Halle, A.; Herms, J.; Neumann, M.; Barthélemy, N. R.; Bateman, R. J.; Rizzu, P.; Heutink, P.; Dols-Icardo, O.; Höglinger, G.; Hermann, A.; Schneider, A.</t>
  </si>
  <si>
    <t>1771-1783</t>
  </si>
  <si>
    <t>10.1038/s41591-024-02937-4</t>
  </si>
  <si>
    <t>Exosomal angiogenin as a possible biomarker in amyotrophic lateral sclerosis</t>
  </si>
  <si>
    <t>Chekanova, E.; Ivanova, M.; Belugin, B.; Dolzhikova, I.; Tutykhina, I.; Zakroychikova, I.; Abramova, A.; Zakharova, M.</t>
  </si>
  <si>
    <t>10.1111/ene.14128</t>
  </si>
  <si>
    <t>Chekanova 2020</t>
  </si>
  <si>
    <t>Exosomal TAR DNA-binding protein-43 and neurofilaments in plasma of amyotrophic lateral sclerosis patients: A longitudinal follow-up study</t>
  </si>
  <si>
    <t>Chen, P. C.; Wu, D.; Hu, C. J.; Chen, H. Y.; Hsieh, Y. C.; Huang, C. C.</t>
  </si>
  <si>
    <t>J Neurol Sci</t>
  </si>
  <si>
    <t>10.1016/j.jns.2020.117070</t>
  </si>
  <si>
    <t>Chen 2020</t>
  </si>
  <si>
    <t>Eomesodermin expression in CD4(+)T-cells associated with disease progression in amyotrophic lateral sclerosis</t>
  </si>
  <si>
    <t>Chen, S.; Huan, X.; Xu, C. Z.; Luo, S. S.; Zhao, C. B.; Zhong, H. H.; Zheng, X. Y.; Qiao, K.; Dong, Y.; Wang, Y.; Liu, C. Y.; Huang, H. P.; Chen, Y.; Zou, Z. Y.</t>
  </si>
  <si>
    <t>e14503</t>
  </si>
  <si>
    <t>10.1111/cns.14503</t>
  </si>
  <si>
    <t>Clinical disease stage related changes of serological factors in amyotrophic lateral sclerosis</t>
  </si>
  <si>
    <t>Chen, X. P.; Wei, Q. Q.; Chen, Y. P.; Cao, B.; Ou, R. W.; Hou, Y. B.; Yuan, X. Q.; Zhang, L. Y.; Liu, H.; Shang, H. F.</t>
  </si>
  <si>
    <t>53-60</t>
  </si>
  <si>
    <t>10.1080/21678421.2018.1550516</t>
  </si>
  <si>
    <t>Increased Interleukin-6 Levels in the Astrocyte-Derived Exosomes of Sporadic Amyotrophic Lateral Sclerosis Patients</t>
  </si>
  <si>
    <t>Chen, Y.; Xia, K. L.; Chen, L.; Fan, D. S.</t>
  </si>
  <si>
    <t>Frontiers in Neuroscience</t>
  </si>
  <si>
    <t>10.3389/fnins.2019.00574</t>
  </si>
  <si>
    <t>Aberrations of biochemical indicators in amyotrophic lateral sclerosis: a systematic review and meta-analysis</t>
  </si>
  <si>
    <t>Cheng, Y.; Chen, Y.; Shang, H.</t>
  </si>
  <si>
    <t>Transl Neurodegener</t>
  </si>
  <si>
    <t>10.1186/s40035-020-00228-9</t>
  </si>
  <si>
    <t>Cheng 2021</t>
  </si>
  <si>
    <t>Prognostic Role of CSF β-amyloid 1-42/1-40 Ratio in Patients Affected by Amyotrophic Lateral Sclerosis</t>
  </si>
  <si>
    <t>Colletti, T.; Agnello, L.; Spataro, R.; Guccione, L.; Notaro, A.; Lo Sasso, B.; Blandino, V.; Graziano, F.; Gambino, C. M.; Giglio, R. V.; Bivona, G.; La Bella, V.; Ciaccio, M.; Piccoli, T.</t>
  </si>
  <si>
    <t>10.3390/brainsci11030302</t>
  </si>
  <si>
    <t>Colletti 2021</t>
  </si>
  <si>
    <t>Cerebrospinal Fluid Chitinases as Biomarkers for Amyotrophic Lateral Sclerosis</t>
  </si>
  <si>
    <t>Costa, J.; Gromicho, M.; Pronto-Laborinho, A.; Almeida, C.; Gomes, R. A.; Guerreiro, A. C. L.; Oliva, A.; Pinto, S.; de Carvalho, M.</t>
  </si>
  <si>
    <t>Diagnostics (Basel)</t>
  </si>
  <si>
    <t>10.3390/diagnostics11071210</t>
  </si>
  <si>
    <t>Costa 2021</t>
  </si>
  <si>
    <t>Neutrophil to Lymphocyte Ratio as a Prognostic Marker in Amyotrophic Lateral Sclerosis</t>
  </si>
  <si>
    <t>Cotet, C.; Alarcan, H.; Hérault, O.; Corcia, P.; Vourc'h, P.; Andres, C. R.; Blasco, H.; Veyrat-Durebex, C.</t>
  </si>
  <si>
    <t>10.3390/biom13121689</t>
  </si>
  <si>
    <t>Cotet 2023</t>
  </si>
  <si>
    <t>Cerebrospinal fluid and blood exosomes as biomarkers for amyotrophic lateral sclerosis; a systematic review</t>
  </si>
  <si>
    <t>Darabi, S.; Ariaei, A.; Rustamzadeh, A.; Afshari, D.; Charkhat Gorgich, E. A.; Darabi, L.</t>
  </si>
  <si>
    <t>Diagn Pathol</t>
  </si>
  <si>
    <t>10.1186/s13000-024-01473-6</t>
  </si>
  <si>
    <t>Darabi 2024</t>
  </si>
  <si>
    <t>de Luna, N.; Carbayo, A.; Dols-Icardo, O.; Turon-Sans, J.; Reyes-Leiva, D.; Illan-Gala, I.; Jericó, I.; Pagola-Lorz, I.; Lleixà, C.; Querol, L.; Rubio-Guerra, S.; Alcolea, D.; Fortea, J.; Lleó, A.; Cortés-Vicente, E.; Rojas-Garcia, R.</t>
  </si>
  <si>
    <t>Neurology-Neuroimmunology &amp; Neuroinflammation</t>
  </si>
  <si>
    <t>Data-independent acquisition proteomics of cerebrospinal fluid implicates endoplasmic reticulum and inflammatory mechanisms in amyotrophic lateral sclerosis</t>
  </si>
  <si>
    <t>Dellar, E. R.; Vendrell, I.; Talbot, K.; Kessler, B. M.; Fischer, R.; Turner, M. R.; Thompson, A. G.</t>
  </si>
  <si>
    <t>J Neurochem</t>
  </si>
  <si>
    <t>115-127</t>
  </si>
  <si>
    <t>10.1111/jnc.16030</t>
  </si>
  <si>
    <t>Dellar 2024</t>
  </si>
  <si>
    <t>A ferroptosis-based panel of prognostic biomarkers for Amyotrophic Lateral Sclerosis</t>
  </si>
  <si>
    <t>Devos, D.; Moreau, C.; Kyheng, M.; Garçon, G.; Rolland, A. S.; Blasco, H.; Gelé, P.; Timothée Lenglet, T.; Veyrat-Durebex, C.; Corcia, P.; Dutheil, M.; Bede, P.; Jeromin, A.; Oeckl, P.; Otto, M.; Meininger, V.; Danel-Brunaud, V.; Devedjian, J. C.; Duce, J. A.; Pradat, P. F.</t>
  </si>
  <si>
    <t>10.1038/s41598-019-39739-5</t>
  </si>
  <si>
    <t>Devos 2019</t>
  </si>
  <si>
    <t>Levels of 24-hydroxycholesteryl esters in cerebrospinal fluid and plasma from patients with amyotrophic lateral sclerosis</t>
  </si>
  <si>
    <t>Di Natale, C.; Monaco, A.; Pedone, C.; Trojsi, F.; Tedeschi, G.; Netti, P. A.; Abrescia, P.</t>
  </si>
  <si>
    <t>J Pharm Biomed Anal</t>
  </si>
  <si>
    <t>10.1016/j.jpba.2023.115244</t>
  </si>
  <si>
    <t>DiNatale 2023</t>
  </si>
  <si>
    <t>Values of Nitric Oxide and Superoxide Dismutase in Cerebrospinal Fluid of Patients with Sporadic Amyotrophic Lateral Sclerosis</t>
  </si>
  <si>
    <t>Djordjevic, G.; Milosevic, V.; Ljubisavljevic, S.; Stojanovic, I.; Stojanov, A.</t>
  </si>
  <si>
    <t>Jul-Aug</t>
  </si>
  <si>
    <t>Neurol India</t>
  </si>
  <si>
    <t>742-747</t>
  </si>
  <si>
    <t>10.4103/0028-3886.383853</t>
  </si>
  <si>
    <t>Djordjevic 2023</t>
  </si>
  <si>
    <t>Dreger 2021</t>
  </si>
  <si>
    <t>Cerebrospinal Fluid Neurofilament Light Chain (NfL) Predicts Disease Aggressiveness in Amyotrophic Lateral Sclerosis: An Application of the D50 Disease Progression Model</t>
  </si>
  <si>
    <t>Dreger, M.; Steinbach, R.; Gaur, N.; Metzner, K.; Stubendorff, B.; Witte, O. W.; Grosskreutz, J.</t>
  </si>
  <si>
    <t>Front Neurosci</t>
  </si>
  <si>
    <t>10.3389/fnins.2021.651651</t>
  </si>
  <si>
    <t>Transforming growth factor-β plasma levels and its role in amyotrophic lateral sclerosis</t>
  </si>
  <si>
    <t>Duque, T.; Gromicho, M.; Pronto-Laborinho, A. C.; de Carvalho, M.</t>
  </si>
  <si>
    <t>Med Hypotheses</t>
  </si>
  <si>
    <t>10.1016/j.mehy.2020.109632</t>
  </si>
  <si>
    <t>Duque 2020</t>
  </si>
  <si>
    <t>Serum phosphorylated neurofilament heavy-chain levels reflect phenotypic heterogeneity and are an independent predictor of survival in motor neuron disease</t>
  </si>
  <si>
    <t>Falzone, Y. M.; Domi, T.; Agosta, F.; Pozzi, L.; Schito, P.; Fazio, R.; Del Carro, U.; Barbieri, A.; Comola, M.; Leocani, L.; Comi, G.; Carrera, P.; Filippi, M.; Quattrini, A.; Riva, N.</t>
  </si>
  <si>
    <t>2272-2280</t>
  </si>
  <si>
    <t>10.1007/s00415-020-09838-9</t>
  </si>
  <si>
    <t>Falzone 2020</t>
  </si>
  <si>
    <t>Creatine kinase and prognosis in amyotrophic lateral sclerosis: a literature review and multi-centre cohort analysis</t>
  </si>
  <si>
    <t>Gao, J.; Dharmadasa, T.; Malaspina, A.; Shaw, P. J.; Talbot, K.; Turner, M. R.; Thompson, A. G.</t>
  </si>
  <si>
    <t>5395-5404</t>
  </si>
  <si>
    <t>10.1007/s00415-022-11195-8</t>
  </si>
  <si>
    <t>Gao 2022</t>
  </si>
  <si>
    <t>Annals of Neurology</t>
  </si>
  <si>
    <t>Frontiers in Neurology</t>
  </si>
  <si>
    <t>The value of routine blood work-up in clinical stratification and prognosis of patients with amyotrophic lateral sclerosis</t>
  </si>
  <si>
    <t>Gentile, F.; Maranzano, A.; Verde, F.; Bettoni, V.; Colombo, E.; Doretti, A.; Olivero, M.; Scheveger, F.; Colombrita, C.; Bulgarelli, I.; Spinelli, E. G.; Torresani, E.; Messina, S.; Maderna, L.; Agosta, F.; Morelli, C.; Filippi, M.; Silani, V.; Ticozzi, N.</t>
  </si>
  <si>
    <t>794-803</t>
  </si>
  <si>
    <t>10.1007/s00415-023-12015-3</t>
  </si>
  <si>
    <t>Gentile 2024</t>
  </si>
  <si>
    <t>CSF p-tau as a potential cognition impairment biomarker in ALS</t>
  </si>
  <si>
    <t>Gong, Z.; Gao, L.; Lu, Y.; Wang, Z.</t>
  </si>
  <si>
    <t>10.3389/fneur.2022.991143</t>
  </si>
  <si>
    <t>Gray, E.; Thompson, A. G.; Wuu, J.; Pelt, J.; Talbot, K.; Benatar, M.; Turner, M. R.</t>
  </si>
  <si>
    <t>Grima, N.; Liu, S. D.; Southwood, D.; Henden, L.; Smith, A.; Lee, A.; Rowe, D. B.; D'Silva, S.; Blair, I. P.; Williams, K. L.</t>
  </si>
  <si>
    <t>Decreased serum creatinine levels predict short survival in amyotrophic lateral sclerosis</t>
  </si>
  <si>
    <t>Guo, Q. F.; Hu, W.; Xu, L. Q.; Luo, H.; Wang, N.; Zhang, Q. J.</t>
  </si>
  <si>
    <t>448-455</t>
  </si>
  <si>
    <t>10.1002/acn3.51299</t>
  </si>
  <si>
    <t>The value of serum uric acid as a prognostic biomarker in amyotrophic lateral sclerosis: Evidence from a meta-analysis</t>
  </si>
  <si>
    <t>Haji, S.; Sako, W.; Murakami, N.; Osaki, Y.; Furukawa, T.; Izumi, Y.; Kaji, R.</t>
  </si>
  <si>
    <t>10.1016/j.clineuro.2021.106566</t>
  </si>
  <si>
    <t>Haji 2021</t>
  </si>
  <si>
    <t>Analysis of routine blood parameters in patients with amyotrophic lateral sclerosis and evaluation of a possible correlation with disease progression-a multicenter study</t>
  </si>
  <si>
    <t>Hertel, N.; Kuzma-Kozakiewicz, M.; Gromicho, M.; Grosskreutz, J.; de Carvalho, M.; Uysal, H.; Dengler, R.; Petri, S.; Körner, S.</t>
  </si>
  <si>
    <t>10.3389/fneur.2022.940375</t>
  </si>
  <si>
    <t>Hertel 2022</t>
  </si>
  <si>
    <t>5'ValCAC tRNA fragment generated as part of a protective angiogenin response provides prognostic value in amyotrophic lateral sclerosis</t>
  </si>
  <si>
    <t>Hogg, M. C.; Rayner, M.; Susdalzew, S.; Monsefi, N.; Crivello, M.; Woods, I.; Resler, A.; Blackbourn, L.; Fabbrizio, P.; Trolese, M. C.; Nardo, G.; Bendotti, C.; van den Berg, L. H.; van Es, M. A.; Prehn, J. H. M.</t>
  </si>
  <si>
    <t>fcaa138</t>
  </si>
  <si>
    <t>10.1093/braincomms/fcaa138</t>
  </si>
  <si>
    <t>Hogg 2020</t>
  </si>
  <si>
    <t>Venous creatinine as a biomarker for loss of fat-free mass and disease progression in patients with amyotrophic lateral sclerosis</t>
  </si>
  <si>
    <t>Holdom, C. J.; van Mantgem, M. J. R.; van Eijk, R. P. A.; Howe, S. L.; van den Berg, L. H.; McCombe, P. A.; Henderson, R. D.; Ngo, S. T.; Steyn, F. J.</t>
  </si>
  <si>
    <t>3615-3625</t>
  </si>
  <si>
    <t>10.1111/ene.15003</t>
  </si>
  <si>
    <t>Associations of postprandial ghrelin, liver-expressed antimicrobial peptide 2 and leptin levels with body composition, disease progression and survival in patients with amyotrophic lateral sclerosis</t>
  </si>
  <si>
    <t>Howe, S. L.; Holdom, C. J.; McCombe, P. A.; Henderson, R. D.; Zigman, J. M.; Ngo, S. T.; Steyn, F. J.</t>
  </si>
  <si>
    <t>e16052</t>
  </si>
  <si>
    <t>10.1111/ene.16052</t>
  </si>
  <si>
    <t>Howe 2024</t>
  </si>
  <si>
    <t>Impacts of serum biomarkers regarding glucose, lipid and protein on progression and survival of amyotrophic lateral sclerosis: A Chinese cohort study</t>
  </si>
  <si>
    <t>Hu, N.; Zhang, L.; Shen, D. C.; Yang, X. Z.; Cui, L. Y.; Liu, M. S.</t>
  </si>
  <si>
    <t>Neurology Asia</t>
  </si>
  <si>
    <t>385-396</t>
  </si>
  <si>
    <t>10.54029/2024esc</t>
  </si>
  <si>
    <t>Hu 2024</t>
  </si>
  <si>
    <t>The Impact of Serum Uric Acid on the Progression of Amyotrophic Lateral Sclerosis in Adults Aged 18 and Older: A Systematic Review</t>
  </si>
  <si>
    <t>Hussein, S.; Pingili, S.; Makkena, V. K.; Jaramillo, A. P.; Awosusi, B. L.; Ayyub, J.; Dabhi, K. N.; Gohil, N. V.; Tanveer, N.; Hamid, P.</t>
  </si>
  <si>
    <t>Cureus</t>
  </si>
  <si>
    <t>e42312</t>
  </si>
  <si>
    <t>10.7759/cureus.42312</t>
  </si>
  <si>
    <t>Hussein 2023</t>
  </si>
  <si>
    <t>Increase of arginine dimethylation correlates with the progression and prognosis of ALS</t>
  </si>
  <si>
    <t>Ikenaka, K.; Atsuta, N.; Maeda, Y.; Hotta, Y.; Nakamura, R.; Kawai, K.; Yokoi, D.; Hirakawa, A.; Taniguchi, A.; Morita, M.; Mizoguchi, K.; Mochizuki, H.; Kimura, K.; Katsuno, M.; Sobue, G.</t>
  </si>
  <si>
    <t>e1868-e1877</t>
  </si>
  <si>
    <t>10.1212/wnl.0000000000007311</t>
  </si>
  <si>
    <t>Ikenaka 2019</t>
  </si>
  <si>
    <t>Serum asymmetric dimethylarginine level correlates with the progression and prognosis of amyotrophic lateral sclerosis</t>
  </si>
  <si>
    <t>Ikenaka, K.; Maeda, Y.; Hotta, Y.; Nagano, S.; Yamada, S.; Ito, D.; Torii, R.; Kakuda, K.; Tatebe, H.; Atsuta, N.; Aguirre, C.; Kimura, Y.; Baba, K.; Tokuda, T.; Katsuno, M.; Kimura, K.; Sobue, G.; Mochizuki, H.</t>
  </si>
  <si>
    <t>1410-1416</t>
  </si>
  <si>
    <t>10.1111/ene.15254</t>
  </si>
  <si>
    <t>Ikenaka 2022</t>
  </si>
  <si>
    <t>Lipids, apolipoproteins, and prognosis of amyotrophic lateral sclerosis</t>
  </si>
  <si>
    <t>Ingre, C.; Chen, L.; Zhan, Y.; Termorshuizen, J.; Yin, L.; Fang, F.</t>
  </si>
  <si>
    <t>e1835-e1844</t>
  </si>
  <si>
    <t>10.1212/wnl.0000000000009322</t>
  </si>
  <si>
    <t>Ingre 2020</t>
  </si>
  <si>
    <t>Elevated serum creatine kinase in the early stage of sporadic amyotrophic lateral sclerosis</t>
  </si>
  <si>
    <t>Ito, D.; Hashizume, A.; Hijikata, Y.; Yamada, S.; Iguchi, Y.; Iida, M.; Kishimoto, Y.; Moriyoshi, H.; Hirakawa, A.; Katsuno, M.</t>
  </si>
  <si>
    <t>2952-2961</t>
  </si>
  <si>
    <t>10.1007/s00415-019-09507-6</t>
  </si>
  <si>
    <t>Ito 2019</t>
  </si>
  <si>
    <t>Exosomal Angiogenin as a Potential Biomarker in Amyotrophic Lateral Sclerosis</t>
  </si>
  <si>
    <t>Ivanova, M. V.; Chekanova, E. O.; Belugin, B. V.; Dolzhikova, I. V.; Tutykhina, I. L.; Zakharova, M. N.</t>
  </si>
  <si>
    <t>Neurochemical Journal</t>
  </si>
  <si>
    <t>321-327</t>
  </si>
  <si>
    <t>10.1134/s1819712420030058</t>
  </si>
  <si>
    <t>Ivanova 2020</t>
  </si>
  <si>
    <t>Association Between Serum Lipids and Survival in Patients With Amyotrophic Lateral Sclerosis: A Meta-analysis and Population-Based Study</t>
  </si>
  <si>
    <t>Janse van Mantgem, M. R.; van Rheenen, W.; Hackeng, A. V.; van Es, M. A.; Veldink, J. H.; van den Berg, L. H.; van Eijk, R. P. A.</t>
  </si>
  <si>
    <t>e1062-e1071</t>
  </si>
  <si>
    <t>10.1212/wnl.0000000000201657</t>
  </si>
  <si>
    <t>JansevanMantgem 2023</t>
  </si>
  <si>
    <t>Cystatin C is associated with poor survival in amyotrophic lateral sclerosis patients</t>
  </si>
  <si>
    <t>Jiang, Q.; Guo, Y.; Yang, T.; Li, S.; Hou, Y.; Lin, J.; Xiao, Y.; Ou, R.; Wei, Q.; Shang, H.</t>
  </si>
  <si>
    <t>10.3389/fnins.2023.1309568</t>
  </si>
  <si>
    <t>Jiang 2023</t>
  </si>
  <si>
    <t>Biomarker supervised G-CSF (Filgrastim) response in ALS patients</t>
  </si>
  <si>
    <t>Johannesen, S.; Budeus, B.; Peters, S.; Iberl, S.; Meyer, A. L.; Wirkert, E.; Bruun, T. H.; Schulte-Mattler, W.; Schneider, A.; Bogdahn, U.</t>
  </si>
  <si>
    <t>Joilin, G.; Gray, E.; Thompson, A. G.; Bobeva, Y.; Talbot, K.; Weishaupt, J.; Ludolph, A.; Malaspina, A.; Leigh, P. N.; Newbury, S. F.; Turner, M. R.; Hafezparast, M.</t>
  </si>
  <si>
    <t>fcaa053</t>
  </si>
  <si>
    <t>Association of serum Spp1 levels with disease progression in ALS and SBMA</t>
  </si>
  <si>
    <t>Ju, W.; Ban, J. J.; Im, H. R.; Ko, S. H.; Seo, J.; Min, Y. G.; Hong, Y. H.; Choi, S. J.; Sung, J. J.</t>
  </si>
  <si>
    <t>1809-1818</t>
  </si>
  <si>
    <t>10.1002/acn3.52087</t>
  </si>
  <si>
    <t>Ju 2024</t>
  </si>
  <si>
    <t>C-reactive protein levels in patients with amyotrophic lateral sclerosis: A systematic review</t>
  </si>
  <si>
    <t>Kharel, S.; Ojha, R.; Preethish-Kumar, V.; Bhagat, R.</t>
  </si>
  <si>
    <t>e2532</t>
  </si>
  <si>
    <t>10.1002/brb3.2532</t>
  </si>
  <si>
    <t>Kharel 2022</t>
  </si>
  <si>
    <t>Creatine Kinase MB Isoenzyme Is a Complementary Biomarker in Amyotrophic Lateral Sclerosis</t>
  </si>
  <si>
    <t>Kittipeerapat, N.; Fabian, R.; Bernsen, S.; Weydt, P.; Castro-Gomez, S.</t>
  </si>
  <si>
    <t>10.3390/ijms241411682</t>
  </si>
  <si>
    <t>Kittipeerapat 2023</t>
  </si>
  <si>
    <t>Complement Profiles in Patients with Amyotrophic Lateral Sclerosis: A Prospective Observational Cohort Study</t>
  </si>
  <si>
    <t>Kjaeldgaard, A. L.; Pilely, K.; Olsen, K. S.; Lauritsen, A. O.; Pedersen, S. W.; Svenstrup, K.; Karlsborg, M.; Thagesen, H.; Blaabjerg, M.; Theódórsdóttir, A.; Elmo, E. G.; Moller, A. T.; Pedersen, N. A.; Kirkegaard, N.; Moller, K.; Garred, P.</t>
  </si>
  <si>
    <t>Journal of Inflammation Research</t>
  </si>
  <si>
    <t>1043-1053</t>
  </si>
  <si>
    <t>10.2147/jir.S298307</t>
  </si>
  <si>
    <t>Kjaeldgaard 2021</t>
  </si>
  <si>
    <t>Amyotrophic lateral sclerosis: Correlations between fluid biomarkers of NfL, TDP-43, and tau, and clinical characteristics</t>
  </si>
  <si>
    <t>Kojima, Y.; Kasai, T.; Noto, Y.; Ohmichi, T.; Tatebe, H.; Kitaoji, T.; Tsuji, Y.; Kitani-Morii, F.; Shinomoto, M.; Allsop, D.; Teramukai, S.; Mizuno, T.; Tokuda, T.</t>
  </si>
  <si>
    <t>10.1371/journal.pone.0260323</t>
  </si>
  <si>
    <t>Kojima 2021</t>
  </si>
  <si>
    <t>Plasma creatinine and amyotrophic lateral sclerosis prognosis: a systematic review and meta-analysis</t>
  </si>
  <si>
    <t>Lanznaster, D.; Bejan-Angoulvant, T.; Patin, F.; Andres, C. R.; Vourc'h, P.; Corcia, P.; Blasco, H.</t>
  </si>
  <si>
    <t>199-206</t>
  </si>
  <si>
    <t>10.1080/21678421.2019.1572192</t>
  </si>
  <si>
    <t>Lanznaster 2019</t>
  </si>
  <si>
    <t>Neutrophils-to-Lymphocyte Ratio Is Associated with Progression and Overall Survival in Amyotrophic Lateral Sclerosis</t>
  </si>
  <si>
    <t>Leone, M. A.; Mandrioli, J.; Russo, S.; Cucovici, A.; Gianferrari, G.; Lisnic, V.; Muresanu, D. F.; Giuliani, F.; Copetti, M.; The Pooled Resource Open-Access Als Clinical Trials, Consortium; Fontana, A.</t>
  </si>
  <si>
    <t>10.3390/biomedicines10020354</t>
  </si>
  <si>
    <t>Leone 2022</t>
  </si>
  <si>
    <t>Circulating NAD plus Metabolism-Derived Genes Unveils Prognostic and Peripheral Immune Infiltration in Amyotrophic Lateral Sclerosis</t>
  </si>
  <si>
    <t>Li, C.; Zhu, Y.; Chen, W. Z.; Li, M. H.; Yang, M.; Shen, Z. Y.; Zhou, Y. Y.; Wang, L. L.; Wang, H.; Li, S.; Ma, J. C.; Gong, M. N.; Xu, R. S.</t>
  </si>
  <si>
    <t>Frontiers in Cell and Developmental Biology</t>
  </si>
  <si>
    <t>10.3389/fcell.2022.831273</t>
  </si>
  <si>
    <t>Blood–brain barrier dysfunction and myelin basic protein in survival of amyotrophic lateral sclerosis with or without frontotemporal dementia</t>
  </si>
  <si>
    <t>Li, Jin-Yue; Cai, Zheng-Yi; Sun, Xiao-Han; Shen, Dong-chao; Yang, Xun-Zhe; Liu, Ming-Sheng; Cui, Li-Ying</t>
  </si>
  <si>
    <t>Alterations in metabolic biomarkers and their potential role in amyotrophic lateral sclerosis</t>
  </si>
  <si>
    <t>Li, J. Y.; Cui, L. Y.; Sun, X. H.; Shen, D. C.; Yang, X. Z.; Liu, Q.; Liu, M. S.</t>
  </si>
  <si>
    <t>1027-1038</t>
  </si>
  <si>
    <t>10.1002/acn3.51580</t>
  </si>
  <si>
    <t>Human endogenous retrovirus K (HERV-K) env in neuronal extracellular vesicles: a new biomarker of motor neuron disease</t>
  </si>
  <si>
    <t>Li, Y.; Chen, Y.; Zhang, N.; Fan, D.</t>
  </si>
  <si>
    <t>100-107</t>
  </si>
  <si>
    <t>10.1080/21678421.2021.1936061</t>
  </si>
  <si>
    <t>Systematic review and meta-analysis on microRNAs in amyotrophic lateral sclerosis</t>
  </si>
  <si>
    <t>Liu, H.; Lan, S.; Shi, X. J.; Fan, F. C.; Liu, Q. S.; Cong, L.; Cheng, Y.</t>
  </si>
  <si>
    <t>Brain Res Bull</t>
  </si>
  <si>
    <t>82-89</t>
  </si>
  <si>
    <t>10.1016/j.brainresbull.2023.01.005</t>
  </si>
  <si>
    <t>Liu 2023</t>
  </si>
  <si>
    <t>Serum creatinine levels in patients with amyotrophic lateral sclerosis: a systematic review and meta-analysis</t>
  </si>
  <si>
    <t>Liu, J.; Luo, X.; Chen, X.; Shang, H.</t>
  </si>
  <si>
    <t>502-508</t>
  </si>
  <si>
    <t>10.1080/21678421.2020.1774610</t>
  </si>
  <si>
    <t>Liu 2020</t>
  </si>
  <si>
    <t>Diagnostic and prognostic values of PBMC proteins in amyotrophic lateral sclerosis</t>
  </si>
  <si>
    <t>Luotti, S.; Pasetto, L.; Porcu, L.; Torri, V.; Elezgarai, S. R.; Pantalone, S.; Filareti, M.; Corbo, M.; Lunetta, C.; Mora, G.; Bonetto, V.</t>
  </si>
  <si>
    <t>Neurobiol Dis</t>
  </si>
  <si>
    <t>10.1016/j.nbd.2020.104815</t>
  </si>
  <si>
    <t>Luotti 2020</t>
  </si>
  <si>
    <t>Serum chloride as a respiratory failure marker in amyotrophic lateral sclerosis</t>
  </si>
  <si>
    <t>Manera, U.; Grassano, M.; Matteoni, E.; Bombaci, A.; Vasta, R.; Palumbo, F.; Torrieri, M. C.; Cugnasco, P.; Moglia, C.; Canosa, A.; Chiò, A.; Calvo, A.</t>
  </si>
  <si>
    <t>10.3389/fnagi.2023.1188827</t>
  </si>
  <si>
    <t>Manera 2023</t>
  </si>
  <si>
    <t>Association of &lt;i&gt;APOE&lt;/i&gt; genotype and cerebrospinal fluid Aβ and tau biomarkers with cognitive and motor phenotype in amyotrophic lateral sclerosis</t>
  </si>
  <si>
    <t>Maranzano, A.; Verde, F.; Dubini, A.; Torre, S.; Colombo, E.; Doretti, A.; Gentile, F.; Manini, A.; Milone, I.; Brusati, A.; Peverelli, S.; Santangelo, S.; Spinelli, E. G.; Torresani, E.; Gentilini, D.; Messina, S.; Morelli, C.; Poletti, B.; Agosta, F.; Ratti, A.; Filippi, M.; Silani, V.; Ticozzi, N.</t>
  </si>
  <si>
    <t>2024 Jun</t>
  </si>
  <si>
    <t>10.1111/ene.16374</t>
  </si>
  <si>
    <t>Maranzano 2024</t>
  </si>
  <si>
    <t>Serum neurofilament light chain in distinct phenotypes of amyotrophic lateral sclerosis: A longitudinal, multicenter study</t>
  </si>
  <si>
    <t>Meyer, T.; Dreger, M.; Grehl, T.; Weyen, U.; Kettemann, D.; Weydt, P.; Guenther, R.; Lingor, P.; Petri, S.; Koch, J. C.; Grosskreutz, J.; Roediger, A.; Baum, P.; Hermann, A.; Prudlo, J.; Boentert, M.; Weishaupt, J. H.; Loescher, W. N.; Dorst, J.; Koc, Y.; Bernsen, S.; Cordts, I.; Vidovic, M.; Steinbach, R.; Metelmann, M.; Kleinveld, V. E.; Norden, J.; Ludolph, A.; Walter, B.; Schumann, P.; Muench, C.; Koertvelyessy, P.; Maier, A.</t>
  </si>
  <si>
    <t>10.1111/ene.16379</t>
  </si>
  <si>
    <t>Meyer 2024</t>
  </si>
  <si>
    <t>Performance of serum neurofilament light chain in a wide spectrum of clinical courses of amyotrophic lateral sclerosis-a cross-sectional multicenter study</t>
  </si>
  <si>
    <t>Meyer, T.; Salkic, E.; Grehl, T.; Weyen, U.; Kettemann, D.; Weydt, P.; Günther, R.; Lingor, P.; Koch, J. C.; Petri, S.; Hermann, A.; Prudlo, J.; Großkreutz, J.; Baum, P.; Boentert, M.; Metelmann, M.; Norden, J.; Cordts, I.; Weishaupt, J. H.; Dorst, J.; Ludolph, A.; Koc, Y.; Walter, B.; Münch, C.; Spittel, S.; Dreger, M.; Maier, A.; Körtvélyessy, P.</t>
  </si>
  <si>
    <t>1600-1610</t>
  </si>
  <si>
    <t>10.1111/ene.15773</t>
  </si>
  <si>
    <t>Meyer 2023</t>
  </si>
  <si>
    <t>Muscle &amp; nerve</t>
  </si>
  <si>
    <t>Miller 2022</t>
  </si>
  <si>
    <t>New England journal of medicine</t>
  </si>
  <si>
    <t>Trial of Antisense Oligonucleotide Tofersen for SOD1 ALS</t>
  </si>
  <si>
    <t>Miller, T. M.; Cudkowicz, M. E.; Genge, A.; Shaw, P. J.; Sobue, G.; Bucelli, R. C.; Chiò, A.; Van Damme, P.; Ludolph, A. C.; Glass, J. D.; Andrews, J. A.; Babu, S.; Benatar, M.; McDermott, C. J.; Cochrane, T.; Chary, S.; Chew, S.; Zhu, H.; Wu, F.; Nestorov, I.; Graham, D.; Sun, P.; McNeill, M.; Fanning, L.; Ferguson, T. A.; Fradette, S.</t>
  </si>
  <si>
    <t>N Engl J Med</t>
  </si>
  <si>
    <t>1099-1110</t>
  </si>
  <si>
    <t>10.1056/NEJMoa2204705</t>
  </si>
  <si>
    <t>Plasma creatinine and oxidative stress biomarkers in amyotrophic lateral sclerosis</t>
  </si>
  <si>
    <t>Mitsumoto, H.; Garofalo, D. C.; Santella, R. M.; Sorenson, E. J.; Oskarsson, B.; Fernandes, J. A. M., Jr.; Andrews, H.; Hupf, J.; Gilmore, M.; Heitzman, D.; Bedlack, R. S.; Katz, J. S.; Barohn, R. J.; Kasarskis, E. J.; Lomen-Hoerth, C.; Mozaffar, T.; Nations, S. P.; Swenson, A. J.; Factor-Litvak, P.</t>
  </si>
  <si>
    <t>263-272</t>
  </si>
  <si>
    <t>10.1080/21678421.2020.1746810</t>
  </si>
  <si>
    <t>Mitsumoto 2020</t>
  </si>
  <si>
    <t>Levels of clusterin, CD5L, ficolin-3, and gelsolin in ALS patients and controls</t>
  </si>
  <si>
    <t>Mohanty, L.; Henderson, R. D.; McCombe, P. A.; Lee, A.</t>
  </si>
  <si>
    <t>631-634</t>
  </si>
  <si>
    <t>10.1080/21678421.2020.1779303</t>
  </si>
  <si>
    <t>Mohanty 2020</t>
  </si>
  <si>
    <t>Plasma Creatinine Level Does Not Predict Respiratory Function in Amyotrophic Lateral Sclerosis</t>
  </si>
  <si>
    <t>Morgadinho, J.; Pronto-Laborinho, A. C.; Conceição, V. A.; Gromicho, M.; Pinto, S.; Swash, M.; de Carvalho, M.</t>
  </si>
  <si>
    <t>J Neuromuscul Dis</t>
  </si>
  <si>
    <t>795-799</t>
  </si>
  <si>
    <t>10.3233/jnd-200583</t>
  </si>
  <si>
    <t>Morgadinho 2021</t>
  </si>
  <si>
    <t>Exploring the Role of Metabolic Hormones in Amyotrophic Lateral Sclerosis</t>
  </si>
  <si>
    <t>Moțățăianu, A.; Mănescu, I. B.; Șerban, G.; Bărcuțean, L.; Ion, V.; Bălașa, R.; Andone, S.</t>
  </si>
  <si>
    <t>10.3390/ijms25105059</t>
  </si>
  <si>
    <t>Moțățăianu 2024</t>
  </si>
  <si>
    <t>Peripheral Immune Profiles Predict ALS Progression in an Age- and Sex-Dependent Manner</t>
  </si>
  <si>
    <t>Murdock, B. J.; Zhao, B.; Pawlowski, K. D.; Famie, J. P.; Piecuch, C. E.; Webber-Davis, I. F.; Teener, S. J.; Feldman, E. L.; Zhao, L.; Goutman, S. A.</t>
  </si>
  <si>
    <t>e200241</t>
  </si>
  <si>
    <t>10.1212/nxi.0000000000200241</t>
  </si>
  <si>
    <t>Murdock 2024</t>
  </si>
  <si>
    <t>Altered perivascular fibroblast activity precedes ALS disease onset</t>
  </si>
  <si>
    <t>Månberg, A.; Skene, N.; Sanders, F.; Trusohamn, M.; Remnestål, J.; Szczepińska, A.; Aksoylu, I. S.; Lönnerberg, P.; Ebarasi, L.; Wouters, S.; Lehmann, M.; Olofsson, J.; von Gohren Antequera, I.; Domaniku, A.; De Schaepdryver, M.; De Vocht, J.; Poesen, K.; Uhlén, M.; Anink, J.; Mijnsbergen, C.; Vergunst-Bosch, H.; Hübers, A.; Kläppe, U.; Rodriguez-Vieitez, E.; Gilthorpe, J. D.; Hedlund, E.; Harris, R. A.; Aronica, E.; Van Damme, P.; Ludolph, A.; Veldink, J.; Ingre, C.; Nilsson, P.; Lewandowski, S. A.</t>
  </si>
  <si>
    <t>640-646</t>
  </si>
  <si>
    <t>10.1038/s41591-021-01295-9</t>
  </si>
  <si>
    <t>Månberg 2021</t>
  </si>
  <si>
    <t>Cystatin C based estimation of chronic kidney disease and amyotrophic lateral sclerosis in the ALS registry Swabia: associated risk and prognostic value</t>
  </si>
  <si>
    <t>Nagel, G.; Kurz, D.; Peter, R. S.; Rosenbohm, A.; Koenig, W.; Dupuis, L.; Bäzner, H.; Börtlein, A.; Dempewolf, S.; Schabet, M.; Hecht, M.; Kohler, A.; Opherk, C.; Naegele, A.; Sommer, N.; Lindner, A.; Tumani, H.; Ludolph, A. C.; Rothenbacher, D.</t>
  </si>
  <si>
    <t>10.1038/s41598-023-46179-9</t>
  </si>
  <si>
    <t>Nagel 2023</t>
  </si>
  <si>
    <t>Association of Insulin-like Growth Factor 1 Concentrations with Risk for and Prognosis of Amyotrophic Lateral Sclerosis - Results from the ALS Registry Swabia</t>
  </si>
  <si>
    <t>Nagel, G.; Peter, R. S.; Rosenbohm, A.; Koenig, W.; Dupuis, L.; Rothenbacher, D.; Ludolph, A. C.</t>
  </si>
  <si>
    <t>10.1038/s41598-020-57744-x</t>
  </si>
  <si>
    <t>Nagel 2020</t>
  </si>
  <si>
    <t>Nakamura 2021</t>
  </si>
  <si>
    <t>Prognostic prediction by hypermetabolism varies depending on the nutritional status in early amyotrophic lateral sclerosis</t>
  </si>
  <si>
    <t>Nakamura, R.; Kurihara, M.; Ogawa, N.; Kitamura, A.; Yamakawa, I.; Bamba, S.; Sanada, M.; Sasaki, M.; Urushitani, M.</t>
  </si>
  <si>
    <t>10.1038/s41598-021-97196-5</t>
  </si>
  <si>
    <t>Amyotrophic lateral sclerosis stratification: unveiling patterns with virome, inflammation, and metabolism molecules</t>
  </si>
  <si>
    <t>Niccolai, E.; Pedone, M.; Martinelli, I.; Nannini, G.; Baldi, S.; Simonini, C.; Di Gloria, L.; Zucchi, E.; Ramazzotti, M.; Spezia, P. G.; Maggi, F.; Quaranta, G.; Masucci, L.; Bartolucci, G.; Stingo, F. C.; Mandrioli, J.; Amedei, A.</t>
  </si>
  <si>
    <t>4310-4325</t>
  </si>
  <si>
    <t>10.1007/s00415-024-12348-7</t>
  </si>
  <si>
    <t>Niccolai 2024</t>
  </si>
  <si>
    <t>TDP-43-specific Autoantibody Decline in Patients With Amyotrophic Lateral Sclerosis</t>
  </si>
  <si>
    <t>Nielsen, A. K.; Folke, J.; Owczarek, S.; Svenstrup, K.; Winge, K.; Pakkenberg, B.; Aznar, S.; Brudek, T.</t>
  </si>
  <si>
    <t>10.1212/nxi.0000000000000937</t>
  </si>
  <si>
    <t>Nielsen 2021</t>
  </si>
  <si>
    <t>Different neuroinflammatory profile in amyotrophic lateral sclerosis and frontotemporal dementia is linked to the clinical phase</t>
  </si>
  <si>
    <t>Oeckl, P.; Weydt, P.; Steinacker, P.; Anderl-Straub, S.; Nordin, F.; Volk, A. E.; Diehl-Schmid, J.; Andersen, P. M.; Kornhuber, J.; Danek, A.; Fassbender, K.; Fliessbach, K.; Jahn, H.; Lauer, M.; Müller, K.; Knehr, A.; Prudlo, J.; Schneider, A.; Thal, D. R.; Yilmazer-Hanke, D.; Weishaupt, J. H.; Ludolph, A. C.; Otto, M.; German Consortium Frontotemporal, L.</t>
  </si>
  <si>
    <t>Journal of Neurology Neurosurgery and Psychiatry</t>
  </si>
  <si>
    <t>10.1136/jnnp-2018-318868</t>
  </si>
  <si>
    <t>Olsson, B.; Portelius, E.; Cullen, N. C.; Sandelius, Å; Zetterberg, H.; Andreasson, U.; Höglund, K.; Irwin, D. J.; Grossman, M.; Weintraub, D.; Chen-Plotkin, A.; Wolk, D.; McCluskey, L.; Elman, L.; Shaw, L. M.; Toledo, J. B.; McBride, J.; Hernandez-Con, P.; Lee, V. M.; Trojanowski, J. Q.; Blennow, K.</t>
  </si>
  <si>
    <t>Trial of Sodium Phenylbutyrate-Taurursodiol for Amyotrophic Lateral Sclerosis</t>
  </si>
  <si>
    <t>Paganoni, S.; Macklin, E. A.; Hendrix, S.; Berry, J. D.; Elliott, M. A.; Maiser, S.; Karam, C.; Caress, J. B.; Owegi, M. A.; Quick, A.; Wymer, J.; Goutman, S. A.; Heitzman, D.; Heiman-Patterson, T.; Jackson, C. E.; Quinn, C.; Rothstein, J. D.; Kasarskis, E. J.; Katz, J.; Jenkins, L.; Ladha, S.; Miller, T. M.; Scelsa, S. N.; Vu, T. H.; Fournier, C. N.; Glass, J. D.; Johnson, K. M.; Swenson, A.; Goyal, N. A.; Pattee, G. L.; Andres, P. L.; Babu, S.; Chase, M.; Dagostino, D.; Dickson, S. P.; Ellison, N.; Hall, M.; Hendrix, K.; Kittle, G.; McGovern, M.; Ostrow, J.; Pothier, L.; Randall, R.; Shefner, J. M.; Sherman, A. V.; Tustison, E.; Vigneswaran, P.; Walker, J.; Yu, H.; Chan, J. M.; Wittes, J.; Cohen, J.; Klee, J.; Leslie, K.; Tanzi, R. E.; Gilbert, W.; Yeramian, P. D.; Schoenfeld, D.; Cudkowicz, M. E.</t>
  </si>
  <si>
    <t>919-930</t>
  </si>
  <si>
    <t>10.1056/NEJMoa1916945</t>
  </si>
  <si>
    <t>Paganoni 2020</t>
  </si>
  <si>
    <t>Pasetto, L.; Callegaro, S.; Corbelli, A.; Fiordaliso, F.; Ferrara, D.; Brunelli, L.; Sestito, G.; Pastorelli, R.; Bianchi, E.; Cretich, M.; Chiari, M.; Potrich, C.; Moglia, C.; Corbo, M.; Sorarù, G.; Lunetta, C.; Calvo, A.; Chiò, A.; Mora, G.; Pennuto, M.; Quattrone, A.; Rinaldi, F.; D'Agostino, V. G.; Basso, M.; Bonetto, V.</t>
  </si>
  <si>
    <t>Mol Neurodegener</t>
  </si>
  <si>
    <t>Alterations of the serum and CSF ferritin levels and the diagnosis and prognosis of amyotrophic lateral sclerosis</t>
  </si>
  <si>
    <t>Paydarnia, P.; Mayeli, M.; Shafie, M.; Agah, E.; Hasani, S. A.; Jazani, M. R.; Sarraf, P.</t>
  </si>
  <si>
    <t>eNeurologicalSci</t>
  </si>
  <si>
    <t>10.1016/j.ensci.2021.100379</t>
  </si>
  <si>
    <t>Paydarnia 2021</t>
  </si>
  <si>
    <t>Novel genetic variants in MAPT and alterations in tau phosphorylation in amyotrophic lateral sclerosis post-mortem motor cortex and cerebrospinal fluid</t>
  </si>
  <si>
    <t>Petrozziello, T.; Amaral, A. C.; Dujardin, S.; Farhan, S. M. K.; Chan, J.; Trombetta, B. A.; Kivisäkk, P.; Mills, A. N.; Bordt, E. A.; Kim, S. E.; Dooley, P. M.; Commins, C.; Connors, T. R.; Oakley, D. H.; Ghosal, A.; Gomez-Isla, T.; Hyman, B. T.; Arnold, S. E.; Spires-Jones, T.; Cudkowicz, M. E.; Berry, J. D.; Sadri-Vakili, G.</t>
  </si>
  <si>
    <t>Brain Pathol</t>
  </si>
  <si>
    <t>e13035</t>
  </si>
  <si>
    <t>10.1111/bpa.13035</t>
  </si>
  <si>
    <t>Petrozziello 2022</t>
  </si>
  <si>
    <t>Phan, K.; He, Y.; Bhatia, S.; Pickford, R.; McDonald, G.; Mazumder, S.; Timmins, H. C.; Hodges, J. R.; Piguet, O.; Dzamko, N.; Halliday, G. M.; Kiernan, M. C.; Kim, W. S.</t>
  </si>
  <si>
    <t>fcac340</t>
  </si>
  <si>
    <t>Phan 2023</t>
  </si>
  <si>
    <t>In Amyotrophic Lateral Sclerosis Blood Cytokines Are Altered, but Do Not Correlate with Changes in Brain Topology</t>
  </si>
  <si>
    <t>Polverino, A.; Rucco, R.; Stillitano, I.; Bonavita, S.; Grimaldi, M.; Minino, R.; Pesoli, M.; Trojsi, F.; D'Ursi, A. M.; Sorrentino, G.; Sorrentino, P.</t>
  </si>
  <si>
    <t>Brain Connect</t>
  </si>
  <si>
    <t>411-421</t>
  </si>
  <si>
    <t>10.1089/brain.2020.0741</t>
  </si>
  <si>
    <t>Polverino 2020</t>
  </si>
  <si>
    <t>Interleukin-6 and amyotrophic lateral sclerosis</t>
  </si>
  <si>
    <t>Pronto-Laborinho, A.; Pinto, S.; Gromicho, M.; Pereira, M.; Swash, M.; de Carvalho, M.</t>
  </si>
  <si>
    <t>50-53</t>
  </si>
  <si>
    <t>10.1016/j.jns.2019.01.026</t>
  </si>
  <si>
    <t>Pronto-Laborinho 2019</t>
  </si>
  <si>
    <t>γ' Fibrinogen as a Predictor of Survival in Amyotrophic Lateral Sclerosis</t>
  </si>
  <si>
    <t>Pronto-Laborinho, A. C.; Lopes, C. S.; Conceição, V. A.; Gromicho, M.; Santos, N. C.; de Carvalho, M.; Carvalho, F. A.</t>
  </si>
  <si>
    <t>Front Cardiovasc Med</t>
  </si>
  <si>
    <t>10.3389/fcvm.2021.715842</t>
  </si>
  <si>
    <t>Pronto-Laborinho 2021</t>
  </si>
  <si>
    <t>ALS monocyte-derived microglia-like cells reveal cytoplasmic TDP-43 accumulation, DNA damage, and cell-specific impairment of phagocytosis associated with disease progression</t>
  </si>
  <si>
    <t>Quek, H.; Cuní-López, C.; Stewart, R.; Colletti, T.; Notaro, A.; Nguyen, T. H.; Sun, Y.; Guo, C. C.; Lupton, M. K.; Roberts, T. L.; Lim, Y. C.; Oikari, L. E.; La Bella, V.; White, A. R.</t>
  </si>
  <si>
    <t>J Neuroinflammation</t>
  </si>
  <si>
    <t>10.1186/s12974-022-02421-1</t>
  </si>
  <si>
    <t>Quek 2022</t>
  </si>
  <si>
    <t>Serum heat shock protein concentrations are not associated with amyotrophic lateral sclerosis risk or survival in three European populations</t>
  </si>
  <si>
    <t>Rooney, J. P. K.; Geoghegan, G.; O'Reilly, F.; Heverin, M.; Bose-O'Reilly, S.; Casale, F.; Chio, A.; Guenther, K.; Schuster, J.; Klopstock, T.; Ludolph, A.; Hardiman, O.; Rakete, S.</t>
  </si>
  <si>
    <t>2024 May</t>
  </si>
  <si>
    <t>10.1080/21678421.2024.2358805</t>
  </si>
  <si>
    <t>Rooney 2024</t>
  </si>
  <si>
    <t>High levels of neurofilament light and YKL-40 in cerebrospinal fluid are related to poor outcome in ALS</t>
  </si>
  <si>
    <t>Rosén, C.; Mitre, B.; Nellgard, B.; Axelsson, M.; Constantinescu, R.; Andersen, P. M.; Dalla, K.; Blennow, K.; Nilsson, G.; Zetterberg, H.; Rosén, H.</t>
  </si>
  <si>
    <t>10.1016/j.jns.2024.123112</t>
  </si>
  <si>
    <t>Rosén 2024</t>
  </si>
  <si>
    <t>Evaluation of peripherin in biofluids of patients with motor neuron diseases</t>
  </si>
  <si>
    <t>Sabbatini, D.; Raggi, F.; Ruggero, S.; Seguso, M.; Mandrioli, J.; Cagnin, A.; Briani, C.; Toffanin, E.; Gizzi, M.; Fortuna, A.; Bello, L.; Pegoraro, E.; Musso, G.; Sorarù, G.</t>
  </si>
  <si>
    <t>1750-1754</t>
  </si>
  <si>
    <t>10.1002/acn3.51419</t>
  </si>
  <si>
    <t>Sabbatini 2021</t>
  </si>
  <si>
    <t>Lipidomic traits of plasma and cerebrospinal fluid in amyotrophic lateral sclerosis correlate with disease progression</t>
  </si>
  <si>
    <t>Sol, J.; Jové, M.; Povedano, M.; Sproviero, W.; Domínguez, R.; Piñol-Ripoll, G.; Romero-Guevara, R.; Hye, A.; Al-Chalabi, A.; Torres, P.; Andres-Benito, P.; Area-Gómez, E.; Pamplona, R.; Ferrer, I.; Ayala, V.; Portero-Otín, M.</t>
  </si>
  <si>
    <t>10.1093/braincomms/fcab143</t>
  </si>
  <si>
    <t>Sol 2021</t>
  </si>
  <si>
    <t>Leukocyte Derived Microvesicles as Disease Progression Biomarkers in Slow Progressing Amyotrophic Lateral Sclerosis Patients</t>
  </si>
  <si>
    <t>Sproviero, D.; La Salvia, S.; Colombo, F.; Zucca, S.; Pansarasa, O.; Diamanti, L.; Costa, A.; Lova, L.; Giannini, M.; Gagliardi, S.; Lauranzano, E.; Matteoli, M.; Ceroni, M.; Malaspina, A.; Cereda, C.</t>
  </si>
  <si>
    <t>10.3389/fnins.2019.00344</t>
  </si>
  <si>
    <t>Sproviero 2019</t>
  </si>
  <si>
    <t>Predictors of survival in patients with amyotrophic lateral sclerosis: A large meta-analysis</t>
  </si>
  <si>
    <t>Su, W. M.; Cheng, Y. F.; Jiang, Z.; Duan, Q. Q.; Yang, T. M.; Shang, H. F.; Chen, Y. P.</t>
  </si>
  <si>
    <t>EBioMedicine</t>
  </si>
  <si>
    <t>10.1016/j.ebiom.2021.103732</t>
  </si>
  <si>
    <t>Su 2021</t>
  </si>
  <si>
    <t>Correlational Analysis of ALS Progression and Serum NfL Measured by Simoa Assay in Chinese Patients</t>
  </si>
  <si>
    <t>Sugimoto, K.; Han, Y.; Song, Y.; Gao, Y.</t>
  </si>
  <si>
    <t>10.3389/fneur.2020.579094</t>
  </si>
  <si>
    <t>Sugimoto 2020</t>
  </si>
  <si>
    <t>Novel serum autoantibodies against ß-actin (ACTB) in amyotrophic lateral sclerosis</t>
  </si>
  <si>
    <t>Sugimoto, K.; Mori, M.; Liu, J.; Shibuya, K.; Isose, S.; Koide, M.; Hiwasa, T.; Kuwabara, S.</t>
  </si>
  <si>
    <t>388-394</t>
  </si>
  <si>
    <t>10.1080/21678421.2021.1885448</t>
  </si>
  <si>
    <t>Sugimoto 2021</t>
  </si>
  <si>
    <t>Blood biomarkers and prognosis of amyotrophic lateral sclerosis</t>
  </si>
  <si>
    <t>Sun, J.; Carrero, J. J.; Zagai, U.; Evans, M.; Ingre, C.; Pawitan, Y.; Fang, F.</t>
  </si>
  <si>
    <t>2125-2133</t>
  </si>
  <si>
    <t>10.1111/ene.14409</t>
  </si>
  <si>
    <t>Sun 2020</t>
  </si>
  <si>
    <t>Inflammatory Cytokine Levels in Patients with Sporadic Amyotrophic Lateral Sclerosis</t>
  </si>
  <si>
    <t>Sun, Q.; Huo, Y.; Bai, J.; Wang, H.; Wang, H.; Yang, F.; Cui, F.; Song, H.; Huang, X.</t>
  </si>
  <si>
    <t>Neurodegener Dis</t>
  </si>
  <si>
    <t>87-92</t>
  </si>
  <si>
    <t>10.1159/000522078</t>
  </si>
  <si>
    <t>Sun 2021</t>
  </si>
  <si>
    <t>Elevated serum ferritin level as a predictor of reduced survival in patients with sporadic amyotrophic lateral sclerosis in China: a retrospective study</t>
  </si>
  <si>
    <t>Sun, Q.; Yang, F.; Wang, H.; Cui, F.; Li, Y.; Li, S.; Ren, Y.; Lan, W.; Li, M.; Zhu, W.; Sun, X.; He, Z.; Zhao, X.; Yang, L.; Huang, X.</t>
  </si>
  <si>
    <t>186-191</t>
  </si>
  <si>
    <t>10.1080/21678421.2018.1555599</t>
  </si>
  <si>
    <t>Sun 2019</t>
  </si>
  <si>
    <t>CSF Neurofilament Light Chain Elevation Predicts ALS Severity and Progression</t>
  </si>
  <si>
    <t>Sun, Q. H.; Zhao, X.; Li, S. Y.; Yang, F.; Wang, H. F.; Cui, F.; Huang, X. S.</t>
  </si>
  <si>
    <t>10.3389/fneur.2020.00919</t>
  </si>
  <si>
    <t>Clinical factors and vascular endothelial growth factor as determinants of disease progression in Indian patients with amyotrophic lateral sclerosis</t>
  </si>
  <si>
    <t>Thomas, A.; Garg, D.; Srivastava, A. K.; Kumar, A.; Pandit, A. K.; Vibha, D.; Vivekanandhan, S.; Shukla, G.; Prasad, K.</t>
  </si>
  <si>
    <t>46-52</t>
  </si>
  <si>
    <t>10.1080/21678421.2023.2256362</t>
  </si>
  <si>
    <t>Thomas 2024</t>
  </si>
  <si>
    <t>Thompson, A. G.; Gray, E.; Verber, N.; Bobeva, Y.; Lombardi, V.; Shepheard, S. R.; Yildiz, O.; Feneberg, E.; Farrimond, L.; Dharmadasa, T.; Gray, P.; Edmond, E. C.; Scaber, J.; Gagliardi, D.; Kirby, J.; Jenkins, T. M.; Fratta, P.; McDermott, C. J.; Manohar, S. G.; Talbot, K.; Malaspina, A.; Shaw, P. J.; Turner, M. R.</t>
  </si>
  <si>
    <t>fcac029</t>
  </si>
  <si>
    <t>Plasma Inflammatory Cytokines Are Elevated in ALS</t>
  </si>
  <si>
    <t>Tortelli, R.; Zecca, C.; Piccininni, M.; Benmahamed, S.; Dell'Abate, M. T.; Barulli, M. R.; Capozzo, R.; Battista, P.; Logroscino, G.</t>
  </si>
  <si>
    <t>10.3389/fneur.2020.552295</t>
  </si>
  <si>
    <t>Tortelli 2020</t>
  </si>
  <si>
    <t>Cross-sectional and longitudinal measures of chitinase proteins in amyotrophic lateral sclerosis and expression of CHI3L1 in activated astrocytes</t>
  </si>
  <si>
    <t>Vu, L.; An, J.; Kovalik, T.; Gendron, T.; Petrucelli, L.; Bowser, R.</t>
  </si>
  <si>
    <t>350-358</t>
  </si>
  <si>
    <t>10.1136/jnnp-2019-321916</t>
  </si>
  <si>
    <t>Vu 2020</t>
  </si>
  <si>
    <t>Proteomics and mathematical modeling of longitudinal CSF differentiates fast versus slow ALS progression</t>
  </si>
  <si>
    <t>Vu, L.; Garcia-Mansfield, K.; Pompeiano, A.; An, J.; David-Dirgo, V.; Sharma, R.; Venugopal, V.; Halait, H.; Marcucci, G.; Kuo, Y. H.; Uechi, L.; Rockne, R. C.; Pirrotte, P.; Bowser, R.</t>
  </si>
  <si>
    <t>2025-2042</t>
  </si>
  <si>
    <t>10.1002/acn3.51890</t>
  </si>
  <si>
    <t>Abnormal Serum Iron-Status Indicator Changes in Amyotrophic Lateral Sclerosis (ALS) Patients: A Meta-Analysis</t>
  </si>
  <si>
    <t>Wang, L.; Li, C. Y.; Chen, X. P.; Li, S. Y.; Shang, H. F.</t>
  </si>
  <si>
    <t>10.3389/fneur.2020.00380</t>
  </si>
  <si>
    <t>Wang 2020</t>
  </si>
  <si>
    <t>Neurofilament Light Chain in Cerebrospinal Fluid and Blood as a Biomarker for Neurodegenerative Diseases: A Systematic Review and Meta-Analysis</t>
  </si>
  <si>
    <t>Wang, S. Y.; Chen, W.; Xu, W.; Li, J. Q.; Hou, X. H.; Ou, Y. N.; Yu, J. T.; Tan, L.</t>
  </si>
  <si>
    <t>J Alzheimers Dis</t>
  </si>
  <si>
    <t>1353-1361</t>
  </si>
  <si>
    <t>10.3233/jad-190615</t>
  </si>
  <si>
    <t>Wang 2019</t>
  </si>
  <si>
    <t>Elevated peripheral levels of receptor-interacting protein kinase 1 (RIPK1) and IL-8 as biomarkers of human amyotrophic lateral sclerosis</t>
  </si>
  <si>
    <t>Wei, J.; Li, M.; Ye, Z.; Hu, X.; He, X.; Wang, J.; Chen, G.; Zou, C.; Xu, D.; Zhang, H.; Yuan, J.; Zha, Y.</t>
  </si>
  <si>
    <t>Signal Transduct Target Ther</t>
  </si>
  <si>
    <t>10.1038/s41392-023-01713-z</t>
  </si>
  <si>
    <t>Wei 2023</t>
  </si>
  <si>
    <t>Neutrophil-to-lymphocyte ratio in sporadic amyotrophic lateral sclerosis</t>
  </si>
  <si>
    <t>Wei, Q. Q.; Hou, Y. B.; Zhang, L. Y.; Ou, R. W.; Cao, B.; Chen, Y. P.; Shang, H. F.</t>
  </si>
  <si>
    <t>Neural Regeneration Research</t>
  </si>
  <si>
    <t>875-880</t>
  </si>
  <si>
    <t>10.4103/1673-5374.322476</t>
  </si>
  <si>
    <t>Wei 2022</t>
  </si>
  <si>
    <t>Neurofilament light and heterogeneity of disease progression in amyotrophic lateral sclerosis: development and validation of a prediction model to improve interventional trials</t>
  </si>
  <si>
    <t>Witzel, S.; Frauhammer, F.; Steinacker, P.; Devos, D.; Pradat, P. F.; Meininger, V.; Halbgebauer, S.; Oeckl, P.; Schuster, J.; Anders, S.; Dorst, J.; Otto, M.; Ludolph, A. C.</t>
  </si>
  <si>
    <t>10.1186/s40035-021-00257-y</t>
  </si>
  <si>
    <t>Longitudinal course of neurofilament light chain levels in amyotrophic lateral sclerosis-insights from a completed randomized controlled trial with rasagiline</t>
  </si>
  <si>
    <t>Witzel, S.; Statland, J. M.; Steinacker, P.; Otto, M.; Dorst, J.; Schuster, J.; Barohn, R. J.; Ludolph, A. C.</t>
  </si>
  <si>
    <t>10.1111/ene.16154</t>
  </si>
  <si>
    <t>Witzel 2023</t>
  </si>
  <si>
    <t>Interleukin 6 (IL6) level is a biomarker for functional disease progression within IL6R(358)Ala variant groups in amyotrophic lateral sclerosis patients</t>
  </si>
  <si>
    <t>Wosiski-Kuhn, M.; Caress, J. B.; Cartwright, M. S.; Hawkins, G. A.; Milligan, C.</t>
  </si>
  <si>
    <t>248-259</t>
  </si>
  <si>
    <t>10.1080/21678421.2020.1813310</t>
  </si>
  <si>
    <t>Wosiski-Kuhn 2021</t>
  </si>
  <si>
    <t>IL6 receptor&lt;SUP&gt;358&lt;/SUP&gt;Ala variant and trans-signaling are disease modifiers in amyotrophic lateral sclerosis</t>
  </si>
  <si>
    <t>Wosiski-Kuhn, M.; Robinson, M.; Strupe, J.; Arounleut, P.; Martin, M.; Caress, J.; Cartwright, M.; Bowser, R.; Cudkowicz, M.; Langefeld, C.; Hawkins, G. A.; Milligan, C.</t>
  </si>
  <si>
    <t>10.1212/nxi.0000000000000631</t>
  </si>
  <si>
    <t>Elevated cerebrospinal fluid homocysteine is associated with blood-brain barrier disruption in amyotrophic lateral sclerosis patients</t>
  </si>
  <si>
    <t>Wu, Y.; Yang, X.; Li, X.; Wang, H.; Wang, T.</t>
  </si>
  <si>
    <t>1865-1872</t>
  </si>
  <si>
    <t>10.1007/s10072-020-04292-x</t>
  </si>
  <si>
    <t>Wu 2020</t>
  </si>
  <si>
    <t>Chitinases as a potential diagnostic and prognostic biomarker for amyotrophic lateral sclerosis: a systematic review and meta-analysis</t>
  </si>
  <si>
    <t>Xu, A.; Luo, Y.; Tang, Y.; Yang, F.; Gao, X.; Qiao, G.; Zhu, X.; Zhou, J.</t>
  </si>
  <si>
    <t>2489-2503</t>
  </si>
  <si>
    <t>10.1007/s10072-024-07301-5</t>
  </si>
  <si>
    <t>Xu 2024</t>
  </si>
  <si>
    <t>Serum cytokines profile changes in amyotrophic lateral sclerosis</t>
  </si>
  <si>
    <t>Xu, C. Z.; Huan, X.; Luo, S. S.; Zhong, H. H.; Zhao, C. B.; Chen, Y.; Zou, Z. Y.; Chen, S.</t>
  </si>
  <si>
    <t>e28553</t>
  </si>
  <si>
    <t>10.1016/j.heliyon.2024.e28553</t>
  </si>
  <si>
    <t>Serum Uric Acid Levels Predict Mortality Risk in Male Amyotrophic Lateral Sclerosis Patients</t>
  </si>
  <si>
    <t>Xu, L. Q.; Hu, W.; Guo, Q. F.; Xu, G. R.; Wang, N.; Zhang, Q. J.</t>
  </si>
  <si>
    <t>10.3389/fneur.2021.602663</t>
  </si>
  <si>
    <t>Xu 2021</t>
  </si>
  <si>
    <t>Eosinophils at diagnosis are elevated in amyotrophic lateral sclerosis</t>
  </si>
  <si>
    <t>Yang, J.; Liu, T.; Zhang, L.; Li, X.; Du, F. P.; Liu, Q.; Dong, H.; Liu, Y.</t>
  </si>
  <si>
    <t>10.3389/fneur.2023.1289467</t>
  </si>
  <si>
    <t>Genome-wide DNA methylation analysis related to ALS patient progression and survival</t>
  </si>
  <si>
    <t>Yang, T.; Li, C.; Wei, Q.; Pang, D.; Cheng, Y.; Huang, J.; Lin, J.; Xiao, Y.; Jiang, Q.; Wang, S.; Shang, H.</t>
  </si>
  <si>
    <t>2672-2683</t>
  </si>
  <si>
    <t>10.1007/s00415-024-12222-6</t>
  </si>
  <si>
    <t>Yang 2024</t>
  </si>
  <si>
    <t>The Expression of Active CD11b Monocytes in Blood and Disease Progression in Amyotrophic Lateral Sclerosis</t>
  </si>
  <si>
    <t>Yildiz, O.; Schroth, J.; Lombardi, V.; Pucino, V.; Bobeva, Y.; Yip, P. K.; Schmierer, K.; Mauro, C.; Tree, T.; Henson, S. M.; Malaspina, A.</t>
  </si>
  <si>
    <t>10.3390/ijms23063370</t>
  </si>
  <si>
    <t>Yildiz 2022</t>
  </si>
  <si>
    <t>Senescent-like Blood Lymphocytes and Disease Progression in Amyotrophic Lateral Sclerosis</t>
  </si>
  <si>
    <t>Yildiz, O.; Schroth, J.; Tree, T.; Turner, M. R.; Shaw, P. J.; Henson, S. M.; Malaspina, A.</t>
  </si>
  <si>
    <t>10.1212/nxi.0000000000200042</t>
  </si>
  <si>
    <t>Yildiz 2023</t>
  </si>
  <si>
    <t>Serum Neurofilament Light Chain Levels May Be a Marker of Lower Motor Neuron Damage in Amyotrophic Lateral Sclerosis</t>
  </si>
  <si>
    <t>Zhang, L. J.; Ji, T.; Wu, C. J.; Zhang, S.; Tang, L.; Zhang, N.; Liu, X. Y.; Fan, D. S.</t>
  </si>
  <si>
    <t>10.3389/fneur.2022.833507</t>
  </si>
  <si>
    <t>Zhang 2022</t>
  </si>
  <si>
    <t>DNA methylation age acceleration is associated with ALS age of onset and survival</t>
  </si>
  <si>
    <t>Zhang, Ming; McKeever, Paul M.; Xi, Zhengrui; Moreno, Danielle; Sato, Christine; Bergsma, Tessa; McGoldrick, Philip; Keith, Julia; Robertson, Janice; Zinman, Lorne; Rogaeva, Ekaterina</t>
  </si>
  <si>
    <t>Acta Neuropathologica</t>
  </si>
  <si>
    <t>943-946</t>
  </si>
  <si>
    <t>10.1007/s00401-020-02131-z</t>
  </si>
  <si>
    <t>Prognostic analysis of amyotrophic lateral sclerosis based on clinical features and plasma surface-enhanced Raman spectroscopy</t>
  </si>
  <si>
    <t>Zhang, Q. J.; Chen, Y.; Zou, X. H.; Hu, W.; Lin, X. L.; Feng, S. Y.; Chen, F.; Xu, L. Q.; Chen, W. J.; Wang, N.</t>
  </si>
  <si>
    <t>Journal of Biophotonics</t>
  </si>
  <si>
    <t>10.1002/jbio.201900012</t>
  </si>
  <si>
    <t>Zhang 2019</t>
  </si>
  <si>
    <t>The increase in CSF total protein and immunoglobulins in Chinese patients with sporadic amyotrophic lateral sclerosis: A retrospective study</t>
  </si>
  <si>
    <t>Zhao, X.; Yang, F.; Wang, H.; Cui, F.; Li, M.; Sun, B.; Li, Y.; Sun, Q.; He, Z.; Li, Y.; Huang, X.</t>
  </si>
  <si>
    <t>10.1016/j.jns.2020.116840</t>
  </si>
  <si>
    <t>Zhao 2020</t>
  </si>
  <si>
    <t>Role of Blood Neurofilaments in the Prognosis of Amyotrophic Lateral Sclerosis: A Meta-Analysis</t>
  </si>
  <si>
    <t>Zhou, Y. N.; Chen, Y. H.; Dong, S. Q.; Yang, W. B.; Qian, T.; Liu, X. N.; Cheng, Q.; Wang, J. C.; Chen, X. J.</t>
  </si>
  <si>
    <t>10.3389/fneur.2021.712245</t>
  </si>
  <si>
    <t>Zhou 2021</t>
  </si>
  <si>
    <t>Serum Cystatin C is a potential biomarker for predicting amyotrophic lateral sclerosis survival</t>
  </si>
  <si>
    <t>Zhu, Y.; Huo, Y.; Bai, J.; Li, M.; Wang, H.; Wang, J.; Huang, X.</t>
  </si>
  <si>
    <t>197-201</t>
  </si>
  <si>
    <t>10.1007/s10072-023-06957-9</t>
  </si>
  <si>
    <t>D#1</t>
  </si>
  <si>
    <t>D#8</t>
  </si>
  <si>
    <t>D#10</t>
  </si>
  <si>
    <t>D#12</t>
  </si>
  <si>
    <t>D#15</t>
  </si>
  <si>
    <t>D#16</t>
  </si>
  <si>
    <t>D#19</t>
  </si>
  <si>
    <t>D#27</t>
  </si>
  <si>
    <t>D#28</t>
  </si>
  <si>
    <t>D#30</t>
  </si>
  <si>
    <t>D#35</t>
  </si>
  <si>
    <t>D#38</t>
  </si>
  <si>
    <t>D#39</t>
  </si>
  <si>
    <t>D#40</t>
  </si>
  <si>
    <t>D#43</t>
  </si>
  <si>
    <t>D#47</t>
  </si>
  <si>
    <t>D#48</t>
  </si>
  <si>
    <t>D#52</t>
  </si>
  <si>
    <t>D#58</t>
  </si>
  <si>
    <t>D#60</t>
  </si>
  <si>
    <t>D#64</t>
  </si>
  <si>
    <t>D#67</t>
  </si>
  <si>
    <t>D#70</t>
  </si>
  <si>
    <t>D#71</t>
  </si>
  <si>
    <t>D#72</t>
  </si>
  <si>
    <t>D#81</t>
  </si>
  <si>
    <t>D#82</t>
  </si>
  <si>
    <t>D#101</t>
  </si>
  <si>
    <t>D#104</t>
  </si>
  <si>
    <t>D#110</t>
  </si>
  <si>
    <t>D#111</t>
  </si>
  <si>
    <t>D#112</t>
  </si>
  <si>
    <t>D#113</t>
  </si>
  <si>
    <t>D#118</t>
  </si>
  <si>
    <t>D#128</t>
  </si>
  <si>
    <t>D#129</t>
  </si>
  <si>
    <t>D#132</t>
  </si>
  <si>
    <t>D#137</t>
  </si>
  <si>
    <t>D#138</t>
  </si>
  <si>
    <t>D#140</t>
  </si>
  <si>
    <t>D#141</t>
  </si>
  <si>
    <t>D#144</t>
  </si>
  <si>
    <t>D#147</t>
  </si>
  <si>
    <t>D#149</t>
  </si>
  <si>
    <t>D#154</t>
  </si>
  <si>
    <t>D#159</t>
  </si>
  <si>
    <t>D#164</t>
  </si>
  <si>
    <t>D#165</t>
  </si>
  <si>
    <t>D#168</t>
  </si>
  <si>
    <t>D#169</t>
  </si>
  <si>
    <t>D#172</t>
  </si>
  <si>
    <t>D#178</t>
  </si>
  <si>
    <t>D#183</t>
  </si>
  <si>
    <t>D#185</t>
  </si>
  <si>
    <t>D#186</t>
  </si>
  <si>
    <t>D#187</t>
  </si>
  <si>
    <t>D#195</t>
  </si>
  <si>
    <t>D#201</t>
  </si>
  <si>
    <t>D#204</t>
  </si>
  <si>
    <t>D#206</t>
  </si>
  <si>
    <t>D#265</t>
  </si>
  <si>
    <t>D#274</t>
  </si>
  <si>
    <t>D#277</t>
  </si>
  <si>
    <t>D#286</t>
  </si>
  <si>
    <t>D#288</t>
  </si>
  <si>
    <t>D#292</t>
  </si>
  <si>
    <t>D#296</t>
  </si>
  <si>
    <t>D#299</t>
  </si>
  <si>
    <t>D#302</t>
  </si>
  <si>
    <t>D#309</t>
  </si>
  <si>
    <t>D#312</t>
  </si>
  <si>
    <t>D#316</t>
  </si>
  <si>
    <t>D#319</t>
  </si>
  <si>
    <t>D#320</t>
  </si>
  <si>
    <t>D#322</t>
  </si>
  <si>
    <t>D#325</t>
  </si>
  <si>
    <t>D#326</t>
  </si>
  <si>
    <t>D#329</t>
  </si>
  <si>
    <t>D#330</t>
  </si>
  <si>
    <t>D#334</t>
  </si>
  <si>
    <t>D#338</t>
  </si>
  <si>
    <t>D#344</t>
  </si>
  <si>
    <t>D#345</t>
  </si>
  <si>
    <t>D#347</t>
  </si>
  <si>
    <t>D#350</t>
  </si>
  <si>
    <t>D#352</t>
  </si>
  <si>
    <t>D#353</t>
  </si>
  <si>
    <t>D#355</t>
  </si>
  <si>
    <t>D#358</t>
  </si>
  <si>
    <t>D#359</t>
  </si>
  <si>
    <t>D#361</t>
  </si>
  <si>
    <t>D#362</t>
  </si>
  <si>
    <t>D#364</t>
  </si>
  <si>
    <t>D#380</t>
  </si>
  <si>
    <t>D#384</t>
  </si>
  <si>
    <t>D#385</t>
  </si>
  <si>
    <t>D#391</t>
  </si>
  <si>
    <t>D#398</t>
  </si>
  <si>
    <t>D#399</t>
  </si>
  <si>
    <t>D#85</t>
  </si>
  <si>
    <t>D#90</t>
  </si>
  <si>
    <t>D#93</t>
  </si>
  <si>
    <t>D#117</t>
  </si>
  <si>
    <t>D#157</t>
  </si>
  <si>
    <t>D#180</t>
  </si>
  <si>
    <t>D#205</t>
  </si>
  <si>
    <t>D#267</t>
  </si>
  <si>
    <t>D#395</t>
  </si>
  <si>
    <t>P#10</t>
  </si>
  <si>
    <t>P#16</t>
  </si>
  <si>
    <t>P#21</t>
  </si>
  <si>
    <t>P#23</t>
  </si>
  <si>
    <t>P#24</t>
  </si>
  <si>
    <t>P#47</t>
  </si>
  <si>
    <t>P#79</t>
  </si>
  <si>
    <t>P#82</t>
  </si>
  <si>
    <t>P#90</t>
  </si>
  <si>
    <t>P#94</t>
  </si>
  <si>
    <t>P#119</t>
  </si>
  <si>
    <t>P#120</t>
  </si>
  <si>
    <t>P#130</t>
  </si>
  <si>
    <t>P#131</t>
  </si>
  <si>
    <t>P#144</t>
  </si>
  <si>
    <t>P#145</t>
  </si>
  <si>
    <t>P#150</t>
  </si>
  <si>
    <t>P#153</t>
  </si>
  <si>
    <t>P#156</t>
  </si>
  <si>
    <t>P#161</t>
  </si>
  <si>
    <t>P#165</t>
  </si>
  <si>
    <t>P#169</t>
  </si>
  <si>
    <t>P#171</t>
  </si>
  <si>
    <t>P#172</t>
  </si>
  <si>
    <t>P#174</t>
  </si>
  <si>
    <t>P#177</t>
  </si>
  <si>
    <t>P#192</t>
  </si>
  <si>
    <t>P#197</t>
  </si>
  <si>
    <t>P#199</t>
  </si>
  <si>
    <t>P#220</t>
  </si>
  <si>
    <t>P#230</t>
  </si>
  <si>
    <t>P#244</t>
  </si>
  <si>
    <t>P#245</t>
  </si>
  <si>
    <t>P#249</t>
  </si>
  <si>
    <t>P#253</t>
  </si>
  <si>
    <t>P#254</t>
  </si>
  <si>
    <t>P#261</t>
  </si>
  <si>
    <t>P#266</t>
  </si>
  <si>
    <t>P#297</t>
  </si>
  <si>
    <t>P#298</t>
  </si>
  <si>
    <t>P#314</t>
  </si>
  <si>
    <t>P#316</t>
  </si>
  <si>
    <t>P#331</t>
  </si>
  <si>
    <t>P#347</t>
  </si>
  <si>
    <t>P#348</t>
  </si>
  <si>
    <t>P#356</t>
  </si>
  <si>
    <t>P#358</t>
  </si>
  <si>
    <t>P#369</t>
  </si>
  <si>
    <t>P#371</t>
  </si>
  <si>
    <t>P#377</t>
  </si>
  <si>
    <t>P#382</t>
  </si>
  <si>
    <t>P#392</t>
  </si>
  <si>
    <t>P#404</t>
  </si>
  <si>
    <t>P#418</t>
  </si>
  <si>
    <t>P#420</t>
  </si>
  <si>
    <t>P#422</t>
  </si>
  <si>
    <t>P#426</t>
  </si>
  <si>
    <t>P#428</t>
  </si>
  <si>
    <t>P#430</t>
  </si>
  <si>
    <t>P#437</t>
  </si>
  <si>
    <t>P#441</t>
  </si>
  <si>
    <t>P#442</t>
  </si>
  <si>
    <t>P#445</t>
  </si>
  <si>
    <t>P#451</t>
  </si>
  <si>
    <t>P#456</t>
  </si>
  <si>
    <t>P#463</t>
  </si>
  <si>
    <t>P#468</t>
  </si>
  <si>
    <t>P#470</t>
  </si>
  <si>
    <t>P#477</t>
  </si>
  <si>
    <t>P#480</t>
  </si>
  <si>
    <t>P#483</t>
  </si>
  <si>
    <t>P#489</t>
  </si>
  <si>
    <t>P#504</t>
  </si>
  <si>
    <t>P#506</t>
  </si>
  <si>
    <t>P#512</t>
  </si>
  <si>
    <t>P#513</t>
  </si>
  <si>
    <t>P#517</t>
  </si>
  <si>
    <t>P#520</t>
  </si>
  <si>
    <t>P#521</t>
  </si>
  <si>
    <t>P#527</t>
  </si>
  <si>
    <t>P#551</t>
  </si>
  <si>
    <t>P#552</t>
  </si>
  <si>
    <t>P#565</t>
  </si>
  <si>
    <t>P#569</t>
  </si>
  <si>
    <t>P#572</t>
  </si>
  <si>
    <t>P#574</t>
  </si>
  <si>
    <t>P#580</t>
  </si>
  <si>
    <t>P#590</t>
  </si>
  <si>
    <t>P#591</t>
  </si>
  <si>
    <t>P#605</t>
  </si>
  <si>
    <t>P#618</t>
  </si>
  <si>
    <t>P#623</t>
  </si>
  <si>
    <t>P#630</t>
  </si>
  <si>
    <t>P#636</t>
  </si>
  <si>
    <t>P#641</t>
  </si>
  <si>
    <t>P#659</t>
  </si>
  <si>
    <t>P#661</t>
  </si>
  <si>
    <t>P#671</t>
  </si>
  <si>
    <t>P#676</t>
  </si>
  <si>
    <t>P#679</t>
  </si>
  <si>
    <t>P#691</t>
  </si>
  <si>
    <t>P#695</t>
  </si>
  <si>
    <t>P#699</t>
  </si>
  <si>
    <t>P#704</t>
  </si>
  <si>
    <t>P#705</t>
  </si>
  <si>
    <t>P#706</t>
  </si>
  <si>
    <t>P#711</t>
  </si>
  <si>
    <t>P#713</t>
  </si>
  <si>
    <t>P#717</t>
  </si>
  <si>
    <t>P#718</t>
  </si>
  <si>
    <t>P#730</t>
  </si>
  <si>
    <t>P#737</t>
  </si>
  <si>
    <t>P#748</t>
  </si>
  <si>
    <t>P#759</t>
  </si>
  <si>
    <t>P#763</t>
  </si>
  <si>
    <t>P#768</t>
  </si>
  <si>
    <t>P#775</t>
  </si>
  <si>
    <t>P#782</t>
  </si>
  <si>
    <t>P#786</t>
  </si>
  <si>
    <t>P#789</t>
  </si>
  <si>
    <t>P#804</t>
  </si>
  <si>
    <t>P#816</t>
  </si>
  <si>
    <t>P#817</t>
  </si>
  <si>
    <t>P#819</t>
  </si>
  <si>
    <t>P#825</t>
  </si>
  <si>
    <t>P#838</t>
  </si>
  <si>
    <t>P#843</t>
  </si>
  <si>
    <t>P#850</t>
  </si>
  <si>
    <t>P#853</t>
  </si>
  <si>
    <t>P#861</t>
  </si>
  <si>
    <t>P#873</t>
  </si>
  <si>
    <t>P#900</t>
  </si>
  <si>
    <t>P#905</t>
  </si>
  <si>
    <t>P#913</t>
  </si>
  <si>
    <t>P#923</t>
  </si>
  <si>
    <t>P#927</t>
  </si>
  <si>
    <t>P#935</t>
  </si>
  <si>
    <t>P#944</t>
  </si>
  <si>
    <t>P#945</t>
  </si>
  <si>
    <t>P#947</t>
  </si>
  <si>
    <t>P#949</t>
  </si>
  <si>
    <t>P#950</t>
  </si>
  <si>
    <t>P#951</t>
  </si>
  <si>
    <t>P#952</t>
  </si>
  <si>
    <t>P#955</t>
  </si>
  <si>
    <t>P#978</t>
  </si>
  <si>
    <t>P#981</t>
  </si>
  <si>
    <t>P#982</t>
  </si>
  <si>
    <t>P#986</t>
  </si>
  <si>
    <t>P#993</t>
  </si>
  <si>
    <t>P#1006</t>
  </si>
  <si>
    <t>P#1007</t>
  </si>
  <si>
    <t>P#1032</t>
  </si>
  <si>
    <t>P#1035</t>
  </si>
  <si>
    <t>P#1039</t>
  </si>
  <si>
    <t>P#1040</t>
  </si>
  <si>
    <t>P#1059</t>
  </si>
  <si>
    <t>P#1060</t>
  </si>
  <si>
    <t>P#1068</t>
  </si>
  <si>
    <t>P#1073</t>
  </si>
  <si>
    <t>P#1081</t>
  </si>
  <si>
    <t>P#1083</t>
  </si>
  <si>
    <t>P#1094</t>
  </si>
  <si>
    <t>P#1095</t>
  </si>
  <si>
    <t>P#1099</t>
  </si>
  <si>
    <t>P#1101</t>
  </si>
  <si>
    <t>P#1102</t>
  </si>
  <si>
    <t>P#1107</t>
  </si>
  <si>
    <t>P#1109</t>
  </si>
  <si>
    <t>P#1112</t>
  </si>
  <si>
    <t>P#1119</t>
  </si>
  <si>
    <t>P#1120</t>
  </si>
  <si>
    <t>P#1122</t>
  </si>
  <si>
    <t>P#1124</t>
  </si>
  <si>
    <t>P#1137</t>
  </si>
  <si>
    <t>P#1138</t>
  </si>
  <si>
    <t>P#1148</t>
  </si>
  <si>
    <t>P#1155</t>
  </si>
  <si>
    <t>P#1157</t>
  </si>
  <si>
    <t>P#1161</t>
  </si>
  <si>
    <t>P#1169</t>
  </si>
  <si>
    <t>P#1172</t>
  </si>
  <si>
    <t>P#1175</t>
  </si>
  <si>
    <t>P#1176</t>
  </si>
  <si>
    <t>P#1177</t>
  </si>
  <si>
    <t>TargetBiomarker</t>
  </si>
  <si>
    <t>Steinacker 2021 (early ALS)</t>
  </si>
  <si>
    <t>Steinacker 2021 (late ALS)</t>
  </si>
  <si>
    <t>AssayMethodDetails</t>
  </si>
  <si>
    <t>Bio-Plex and  COBAS 8000 analyzer</t>
  </si>
  <si>
    <t>commercial laboratory</t>
  </si>
  <si>
    <t>Automatic biochemistry analyzer</t>
  </si>
  <si>
    <t>NP-HPLC and MALDI-TOF mass spectrometry</t>
  </si>
  <si>
    <t>Real-time qPCR</t>
  </si>
  <si>
    <t>MSD assay</t>
  </si>
  <si>
    <t>Enzyme activity analysis</t>
  </si>
  <si>
    <t>ELISA and immunoblotting</t>
  </si>
  <si>
    <t>GC/MS</t>
  </si>
  <si>
    <t xml:space="preserve">RNAseq </t>
  </si>
  <si>
    <t>Roche</t>
  </si>
  <si>
    <t>HR-ICP-MS</t>
  </si>
  <si>
    <t>proteomics</t>
  </si>
  <si>
    <t>CE-MS</t>
  </si>
  <si>
    <t>LC/MS</t>
  </si>
  <si>
    <t>FCA</t>
  </si>
  <si>
    <t>Microarray &amp; qPCR</t>
  </si>
  <si>
    <t>NGS &amp; ddPCR</t>
  </si>
  <si>
    <t>Olink</t>
  </si>
  <si>
    <t>Microarray</t>
  </si>
  <si>
    <t>IFA</t>
  </si>
  <si>
    <t>SERS</t>
  </si>
  <si>
    <t>SR-FTIR</t>
  </si>
  <si>
    <t>FTIR</t>
  </si>
  <si>
    <t>NTA &amp; WB</t>
  </si>
  <si>
    <t>qPCR &amp; NGS</t>
  </si>
  <si>
    <t>IFA &amp; FCA</t>
  </si>
  <si>
    <t>FAS vs DC</t>
  </si>
  <si>
    <t>Disease controls included individuals with other neurological conditions.</t>
  </si>
  <si>
    <t>cases misdiagnosed or presenting with similar symptoms but confirmed to have other diseases.</t>
  </si>
  <si>
    <t xml:space="preserve">Non-neurological controls </t>
  </si>
  <si>
    <t>Saracino 2021 (C9orf72)</t>
  </si>
  <si>
    <t>Saracino 2021 (GRN)</t>
  </si>
  <si>
    <t>NonALS + NonND</t>
  </si>
  <si>
    <t>MesoScale Discovery (MSD) (F217X, MSD, USA) </t>
  </si>
  <si>
    <t>Li 2020 (discovery)</t>
  </si>
  <si>
    <t>Li 2020 (validation)</t>
  </si>
  <si>
    <t>P#33</t>
  </si>
  <si>
    <t>P#74</t>
  </si>
  <si>
    <t>P#201</t>
  </si>
  <si>
    <t>P#118</t>
  </si>
  <si>
    <t>P#217</t>
  </si>
  <si>
    <t>P#224</t>
  </si>
  <si>
    <t>P#235</t>
  </si>
  <si>
    <t>P#271</t>
  </si>
  <si>
    <t>P#383</t>
  </si>
  <si>
    <t>Haji 2022</t>
  </si>
  <si>
    <t>P#388</t>
  </si>
  <si>
    <t>P#448</t>
  </si>
  <si>
    <t>Modgll 2020</t>
  </si>
  <si>
    <t>P#739</t>
  </si>
  <si>
    <t>Oh 2023</t>
  </si>
  <si>
    <t>P#787</t>
  </si>
  <si>
    <t>HERV-K</t>
  </si>
  <si>
    <t>Phan 2021</t>
  </si>
  <si>
    <t>healthy study volunteers with no neurological or psychiatric disorders, notably no evidence of cognitive impairment.</t>
  </si>
  <si>
    <t>2016_proposal_Lancet</t>
  </si>
  <si>
    <t>ddPCR</t>
  </si>
  <si>
    <t>Digital Droplet PCR</t>
  </si>
  <si>
    <t>P#996</t>
  </si>
  <si>
    <t>Trolese 2020</t>
  </si>
  <si>
    <t>CXCL13</t>
  </si>
  <si>
    <t>MS</t>
  </si>
  <si>
    <t>P#1046</t>
  </si>
  <si>
    <t>Vilardo 2024</t>
  </si>
  <si>
    <t>P#1072</t>
  </si>
  <si>
    <t>Wang 2021</t>
  </si>
  <si>
    <t>P#1089</t>
  </si>
  <si>
    <t>Wilke 2019</t>
  </si>
  <si>
    <t>P#1114</t>
  </si>
  <si>
    <t>Yamada 2021</t>
  </si>
  <si>
    <t>P#1130</t>
  </si>
  <si>
    <t>Age-matched and sex-matched healthy patients without neurological disorders or illnesses affecting muscular or renal function.</t>
  </si>
  <si>
    <t>Simoa NF-light advantage kit.</t>
  </si>
  <si>
    <t>Con_age_mean</t>
  </si>
  <si>
    <t>Con_age_SD</t>
  </si>
  <si>
    <t>Ratio of urinary N-terminal titin fragment to urinary creatinine is a novel biomarker for amyotrophic lateral sclerosis</t>
  </si>
  <si>
    <t>P#367</t>
  </si>
  <si>
    <t>P#556</t>
  </si>
  <si>
    <t>P#677</t>
  </si>
  <si>
    <t>Awaji_El_escorial_2009, all classifications</t>
  </si>
  <si>
    <t>revised_El_Escorial_2015, classification not specified</t>
  </si>
  <si>
    <t>No neurological or psychiatric deficits.</t>
  </si>
  <si>
    <t>ECL</t>
  </si>
  <si>
    <t>Con_age_median</t>
  </si>
  <si>
    <t>Con_age_1Q</t>
  </si>
  <si>
    <t>Con_age_3Q</t>
  </si>
  <si>
    <t>Diagnoses included cervical spondylosis, multifocal motor neuropathy, neuropathy of unknown cause, primary lateral sclerosis, and probable PSP with Richardson’s syndrome</t>
  </si>
  <si>
    <t>Ye 2020</t>
  </si>
  <si>
    <t>mostly diagnosed with peripheral neuropathy, migraine and ophthalmoplegia. The inclusion criteria of controls were as follows: 1) No neurological or psychiatric antecedents; 2) No organic disease complicated with the central nervous system; 3) No cognitive impairment or psychiatric symptoms.</t>
  </si>
  <si>
    <t>t-tau/Aβ42</t>
  </si>
  <si>
    <t>p-tau181/Aβ42</t>
  </si>
  <si>
    <t>&lt;.001</t>
  </si>
  <si>
    <t>defined based on the NINCDS/ADRDA, DSM-IV, and 2011 NIA-AA criteria, incorporating CSF biomarkers (Aβ42, t-tau, p-tau181), neuropsychological assessments (MMSE, NPI, ADL, CDR), and neuroimaging (MRI, CT, PET/CT, or PET/PIB).</t>
  </si>
  <si>
    <t>The discriminative capacity of CSF β-amyloid 42 and Tau in neurodegenerative diseases in the Chinese population</t>
  </si>
  <si>
    <t>Andrés-Benito, P.; Povedano, M.; Domínguez, R.; Marco, C.; Colomina, M. J.; López-Pérez, Ó; Santana, I.; Baldeiras, I.; Martínez-Yelámos, S.; Zerr, I.; Llorens, F.; Fernández-Irigoyen, J.; Santamaría, E.; Ferrer, I.</t>
  </si>
  <si>
    <t>Journal of Neurology</t>
  </si>
  <si>
    <t>Plasma CHI3L1 in Amyotrophic Lateral Sclerosis: A Potential Differential Diagnostic Biomarker</t>
  </si>
  <si>
    <t>Bombaci, A.; Manera, U.; De Marco, G.; Casale, F.; Salamone, P.; Fuda, G.; Marchese, G.; Iazzolino, B.; Peotta, L.; Moglia, C.; Calvo, A.; Chiò, A.</t>
  </si>
  <si>
    <t>10.3390/jcm12062367</t>
  </si>
  <si>
    <t>Bombaci 2023</t>
  </si>
  <si>
    <t>CSF chitinases before and after symptom onset in amyotrophic lateral sclerosis</t>
  </si>
  <si>
    <t>1296-1306</t>
  </si>
  <si>
    <t>10.1002/acn3.51114</t>
  </si>
  <si>
    <t>Gray 2020</t>
  </si>
  <si>
    <t>Serum NfL and CHI3L1 for ALS and parkinsonian disorders in the process of diagnosis</t>
  </si>
  <si>
    <t>Haji, S.; Sako, W.; Murakami, N.; Osaki, Y.; Izumi, Y.</t>
  </si>
  <si>
    <t>J Neural Transm (Vienna)</t>
  </si>
  <si>
    <t>301-309</t>
  </si>
  <si>
    <t>10.1007/s00702-022-02470-z</t>
  </si>
  <si>
    <t>TDP-43 levels are higher in platelets from patients with sporadic amyotrophic lateral sclerosis than in healthy controls</t>
  </si>
  <si>
    <t>Hishizawa, M.; Yamashita, H.; Akizuki, M.; Urushitani, M.; Takahashi, R.</t>
  </si>
  <si>
    <t>Neurochem Int</t>
  </si>
  <si>
    <t>41-45</t>
  </si>
  <si>
    <t>10.1016/j.neuint.2018.12.009</t>
  </si>
  <si>
    <t>Hishizawa 2019</t>
  </si>
  <si>
    <t>Plasma from some patients with amyotrophic lateral sclerosis exhibits elevated formaldehyde levels</t>
  </si>
  <si>
    <t>Lee, A.; Arachchige, B. J.; Reed, S.; Henderson, R.; Aylward, J.; McCombe, P. A.</t>
  </si>
  <si>
    <t>10.1016/j.jns.2019.116589</t>
  </si>
  <si>
    <t>Lee 2020</t>
  </si>
  <si>
    <t>Association of Plasma Biomarkers for Angiogenesis and Proteinopathy in Indian Amyotrophic Lateral Sclerosis Patients</t>
  </si>
  <si>
    <t>Modgil, S.; Khosla, R.; Tiwari, A.; Sharma, K.; Anand, A.</t>
  </si>
  <si>
    <t>J Neurosci Rural Pract</t>
  </si>
  <si>
    <t>573-580</t>
  </si>
  <si>
    <t>10.1055/s-0040-1714314</t>
  </si>
  <si>
    <t>Modgil 2020</t>
  </si>
  <si>
    <t>Discovery of Biomarkers for Amyotrophic Lateral Sclerosis from Human Cerebrospinal Fluid Using Mass-Spectrometry-Based Proteomics</t>
  </si>
  <si>
    <t>Oh, S.; Jang, Y.; Na, C. H.</t>
  </si>
  <si>
    <t>10.3390/biomedicines11051250</t>
  </si>
  <si>
    <t>Pathological manifestation of human endogenous retrovirus K in frontotemporal dementia</t>
  </si>
  <si>
    <t>Phan, K.; He, Y.; Fu, Y.; Dzamko, N.; Bhatia, S.; Gold, J.; Rowe, D.; Ke, Y. D.; Ittner, L. M.; Hodges, J. R.; Piguet, O.; Kiernan, M. C.; Halliday, G. M.; Kim, W. S.</t>
  </si>
  <si>
    <t>Commun Med (Lond)</t>
  </si>
  <si>
    <t>10.1038/s43856-021-00060-w</t>
  </si>
  <si>
    <t>Diagnostic Role of Tau Proteins in Amyotrophic Lateral Sclerosis: A Systematic Review and Meta-Analysis</t>
  </si>
  <si>
    <t>Thapa, S.; Bhattarai, A.; Shah, S. A.; Chand, S.; Bagherieh, S.; Mirmosayyeb, O.; Mishra, S. K.</t>
  </si>
  <si>
    <t>Acta Neurologica Scandinavica</t>
  </si>
  <si>
    <t>10.1155/2023/2791622</t>
  </si>
  <si>
    <t>Thapa 2023</t>
  </si>
  <si>
    <t>CXCL13/CXCR5 signalling is pivotal to preserve motor neurons in amyotrophic lateral sclerosis</t>
  </si>
  <si>
    <t>Trolese, M. C.; Mariani, A.; Terao, M.; de Paola, M.; Fabbrizio, P.; Sironi, F.; Kurosaki, M.; Bonanno, S.; Marcuzzo, S.; Bernasconi, P.; Trojsi, F.; Aronica, E.; Bendotti, C.; Nardo, G.</t>
  </si>
  <si>
    <t>10.1016/j.ebiom.2020.103097</t>
  </si>
  <si>
    <t>Shotgun Proteomics Links Proteoglycan-4&lt;SUP&gt;+&lt;/SUP&gt; Extracellular Vesicles to Cognitive Protection in Amyotrophic Lateral Sclerosis</t>
  </si>
  <si>
    <t>Vilardo, B.; De Marchi, F.; Raineri, D.; Manfredi, M.; De Giorgis, V.; Bebeti, A.; Scotti, L.; Kustrimovic, N.; Cappellano, G.; Mazzini, L.; Chiocchetti, A.</t>
  </si>
  <si>
    <t>10.3390/biom14060727</t>
  </si>
  <si>
    <t>Evaluation of Peripheral Immune Activation in Amyotrophic Lateral Sclerosis</t>
  </si>
  <si>
    <t>Wang, M. L.; Liu, Z.; Du, J.; Yuan, Y. C.; Jiao, B.; Zhang, X. W.; Hou, X.; Shen, L.; Guo, J. F.; Jiang, H.; Xia, K.; Tang, J. G.; Zhang, R. X.; Tang, B. S.; Wang, J. L.</t>
  </si>
  <si>
    <t>10.3389/fneur.2021.628710</t>
  </si>
  <si>
    <t>Correlations between serum and CSF pNfH levels in ALS, FTD and controls: a comparison of three analytical approaches</t>
  </si>
  <si>
    <t>Wilke, C.; Pujol-Calderón, F.; Barro, C.; Stransky, E.; Blennow, K.; Michalak, Z.; Deuschle, C.; Jeromin, A.; Zetterberg, H.; Schüle, R.; Höglund, K.; Kuhle, J.; Synofzik, M.</t>
  </si>
  <si>
    <t>Clin Chem Lab Med</t>
  </si>
  <si>
    <t>1556-1564</t>
  </si>
  <si>
    <t>10.1515/cclm-2019-0015</t>
  </si>
  <si>
    <t>Novel Insight Into the Role of Immune Dysregulation in Amyotrophic Lateral Sclerosis Based on Bioinformatic Analysis</t>
  </si>
  <si>
    <t>Xie, Y. Z.; Luo, X. M.; He, H. Q.; Tang, M.</t>
  </si>
  <si>
    <t>10.3389/fnins.2021.657465</t>
  </si>
  <si>
    <t>Xie 2021</t>
  </si>
  <si>
    <t>Yamada, S.; Hashizume, A.; Hijikata, Y.; Ito, D.; Kishimoto, Y.; Iida, M.; Koike, H.; Hirakawa, A.; Katsuno, M.</t>
  </si>
  <si>
    <t>1072-1079</t>
  </si>
  <si>
    <t>10.1136/jnnp-2020-324615</t>
  </si>
  <si>
    <t>Ye, Ling-Qi; Li, Xiao-Yan; Zhang, Yan-Bin; Cheng, Hong-Rong; Ma, Yin; Chen, Dian-Fu; Tao, Qing-Qing; Li, Hong-Lei; Wu, Zhi-Ying</t>
  </si>
  <si>
    <t>10.1016/j.jns.2020.116756</t>
  </si>
  <si>
    <t>P#113</t>
  </si>
  <si>
    <t>P#237</t>
  </si>
  <si>
    <t>P#416</t>
  </si>
  <si>
    <t>P#575</t>
  </si>
  <si>
    <t>P#577</t>
  </si>
  <si>
    <t>P#924</t>
  </si>
  <si>
    <t>P#977</t>
  </si>
  <si>
    <t>P#1001</t>
  </si>
  <si>
    <t>P#1105</t>
  </si>
  <si>
    <t>covar_aHR_death</t>
  </si>
  <si>
    <t>Country</t>
  </si>
  <si>
    <t>AssayMethod</t>
  </si>
  <si>
    <t>SampleSize_ALS</t>
  </si>
  <si>
    <t>genetic_cases</t>
  </si>
  <si>
    <t>ALS_age_mean</t>
  </si>
  <si>
    <t>ALS_age_sd</t>
  </si>
  <si>
    <t>ALS_age_median</t>
  </si>
  <si>
    <t>def_Rapid</t>
  </si>
  <si>
    <t>Corr_DPR</t>
  </si>
  <si>
    <t>Corr_ALSFRSR</t>
  </si>
  <si>
    <t>D_ID</t>
  </si>
  <si>
    <t>712245</t>
  </si>
  <si>
    <t>116840</t>
  </si>
  <si>
    <t>58</t>
  </si>
  <si>
    <t>45372</t>
  </si>
  <si>
    <t>31</t>
  </si>
  <si>
    <t>3</t>
  </si>
  <si>
    <t>47</t>
  </si>
  <si>
    <t>1289467</t>
  </si>
  <si>
    <t>602663</t>
  </si>
  <si>
    <t>45397</t>
  </si>
  <si>
    <t>45560</t>
  </si>
  <si>
    <t>451</t>
  </si>
  <si>
    <t>45639</t>
  </si>
  <si>
    <t>1132808</t>
  </si>
  <si>
    <t>753242</t>
  </si>
  <si>
    <t>22827</t>
  </si>
  <si>
    <t>103097</t>
  </si>
  <si>
    <t>552295</t>
  </si>
  <si>
    <t>170</t>
  </si>
  <si>
    <t>579094</t>
  </si>
  <si>
    <t>344</t>
  </si>
  <si>
    <t>106883</t>
  </si>
  <si>
    <t>52</t>
  </si>
  <si>
    <t>663637</t>
  </si>
  <si>
    <t>715842</t>
  </si>
  <si>
    <t>45366</t>
  </si>
  <si>
    <t>222</t>
  </si>
  <si>
    <t>100379</t>
  </si>
  <si>
    <t>Plasma EV size distribution, HSP90 levels.</t>
  </si>
  <si>
    <t>861960</t>
  </si>
  <si>
    <t>45405</t>
  </si>
  <si>
    <t>45392</t>
  </si>
  <si>
    <t>255</t>
  </si>
  <si>
    <t>9155</t>
  </si>
  <si>
    <t>17943</t>
  </si>
  <si>
    <t>736</t>
  </si>
  <si>
    <t>19594</t>
  </si>
  <si>
    <t>45419</t>
  </si>
  <si>
    <t>1188827</t>
  </si>
  <si>
    <t>104815</t>
  </si>
  <si>
    <t>116589</t>
  </si>
  <si>
    <t>45337</t>
  </si>
  <si>
    <t>1373</t>
  </si>
  <si>
    <t>1309568</t>
  </si>
  <si>
    <t>20786</t>
  </si>
  <si>
    <t>45410</t>
  </si>
  <si>
    <t>940375</t>
  </si>
  <si>
    <t>106566</t>
  </si>
  <si>
    <t>991143</t>
  </si>
  <si>
    <t>109632</t>
  </si>
  <si>
    <t>651651</t>
  </si>
  <si>
    <t>4</t>
  </si>
  <si>
    <t>115244</t>
  </si>
  <si>
    <t>45371</t>
  </si>
  <si>
    <t>2918</t>
  </si>
  <si>
    <t>xMAP Luminex</t>
  </si>
  <si>
    <t>45478</t>
  </si>
  <si>
    <t>45299</t>
  </si>
  <si>
    <t>CK</t>
  </si>
  <si>
    <t>117070</t>
  </si>
  <si>
    <t>619</t>
  </si>
  <si>
    <t>703</t>
  </si>
  <si>
    <t>deemed to be healthy</t>
  </si>
  <si>
    <t>45480</t>
  </si>
  <si>
    <t>22128</t>
  </si>
  <si>
    <t>15295</t>
  </si>
  <si>
    <t>45417</t>
  </si>
  <si>
    <t>CLEIA</t>
  </si>
  <si>
    <t>cases_with_FH</t>
  </si>
  <si>
    <t>AssayMethodDetails_diag</t>
  </si>
  <si>
    <t>CorType</t>
  </si>
  <si>
    <t>400</t>
  </si>
  <si>
    <t>45306</t>
  </si>
  <si>
    <t>45614</t>
  </si>
  <si>
    <t>45321</t>
  </si>
  <si>
    <t>4478</t>
  </si>
  <si>
    <t>45365</t>
  </si>
  <si>
    <t>127163</t>
  </si>
  <si>
    <t>45300</t>
  </si>
  <si>
    <t>838432</t>
  </si>
  <si>
    <t>175</t>
  </si>
  <si>
    <t>45618</t>
  </si>
  <si>
    <t>45435</t>
  </si>
  <si>
    <t>3400</t>
  </si>
  <si>
    <t>45450</t>
  </si>
  <si>
    <t>1032192</t>
  </si>
  <si>
    <t>HR_death_cont</t>
  </si>
  <si>
    <t>aHR_death_cont</t>
  </si>
  <si>
    <t>aHR_death_categ</t>
  </si>
  <si>
    <t>HR_death_categ</t>
  </si>
  <si>
    <t>Patients were divided into slow, intermediate and fast progressors according to DPR [slow if below the 25th percentile (1.15), intermediate if between or equal to 0.24 and 1.15]</t>
  </si>
  <si>
    <t>Spearman's rho</t>
  </si>
  <si>
    <t>SD_FRSR_baseline</t>
  </si>
  <si>
    <t>OnsetSite_spinal</t>
  </si>
  <si>
    <t>DiseaseDur_onset_to_baseline_mean</t>
  </si>
  <si>
    <t>DiseaseDur_onset_to_baseline_SD</t>
  </si>
  <si>
    <t>medFRSR_baseline</t>
  </si>
  <si>
    <t>1Q_FRSR_baseline</t>
  </si>
  <si>
    <t>3Q_FRSR_baseline</t>
  </si>
  <si>
    <t>medDiseaseDur_onset_to_baseline</t>
  </si>
  <si>
    <t>1Q_DiseaseDur_onset_to_baseline</t>
  </si>
  <si>
    <t>3Q_DiseaseDur_onset_to_baseline</t>
  </si>
  <si>
    <t>Slowly progressing: ΔFS ≤ 0.5, Intermediate: 0.5 &lt; ΔFS ≤ 1, Rapidly progressing: ΔFS &gt; 1</t>
  </si>
  <si>
    <t>subjects with other neurologic diseases, mostly neuropathy without etiology or iatrogenic (n = 36), chronic inflammatory demyelinating polyradiculoneuropathies (n = 3), or neuropathies associated with dysglobulinemia (n = 3)</t>
  </si>
  <si>
    <t>KYN</t>
  </si>
  <si>
    <t>LC/MS, UHPLC</t>
  </si>
  <si>
    <t>Mass spectrometry (LC-MS/MS) and Ultra-high-performance liquid chromatography (UHPLC) system</t>
  </si>
  <si>
    <t>nM</t>
  </si>
  <si>
    <t>KYNA</t>
  </si>
  <si>
    <t>μM</t>
  </si>
  <si>
    <t>Immunoturbidimetric Assay</t>
  </si>
  <si>
    <t>SurvTimeFromOnset_mean</t>
  </si>
  <si>
    <t>SurvTimeFromOnset_SD</t>
  </si>
  <si>
    <t>SurvTimeFromOnset_med</t>
  </si>
  <si>
    <t>SurvTimeFromOnset_1Q</t>
  </si>
  <si>
    <t>SurvTimeFromEval_mean</t>
  </si>
  <si>
    <t>SurvTimeFromEval_SD</t>
  </si>
  <si>
    <t>SurvTimeFromEval_med</t>
  </si>
  <si>
    <t>SurvTimeFromEval_1Q</t>
  </si>
  <si>
    <t>SurvTimeFromEval_3Q</t>
  </si>
  <si>
    <t>after 1Y (before-after)</t>
  </si>
  <si>
    <t>Alarcan 2023 (Male)</t>
  </si>
  <si>
    <t>Alarcan 2023 (Female)</t>
  </si>
  <si>
    <t>Fast progression included patients who survived less than 3 years, normal progression between 3 and 5 years, and slow progression for those still alive after 5 years</t>
  </si>
  <si>
    <t>Awaji_El_escorial_2009, probable or definite</t>
  </si>
  <si>
    <t>protein</t>
  </si>
  <si>
    <t>HR_scaled</t>
  </si>
  <si>
    <t>phenotype interaction</t>
  </si>
  <si>
    <t>"not significant"</t>
  </si>
  <si>
    <t>Fast progressors defined as ∆FS ≥ 1; slow progressors as ∆FS &lt; 0.3</t>
  </si>
  <si>
    <t>Kendall's tau</t>
  </si>
  <si>
    <t>Beers 2020 (Cohort1)</t>
  </si>
  <si>
    <t>Fast progression was defined as ≥1.5 AALS points/month.</t>
  </si>
  <si>
    <t>CRP</t>
  </si>
  <si>
    <t>sCD14</t>
  </si>
  <si>
    <t>ELISA with intra- and interplate variations &lt;8% and &lt;13%.</t>
  </si>
  <si>
    <t>In-house-developed ELISA with modifications (intra-/interplate variations &lt;3.9% and &lt;9.4%).</t>
  </si>
  <si>
    <t>Single Molecule Array (SIMOA) assay on HD-1 Analyzer (Quanterix).</t>
  </si>
  <si>
    <t>short (&lt;2 years) vs long (≥5 years) survival groups</t>
  </si>
  <si>
    <t>Corr_SurvTime</t>
  </si>
  <si>
    <t>CReATe Consortium (phenotype-genotype-biomarker study)</t>
  </si>
  <si>
    <t>log-transformed</t>
  </si>
  <si>
    <t>beta_FRSRslope</t>
  </si>
  <si>
    <t>beta_lCI_FRSRslope</t>
  </si>
  <si>
    <t>beta_uCI_FRSRslope</t>
  </si>
  <si>
    <t>covar_MultivariateRegModel</t>
  </si>
  <si>
    <t>Age, sex, C9orf72 status, site of onset, baseline ALSFRS-R and deltaFS</t>
  </si>
  <si>
    <t>biomarker_transform_multiva</t>
  </si>
  <si>
    <t>Fast progressors were defined as ALSFRS-R decline &gt;1 point/month and slow progressors as &lt;0.5 point/month.</t>
  </si>
  <si>
    <t>age, sex, FTD status (0-1)</t>
  </si>
  <si>
    <t>age at onset, diagnostic delay, FVC% at diagnosis</t>
  </si>
  <si>
    <t>age at baseline, sex, C9orf72 HREM, site of onset, baseline ALSFRS-R, baseline FRS</t>
  </si>
  <si>
    <t>age at onset, site of onset, FVC, ALSFRS-r, dALSFRS, variation in reference weight at diagnosis, diagnostic delay</t>
  </si>
  <si>
    <t>Patients were designated as fast (rate ≥ 3 pts/mo), average (3 &gt; rate ≥ 1 pts/mo), and slow (rate &lt; 1 pt/mo) categories of progression (delta FRS at baseline)</t>
  </si>
  <si>
    <t>creatine</t>
  </si>
  <si>
    <t>Bereman 2020 (female)</t>
  </si>
  <si>
    <t>Corr_transformed</t>
  </si>
  <si>
    <t>log2-transformed</t>
  </si>
  <si>
    <t>methylhistidine</t>
  </si>
  <si>
    <t>Sandwich ELISA using the Human Chitinase-3-Like Protein 1 (CHI3L1) ELISA commercial Kit (Abbexa, Cambridge, UK</t>
  </si>
  <si>
    <t>ALSFRS Slope ((48-ALSFRS)/Duration in months).</t>
  </si>
  <si>
    <t>SlopeDef</t>
  </si>
  <si>
    <t>El_Escorial_and_Airlie_House_diagnostic_criteria_2000, probable and definite</t>
  </si>
  <si>
    <t>Age</t>
  </si>
  <si>
    <t>COL19A1</t>
  </si>
  <si>
    <t>Spain, Italy</t>
  </si>
  <si>
    <t>real-time PCR and SDS-PAGE</t>
  </si>
  <si>
    <t>SDS-PAGE for protein expression</t>
  </si>
  <si>
    <t>Real-time PCR for gene expression and SDS-PAGE for protein expression</t>
  </si>
  <si>
    <t>Calvo 2019 (blood study cohort)</t>
  </si>
  <si>
    <t>Calvo 2019 (musle biopsy study cohort)</t>
  </si>
  <si>
    <t>COL19A1 protein</t>
  </si>
  <si>
    <t>Calvo 2019 (blood cohort)</t>
  </si>
  <si>
    <t>gene levels</t>
  </si>
  <si>
    <t>Real-time PCR</t>
  </si>
  <si>
    <t>HR_death_categ_def</t>
  </si>
  <si>
    <t>aHR_death_categ_def</t>
  </si>
  <si>
    <t>DPR≥1</t>
  </si>
  <si>
    <t>High slope ≥ 1 point/month linked to faster progression</t>
  </si>
  <si>
    <t>USA, Netherlands</t>
  </si>
  <si>
    <t>poly (GP)</t>
  </si>
  <si>
    <t>Immunoassay for poly(GP) in CSF, Southern blot for DNA repeat size</t>
  </si>
  <si>
    <t>Immunoassay</t>
  </si>
  <si>
    <t>Monthly rate of ALSFRSR decline</t>
  </si>
  <si>
    <t>Liquid Chromatography/Tandem Mass Spectrometry</t>
  </si>
  <si>
    <t>2-AG</t>
  </si>
  <si>
    <t>2-OG</t>
  </si>
  <si>
    <t>AEA</t>
  </si>
  <si>
    <t>OEA</t>
  </si>
  <si>
    <t>PEA</t>
  </si>
  <si>
    <t>cTnT</t>
  </si>
  <si>
    <t>delta ALS-FRSr / month</t>
  </si>
  <si>
    <t>ADMA</t>
  </si>
  <si>
    <t>Taiwan</t>
  </si>
  <si>
    <t>Liquid chromatography–tandem mass spectrometry (LC-MS/MS) combined with direct flow injection</t>
  </si>
  <si>
    <t>uM</t>
  </si>
  <si>
    <t>Sex- and age-matched normal controls (NCs) were randomly recruited from neurology outpatient clinics. All controls were free from systemic infection, chronic renal failure, cardiac or liver dysfunction, malignancies, autoimmune diseases, stroke, or any neurodegenerative diseases other than ALS</t>
  </si>
  <si>
    <t>Creatinine</t>
  </si>
  <si>
    <t>Methionine</t>
  </si>
  <si>
    <t>Phosphatidylcholine Subclass (PC ae C34:2)</t>
  </si>
  <si>
    <t>asymmetric dimethylarginine (ADMA), phosphatidylcholine (PC) acylalkyl (ae) C34:3, creatinine, methionine, PC ae C34:2, and PC acyl-acyl (aa) C42:2 by support vector machine</t>
  </si>
  <si>
    <t>PC ae C34:3</t>
  </si>
  <si>
    <t>LC-MS/MS</t>
  </si>
  <si>
    <t>sEV-TDP43</t>
  </si>
  <si>
    <t>Chatterjee 2024 (DESCRIBE subcohort2)</t>
  </si>
  <si>
    <t>sEV TDP43</t>
  </si>
  <si>
    <t>neurologically and cognitively unimpaired individuals​</t>
  </si>
  <si>
    <t>&lt; 0.00001</t>
  </si>
  <si>
    <t>PSP</t>
  </si>
  <si>
    <t>Chatterjee 2024 (Sant Pau Cohort)</t>
  </si>
  <si>
    <t>HC+PSP</t>
  </si>
  <si>
    <t>Chatterjee 2024 (ALS, Sant Pau Cohort)</t>
  </si>
  <si>
    <t>Chatterjee 2024 (ALS-FTD, Sant Pau Cohort)</t>
  </si>
  <si>
    <t>Chatterjee 2024 (Sant Pau Cohort ALS)</t>
  </si>
  <si>
    <t>Chatterjee 2024 (Sant Pau Cohort ALS-FTD)</t>
  </si>
  <si>
    <t>angiogenin</t>
  </si>
  <si>
    <t>Russia</t>
  </si>
  <si>
    <t>Age and gender-matched healthy controls.</t>
  </si>
  <si>
    <t>"Human Angiogenin Immunoassay (DAN00, R&amp;D Systems)" using ELISA.</t>
  </si>
  <si>
    <t>angiogenin in plasma exosome fraction</t>
  </si>
  <si>
    <t>Rapid progression defined as &gt;2 points decline in ALSFRS-R at 3-month follow-up.</t>
  </si>
  <si>
    <t>Exosomal TDP-43 ratio</t>
  </si>
  <si>
    <t>FCM</t>
  </si>
  <si>
    <t>Eomesodermin (EOMES)</t>
  </si>
  <si>
    <t>Percentage of EOMES in CD4+ T-cells</t>
  </si>
  <si>
    <t>Age, sex, disease duration, and onset site</t>
  </si>
  <si>
    <t>Chen 2024 (derivation cohort)</t>
  </si>
  <si>
    <t>Chen 2024 (validation cohort)</t>
  </si>
  <si>
    <t>Corr_slope</t>
  </si>
  <si>
    <t>Age- and gender-matched healthy controls.</t>
  </si>
  <si>
    <t>CXCR3+EOMES+</t>
  </si>
  <si>
    <t>El_Escorial_not_specidied_ver, not specified classification</t>
  </si>
  <si>
    <t>Automatic biochemistry analyzer (Roche Cobas 8000)​</t>
  </si>
  <si>
    <t xml:space="preserve">Automatic biochemistry analyzer </t>
  </si>
  <si>
    <t>Age-, gender-, and BMI-matched HCs without any neurological conditions were recruited from the medical examination center of West China Hospital</t>
  </si>
  <si>
    <t xml:space="preserve"> (Roche Cobas 8000)</t>
  </si>
  <si>
    <t>umol/L</t>
  </si>
  <si>
    <t>UA</t>
  </si>
  <si>
    <t>Albumin</t>
  </si>
  <si>
    <t>Age of onset, site of onset, BMI, ALSFRS-R score, and disease duration.</t>
  </si>
  <si>
    <t>log</t>
  </si>
  <si>
    <t>Chen 2019 (2)</t>
  </si>
  <si>
    <t>IL-6</t>
  </si>
  <si>
    <t>p_cor_ALSFRSR</t>
  </si>
  <si>
    <t>p_cor_slope</t>
  </si>
  <si>
    <t>p_cor_SurvT</t>
  </si>
  <si>
    <t>MULTIPLE (Ferritin,CK,FBG,TIBC,TSC)</t>
  </si>
  <si>
    <t>Aβ42/40 ratio</t>
  </si>
  <si>
    <t>slow progression (∆FS &lt; 0.5), intermediate, rapid progression (∆FS &gt; 1.0)</t>
  </si>
  <si>
    <t>Age at onset, Diagnostic delay, DPR at diagnosis</t>
  </si>
  <si>
    <t>p_cor_DPR</t>
  </si>
  <si>
    <t>CircuLex ELISA kit; MBLCY-8074</t>
  </si>
  <si>
    <t>Age at onset, disease duration at sampling</t>
  </si>
  <si>
    <t>"Polyneuropathy (15); sudden headache with normal diagnostic workup (3); normal pressure hydrocephalus (1); ganglionopathy (1); myelitis (1); primary progressive multiple sclerosis (MS) (1); mitochondriopathy (1); brachial plexopathy (1).</t>
  </si>
  <si>
    <t>&lt;.0001</t>
  </si>
  <si>
    <t>Blood cell count test using flow cytometry</t>
  </si>
  <si>
    <t>Age at onset, onset site, FVC, ALSFRS-r, BMI</t>
  </si>
  <si>
    <t>covar_MultivariateRegModel_DPR</t>
  </si>
  <si>
    <t>biomarker_transform_multiva_DPR</t>
  </si>
  <si>
    <t>beta_DPR</t>
  </si>
  <si>
    <t>beta_lCI_DPR</t>
  </si>
  <si>
    <t>beta_uCI_DPR</t>
  </si>
  <si>
    <t>plasma-to-visit interval, disease duration, sex</t>
  </si>
  <si>
    <t>MULTIPLE exosome biomarkers</t>
  </si>
  <si>
    <t>"not significant'"</t>
  </si>
  <si>
    <t>Age at onset, presence of bulbar symptoms</t>
  </si>
  <si>
    <t>DeSchaepdryver 2023 (C-Nfs Cohort)</t>
  </si>
  <si>
    <t>lCI_corDPR</t>
  </si>
  <si>
    <t>uCI_corDPR</t>
  </si>
  <si>
    <t>DeSchaepdryver 2023 (C-Nfs cohort)</t>
  </si>
  <si>
    <t>DeSchaepdryver 2023 (preC-Nfs cohort)</t>
  </si>
  <si>
    <t>DeSchaepdryver 2023 (preC-Nfs Cohort)</t>
  </si>
  <si>
    <t>Mass spectrometry (LC-MS/MS in DIA mode)</t>
  </si>
  <si>
    <t>15 European countries</t>
  </si>
  <si>
    <t>Definition of “fast” progressors: ALSFRS-R reduction &gt; median rate. (the population was also divided into two groups of disease decline (i.e. slow and fast), according to a median in the ALSFRS-r score decrease rate from time of inclusion to 18 months)</t>
  </si>
  <si>
    <t>treatment and pre-specifed baseline factors with their interactions to time (BMI, MMT, SVC, sodium and time since the onset of clinical signs</t>
  </si>
  <si>
    <t xml:space="preserve">at 18M </t>
  </si>
  <si>
    <t>4-HNE</t>
  </si>
  <si>
    <t>8-OHdG</t>
  </si>
  <si>
    <t>Ferritin</t>
  </si>
  <si>
    <t>24OH-C</t>
  </si>
  <si>
    <t>NF-light Kit Advantage (Quanterix)</t>
  </si>
  <si>
    <t>Neurofilament ELISA (Euroimmun AG)</t>
  </si>
  <si>
    <t>ELISA Kit (Abcam)</t>
  </si>
  <si>
    <t>OxiSelect HNE Adduct Competitive ELISA Kit (Cell Biolabs, Inc.)</t>
  </si>
  <si>
    <t>Human ELISA Kit (Abcam)​</t>
  </si>
  <si>
    <t>matched by sex and age (50–70 years) and screened for absence of neurodegeneration symptoms over a two-year follow-up period</t>
  </si>
  <si>
    <t>Ultra-high performance liquid chromatography mass spectrometry</t>
  </si>
  <si>
    <t>LC-MS</t>
  </si>
  <si>
    <t>Serbia</t>
  </si>
  <si>
    <t>colorimetric method of Griess</t>
  </si>
  <si>
    <t>SOD</t>
  </si>
  <si>
    <t>Healthy controls (HC) with no objective abnormalities ("Their final diagnosis was mainly functional disorders and tension‑type headaches")</t>
  </si>
  <si>
    <t>Nitrite and nitrate concentrations</t>
  </si>
  <si>
    <t>measured spectrophotometrically using the Griess colorimetric method</t>
  </si>
  <si>
    <t>U/mL</t>
  </si>
  <si>
    <t>Slow progressors: Patients with a lower rate of decline (lower K-value). Fast progressors: Patients with a higher rate of decline (higher K-value).</t>
  </si>
  <si>
    <t>Aggressiveness: high D50&lt;20months; intermidiate 20–40, low D50≥40months</t>
  </si>
  <si>
    <t>Cor_rD50</t>
  </si>
  <si>
    <t>p_cor_rD50</t>
  </si>
  <si>
    <t>TGF-β1</t>
  </si>
  <si>
    <t>Multiplex</t>
  </si>
  <si>
    <t>TGF-β2</t>
  </si>
  <si>
    <t>TGF-β3</t>
  </si>
  <si>
    <t>Healthy individuals without neurodegenerative diseases; specific exclusion criteria not detailed.</t>
  </si>
  <si>
    <t>multiplex assay</t>
  </si>
  <si>
    <t>HR_def</t>
  </si>
  <si>
    <t>death</t>
  </si>
  <si>
    <t>Age at venipuncture, Diagnostic delay, progression rate, and MND phenotype.</t>
  </si>
  <si>
    <t>death or tracheostomy</t>
  </si>
  <si>
    <t>Age at venipuncture, Diagnostic delay, progression rate, phenotype(spinal vs bulbar), C9orf72 expansion</t>
  </si>
  <si>
    <t>ALS patients with progression rates less than 0.5, between 0.5 and 1.0, and more than 1.0 (points/month) were defined as slow-, intermediate-, and fast-progressing ALS, respectively.</t>
  </si>
  <si>
    <t>Age, sex, DPR, onset site, FVC, and estimated lean body mass (LBM)</t>
  </si>
  <si>
    <t>Patients with a disease progression rate lower than 0.395 points/month, corresponding to the 25th percentile, were defined as slow progressors, patients with a disease progression rate between 0.395 and 1.364 points/month were defined as intermediate progressors, while patients with a disease progression rate higher than 1.364 points/month, corresponding to the 75th percentile, were defined as fast progressors.</t>
  </si>
  <si>
    <t>not_Specified_Criteria</t>
  </si>
  <si>
    <t>mg/dL</t>
  </si>
  <si>
    <t>Age at onset, diagnostic delay, time to first evaluation, C9orf72 expansion</t>
  </si>
  <si>
    <t>Age at LP, disease progression rate (points/month), number of regions with UMN and LMN degeneration, FVC, definite ALS based on the revised El Escorial criteria, diagnostic delay, gender, C9orf72 status, FTD status, and bulbar onset</t>
  </si>
  <si>
    <t>Age at sampling, gender, FVC, site of onset, disease progression rate, UMN/LMN degeneration extent, C9orf72 status, FTD status</t>
  </si>
  <si>
    <t>Slow Progressors: DPR below the 25th percentile (&lt;0.372 points/month), Intermediate Progressors: DPR between 25th and 75th percentiles (0.372–1.121 points/month), Fast Progressors: DPR above the 75th percentile (&gt;1.121 points/month)</t>
  </si>
  <si>
    <t>"48 patients with other neurological diseases (OND), including tension-type headache (n=38, 79%), hypokalemic paralysis (n=4, 8%), low intracranial pressure (n=1, 2%), and CSF leakage (n=5, 10%)</t>
  </si>
  <si>
    <t>Twenty ALS mimic diseases were cervical spondylotic myelopathy (15 cases, 75%) and multifocal motor neuropathy</t>
  </si>
  <si>
    <t>USA &amp; UK</t>
  </si>
  <si>
    <t>Controls were individuals without a known genetic mutation or ALS symptoms.</t>
  </si>
  <si>
    <t>USA&amp;UK</t>
  </si>
  <si>
    <t>nmol/hr/mL</t>
  </si>
  <si>
    <t>AtRisk</t>
  </si>
  <si>
    <t>Age of onset, site of onset, diagnostic delay, BMI, ALSFRS-R score, progression rate (ΔALSFRS-R), use of riluzole, use of NIPPV, and acceptance of PEG.</t>
  </si>
  <si>
    <t>Guo 2021 (male)</t>
  </si>
  <si>
    <t>Guo 2021 (female)</t>
  </si>
  <si>
    <t>Guo 2021 (total)</t>
  </si>
  <si>
    <t>Germany, Portugal, Poland, Turkey</t>
  </si>
  <si>
    <t>Age at onset, gender, diagnostic delay, region of onset, UMN, and LMN</t>
  </si>
  <si>
    <t>n_HR_death</t>
  </si>
  <si>
    <t>n_aHR_death</t>
  </si>
  <si>
    <t>n_beta_DPR</t>
  </si>
  <si>
    <t>TC</t>
  </si>
  <si>
    <t>sandwitch ELISA</t>
  </si>
  <si>
    <t>blood_platelate</t>
  </si>
  <si>
    <t>Non-ALS controls who had no neurodegenerative, infectious, or immunological diseases.</t>
  </si>
  <si>
    <t>blood-platelet</t>
  </si>
  <si>
    <t>El_escorial_1994, all classifications</t>
  </si>
  <si>
    <t>5′ValCAC tRNA fragment</t>
  </si>
  <si>
    <t>Netherlands</t>
  </si>
  <si>
    <t>Custom small RNA TaqMan assays</t>
  </si>
  <si>
    <t>5′ValCAC tRNA fragment.</t>
  </si>
  <si>
    <t>Matched for age, sex, and ethnicity with ALS cases</t>
  </si>
  <si>
    <t>Fast Progressing ALS: patients with survival time less than 24 months from symptom onset. Slow: &gt; 60 months. Intermediate: 24-60 months</t>
  </si>
  <si>
    <t>Custom small RNA TaqMan assays.</t>
  </si>
  <si>
    <t>Age, deltaFRS, interaction(Hyaluronan*deltaFRS)</t>
  </si>
  <si>
    <t>raw</t>
  </si>
  <si>
    <t>Definition of “Rapid” cases: DFRS ≤ -0.5 points/month.</t>
  </si>
  <si>
    <t>"Venous blood samples analyzed with i-STAT Alinity point-of-care device (Australia)." "Centrifugation and quantification using Siemens Atellica CH Analyzer (Netherlands)."</t>
  </si>
  <si>
    <t>Holdom 2021 (AUS cohort)</t>
  </si>
  <si>
    <t>Holdom 2021 (NLD cohort)</t>
  </si>
  <si>
    <t>Holdom 2021 (both cohort)</t>
  </si>
  <si>
    <t>Age, sex, fat-free mass, deltaFRS, %VC</t>
  </si>
  <si>
    <t>ALSFRS-R over the course of disease</t>
  </si>
  <si>
    <t>Australia&amp;Netherland</t>
  </si>
  <si>
    <t>Ghrelin</t>
  </si>
  <si>
    <t>logn</t>
  </si>
  <si>
    <t>Corr_ALSFRSR_uCI</t>
  </si>
  <si>
    <t>Corr_ALSFRSR_lCI</t>
  </si>
  <si>
    <t>longitudinal ΔALSFRS-R</t>
  </si>
  <si>
    <t>Corr_slope_lCI</t>
  </si>
  <si>
    <t>Corr_slope_uCI</t>
  </si>
  <si>
    <t>LEAP2</t>
  </si>
  <si>
    <t>LEAP2:ghrelin molar ratio</t>
  </si>
  <si>
    <t>"Controls were recruited as a convenience sample of partners, friends, and family of patients with ALS."</t>
  </si>
  <si>
    <t>ELISA-based multiplex assay for ghrelin and leptin; commercial ELISA for LEAP2</t>
  </si>
  <si>
    <t>LEAP2:Ghrelin Molar Ratio</t>
  </si>
  <si>
    <t>Lipoprotein a [(Lp(a)]</t>
  </si>
  <si>
    <t>mg/L</t>
  </si>
  <si>
    <t>fast and slow progression based on ALSFRS-R decline rates (&gt;9.6/year for fast, &lt;4.0/year for slow).</t>
  </si>
  <si>
    <t>Age of disease onset, site of onset, gender</t>
  </si>
  <si>
    <t>MSD V-Plex assay</t>
  </si>
  <si>
    <t>MSD plate-based immunoassay</t>
  </si>
  <si>
    <t>High-performance liquid chromatography-tandem mass spectrometry</t>
  </si>
  <si>
    <t>ADMA/L-arginine Ratio</t>
  </si>
  <si>
    <t>Age at registration, Sex, Disease duration from onset to registration, baseline ALSFRS-R score, baseline MMT score, baseline %FVC score</t>
  </si>
  <si>
    <t>12 months ALSFRS-R slope</t>
  </si>
  <si>
    <t>Age at registration, Sex, duration from onset to registration, ALSFRS-R at registration, MMT</t>
  </si>
  <si>
    <t>HPLC-MS/MS</t>
  </si>
  <si>
    <t>Age, deltaFRS, FVC, phenotype at onset (bulbar or non-bulbar)</t>
  </si>
  <si>
    <t>biochemical assays</t>
  </si>
  <si>
    <t>LDL-C</t>
  </si>
  <si>
    <t>ApoB</t>
  </si>
  <si>
    <t>ApoB/ApoAI ratio</t>
  </si>
  <si>
    <t>LDL-C/HDL-C ratio</t>
  </si>
  <si>
    <t>Age at diagnosis, sex, onset site, diagnostic delay, BMI, ALSFRS-R score, and progression rate.</t>
  </si>
  <si>
    <t>TG</t>
  </si>
  <si>
    <t>ApoAI</t>
  </si>
  <si>
    <t>cryptic HDGFL2</t>
  </si>
  <si>
    <t>enzymatic methods</t>
  </si>
  <si>
    <t>L-Type CK, Wako, Japan</t>
  </si>
  <si>
    <t>26 generally healthy people corresponding in gender and age to the patient group</t>
  </si>
  <si>
    <t>Human Angiogenin Immunoassay (DAN00, R&amp;D Systems) for quantitative ELISA.</t>
  </si>
  <si>
    <t>pg/mg protein</t>
  </si>
  <si>
    <t>Human Angiogenin Immunoassay (DAN00, R&amp;D Systems) for quantitative ELISA</t>
  </si>
  <si>
    <t>"Patients categorized by progression rate (rapid: ALS-FRS-R decline ≥8 points/year; slow: ≤3 points/year)."</t>
  </si>
  <si>
    <t>Beckman Coulter AU5800 clinical chemistry analyzer​</t>
  </si>
  <si>
    <t>Age at onset, diagnostic delay, bulbar onset, definite ALS (revised EEC), ΔFRS, FVC, presence of FTD, and C9orf72 repeat expansion</t>
  </si>
  <si>
    <t>mmol/L</t>
  </si>
  <si>
    <t>HDL-C</t>
  </si>
  <si>
    <t>fast-progression (Δr≥0.772, n=12) and slow-progression (Δr&lt;0.772, n=11); according to the median</t>
  </si>
  <si>
    <t>CysC</t>
  </si>
  <si>
    <t>Age, sex and ALSFRS-R score</t>
  </si>
  <si>
    <t/>
  </si>
  <si>
    <t>Multiplex electrochemoluminescence (MesoScale Discovery V-PLEX Human Biomarker 40-Plex Kit)</t>
  </si>
  <si>
    <t>MSD V-Plex</t>
  </si>
  <si>
    <t>grouped by survival (&lt;30 months vs. &gt;30 months)</t>
  </si>
  <si>
    <t>Johannesen 2019 (G-CSF treated patients)</t>
  </si>
  <si>
    <t>Pearson r</t>
  </si>
  <si>
    <t>Pearson (not explicitly mentioned, but probably)</t>
  </si>
  <si>
    <t>MDC</t>
  </si>
  <si>
    <t>TNF-β</t>
  </si>
  <si>
    <t>IFN-γ</t>
  </si>
  <si>
    <t>IL-16</t>
  </si>
  <si>
    <t>fast- or slow-progressing ALS based on their rate of change in the ALSFRS-R clinical rating, with a threshold of 0.6 points per month selected based on the median value seen clinically to divide the samples</t>
  </si>
  <si>
    <t>Joilin 2020 (discovery cohort)</t>
  </si>
  <si>
    <t>Joilin 2020 (validation cohort)</t>
  </si>
  <si>
    <t>hsa-miR-16-5p</t>
  </si>
  <si>
    <t>hsa-miR-92a-3p</t>
  </si>
  <si>
    <t>Korea</t>
  </si>
  <si>
    <t>EISA</t>
  </si>
  <si>
    <t>Age at onset, sex, BMI, diagnostic delay, ALSFRS-R at diagnosis, DPR, onset region</t>
  </si>
  <si>
    <t>male patients recruited from the neuromuscular or family medicine outpatient clinics</t>
  </si>
  <si>
    <t>CK-MB</t>
  </si>
  <si>
    <t>CK-MB was measured via the electrochemiluminescence immunoassay method using the Elecsys® CK-MB reagent and the cobas® e801 module (Roche Diagnostics, Basel, Switzerland</t>
  </si>
  <si>
    <t>immunoassay</t>
  </si>
  <si>
    <t>Primary lateral sclerosis (PLS), benign fasciculation syndrome (BFS), Huntington’s disease (HD), Alzheimer’s disease (AD)​</t>
  </si>
  <si>
    <t>male 4.87, female 3.61</t>
  </si>
  <si>
    <t>Electrochemiluminescence immunoassay using Elecsys® CK-MB reagent and cobas® e801 module (Roche Diagnostics, Basel, Switzerland</t>
  </si>
  <si>
    <t>Denmark</t>
  </si>
  <si>
    <t>component markers, Collectin-11, C3, C3bc, Ficolin-3</t>
  </si>
  <si>
    <t>Collectin-11</t>
  </si>
  <si>
    <t>C3</t>
  </si>
  <si>
    <t>mg/mL</t>
  </si>
  <si>
    <t>C3bc</t>
  </si>
  <si>
    <t>AU</t>
  </si>
  <si>
    <t>Age at onset, sex, site of onset, diagnostic delay, BMI at diagnosis, DPR at diagnosis, C9orf72 status, CSF NfL</t>
  </si>
  <si>
    <t>Age at onset, sex, site of onset, diagnostic delay, BMI at diagnosis, DPR at diagnosis, C9orf72 status, plasma hs-cTnT</t>
  </si>
  <si>
    <t>Age, sex, BMI, site of onset, El Escorial classification, diagnostic delay, baseline ALSFRS-R, progression rate, signs of FTD</t>
  </si>
  <si>
    <t>death or invasive ventilation</t>
  </si>
  <si>
    <t>FA</t>
  </si>
  <si>
    <t>Formaldehyde Assay Kit (Sigma)</t>
  </si>
  <si>
    <t>Formaldehyde Assay Kit</t>
  </si>
  <si>
    <t>TMA</t>
  </si>
  <si>
    <t>LC-MRM-MS</t>
  </si>
  <si>
    <t>Liquid chromatography multiple reaction monitoring mass spectrometry</t>
  </si>
  <si>
    <t>TMAO</t>
  </si>
  <si>
    <t>Peripheral neutrophil and lymphocyte count</t>
  </si>
  <si>
    <t>age at recruitment, gender, country (Italy vs. Moldova/Romania), FVC, BMI, site of onset, and use of riluzole.</t>
  </si>
  <si>
    <t>Age at onset, sex, site of onset, duration, DPR, ALSFRS-R, predominant involvement of motor neuron</t>
  </si>
  <si>
    <t>Rapid disease progression defined as DPR ≥ 1.</t>
  </si>
  <si>
    <t>NLR</t>
  </si>
  <si>
    <t>ESR</t>
  </si>
  <si>
    <t xml:space="preserve">Magnetic bead-based multiplex assays </t>
  </si>
  <si>
    <t>Bio-Plex 200 system</t>
  </si>
  <si>
    <t>Li 2022–1</t>
  </si>
  <si>
    <t>Li 2022–2</t>
  </si>
  <si>
    <t>Li 2022–3</t>
  </si>
  <si>
    <t>Adiponectin</t>
  </si>
  <si>
    <t>6 months</t>
  </si>
  <si>
    <t>6 months (n=18)</t>
  </si>
  <si>
    <t>Rapid: Patients with a DPR for 6 months follow-up above the median value. Slow: below the median value</t>
  </si>
  <si>
    <t>healthy participants to compare adipokines and other metabolic biomarkers.</t>
  </si>
  <si>
    <t>Magnetic bead-based multiplex assays</t>
  </si>
  <si>
    <t>adiponectin</t>
  </si>
  <si>
    <t>adipsin</t>
  </si>
  <si>
    <t>C-peptide</t>
  </si>
  <si>
    <t>GIP</t>
  </si>
  <si>
    <t>GLP-1</t>
  </si>
  <si>
    <t>Glucagon</t>
  </si>
  <si>
    <t>insulin</t>
  </si>
  <si>
    <t>PAI-1</t>
  </si>
  <si>
    <t>Resitin</t>
  </si>
  <si>
    <t>Visfatin</t>
  </si>
  <si>
    <t>Li 2020 (validation cohort)</t>
  </si>
  <si>
    <t>Li 2020 (discovery cohort)</t>
  </si>
  <si>
    <t>in EV</t>
  </si>
  <si>
    <t>HERV-K env</t>
  </si>
  <si>
    <t>Sex-and age-matched controls were individuals without MND history or family history of MND, without acute or chronic history of the central nervous system.</t>
  </si>
  <si>
    <t>Human HERV K_7p22.1 Provirus Ancestral Env Polyprotein (ERVK6) ELISA kit (Cusabio Technology, Wuhan, China).</t>
  </si>
  <si>
    <t>RT-PCR</t>
  </si>
  <si>
    <t>slot blot analysis</t>
  </si>
  <si>
    <t>A.U.</t>
  </si>
  <si>
    <t>PPIA, sol</t>
  </si>
  <si>
    <t>HSC70, sol</t>
  </si>
  <si>
    <t>TDP43, sol</t>
  </si>
  <si>
    <t>hnRNPA2B1, sol</t>
  </si>
  <si>
    <t>PPIA, ins</t>
  </si>
  <si>
    <t>SOD1, sol</t>
  </si>
  <si>
    <t>HSC70, ins</t>
  </si>
  <si>
    <t>TDP43, ins</t>
  </si>
  <si>
    <t>hnRNPA2B1, ins</t>
  </si>
  <si>
    <t>SOD1, ins</t>
  </si>
  <si>
    <t>insolubility index</t>
  </si>
  <si>
    <t>age at symptom onset, site of onset, and sex</t>
  </si>
  <si>
    <t>"no difference"</t>
  </si>
  <si>
    <t>DPR  less than 0.5, between 0.5 and 1.0, and more than 1.0 (points/month) were defined as slow-, intermediate-, and fast-progressing ALS, respectively.</t>
  </si>
  <si>
    <t xml:space="preserve">Healthy individuals </t>
  </si>
  <si>
    <t>Slot blot analysis</t>
  </si>
  <si>
    <t>chrolide</t>
  </si>
  <si>
    <t>age at diagnosis, sex, onset site, weight loss(kg/months), delta ALSFRS/R(point loss per month), serum sodium and serum potassium</t>
  </si>
  <si>
    <t>Chemiluminescence enzyme immunoassay (CLEIA) on the Lumipulse G600II platform</t>
  </si>
  <si>
    <t>univariate</t>
  </si>
  <si>
    <t>beta_DPR_p</t>
  </si>
  <si>
    <t>SerpinA1ratio</t>
  </si>
  <si>
    <t>FVC, DPR at sampling, NfH-CSF</t>
  </si>
  <si>
    <t>FVC, DPR at sampling, SerpinA1ratio</t>
  </si>
  <si>
    <t>monthly decline in ALSFRS-r calculated between baseline visit and last observation</t>
  </si>
  <si>
    <t>Subjects without clinical evidence of neurological disease</t>
  </si>
  <si>
    <t>age at sampling, onset type, ALSFRS-R scale, FTD status, DPR</t>
  </si>
  <si>
    <t>Germany and Australia</t>
  </si>
  <si>
    <t>HD-X Analyzer; Quanterix Inc.</t>
  </si>
  <si>
    <t>z-score</t>
  </si>
  <si>
    <t>slower (&lt;0.5 ALSFRS-R/month), intermediate (≥0.5 and ≤1.0 ALSFRS-R/month) and faster (&gt;1.0 ALSFRS-R/month) progression was applied as in most biomarker studies in ALS [5,9,22,31,32]</t>
  </si>
  <si>
    <t>10 countries</t>
  </si>
  <si>
    <t>SOD1</t>
  </si>
  <si>
    <t>Pt with SOD1 mutation</t>
  </si>
  <si>
    <t>Routine assays using Roche Integra 400 Plus chemistry analyzer</t>
  </si>
  <si>
    <t>age at case ascertainment, sex, race, region of onset, educational attainment, Latin ancestry, months between onset and baseline, and BMI at baseline.</t>
  </si>
  <si>
    <t>raw (0.1mg/dL)</t>
  </si>
  <si>
    <t>VEGF</t>
  </si>
  <si>
    <t>genetically unrelated healthy controls were recruited for the study</t>
  </si>
  <si>
    <t>VEGFR2</t>
  </si>
  <si>
    <t>OPTN</t>
  </si>
  <si>
    <t>Sandwich ELISA; SEB903Hu, SEL300Hu, SEA372HU (Assay Matrix Pty Ltd., Melbourne, Australia) were used for ficolin-3, CD5L, and gelsolin, respectively, and SEB180HU-96T (Jomar Life Research, Scoresby, Australia) was used for clusterin.</t>
  </si>
  <si>
    <t>Ficolin-3</t>
  </si>
  <si>
    <t>CD5L</t>
  </si>
  <si>
    <t>Gesolin</t>
  </si>
  <si>
    <t>ug/mL</t>
  </si>
  <si>
    <t>Age, gender, disease duration, onset phenotype, BMI, clinical signs of FTD</t>
  </si>
  <si>
    <t>above vs below median</t>
  </si>
  <si>
    <t>above vs below optimal cut-off</t>
  </si>
  <si>
    <t>above vs below mean average (0.819)</t>
  </si>
  <si>
    <t>ns</t>
  </si>
  <si>
    <t>Romania</t>
  </si>
  <si>
    <t>Multiplex bead-based immunoassay</t>
  </si>
  <si>
    <t>amylin</t>
  </si>
  <si>
    <t>Amylin</t>
  </si>
  <si>
    <t>PYY</t>
  </si>
  <si>
    <t>Insulin</t>
  </si>
  <si>
    <t>slow vs fast evolution, DPR cut-off 0.67</t>
  </si>
  <si>
    <t>Age- and sex-matched healthy controls were recruited; unrelated to the patients, unaffected by neurological disorders, and not underweight (BMI &gt; 18.5 kg/m²)</t>
  </si>
  <si>
    <t>Multiplex bead-based immunoassay using MILLIPLEX® Human Metabolic Hormone Magnetic Bead Panel kit</t>
  </si>
  <si>
    <t>PP</t>
  </si>
  <si>
    <t>GoldCoast_2020, all classifications</t>
  </si>
  <si>
    <t>Clustering by immune profiles (e.g., Neutrophil, NK-cell markers), using random forest model</t>
  </si>
  <si>
    <t>Fluorescence intensity (log-transformed values)​</t>
  </si>
  <si>
    <t>Månberg 2021 (discovery cohort)</t>
  </si>
  <si>
    <t>Månberg 2021 (replication cohort)</t>
  </si>
  <si>
    <t>Netherlands, Germany, Belgium</t>
  </si>
  <si>
    <t>sampling age, sex, bulbar onset</t>
  </si>
  <si>
    <t>sampling age, CSF-NfL, sex, bulbar onset</t>
  </si>
  <si>
    <t>sampling age, Spp1_plasma, sex, bulbar onset</t>
  </si>
  <si>
    <t>HC: Age-matched healthy individuals or siblings/partners of ALS patients. Disease Controls: Non-motor neuron diseases such as meningitis, headache</t>
  </si>
  <si>
    <t>SPP1</t>
  </si>
  <si>
    <t>Netherlands, Germany, Belgium, Sweden​</t>
  </si>
  <si>
    <t>Suspension bead array.</t>
  </si>
  <si>
    <t>Fluorescence intensity (log-transformed values)</t>
  </si>
  <si>
    <t>COL6A1</t>
  </si>
  <si>
    <t>eGFR</t>
  </si>
  <si>
    <t>Age, sex, diagnostic delay, site of onset, ALSFRS, BMI, self-repoted DM, sel-repoted smoking(ever)</t>
  </si>
  <si>
    <t>CKD stage IV vs I</t>
  </si>
  <si>
    <t>IGF-1</t>
  </si>
  <si>
    <t>Human IGF-1 Quantikine, R&amp;D Systems</t>
  </si>
  <si>
    <t>Age, sex, diagnostic delay, site of onset, ALSFRS-R, BMI</t>
  </si>
  <si>
    <t>bioelectrical impedance analysis</t>
  </si>
  <si>
    <t>Indirect calorimetry and bioelectrical impedance analysis.</t>
  </si>
  <si>
    <t>Taurine</t>
  </si>
  <si>
    <t>Capillary electrophoresis time-of-flight mass spectrometry (CE-TOFMS) and liquid chromatography time-of-flight mass spectrometry (LC-TOFMS)</t>
  </si>
  <si>
    <t>CE-TOFMS and LC-TOFMS</t>
  </si>
  <si>
    <t>Thirty-four healthy individuals were recruited among healthy unrelated spouses of patients. Both the patients and the healthy controls had to be aged between 18 and 80 years, have a BMI of 18 or above, and possess the capacity to understand and provide informed consent</t>
  </si>
  <si>
    <t>Milliplex MAP kits with Luminex MAGPIX detection system</t>
  </si>
  <si>
    <t>G-CSF</t>
  </si>
  <si>
    <t>IL-10</t>
  </si>
  <si>
    <t>IL-15</t>
  </si>
  <si>
    <t>IL-17A</t>
  </si>
  <si>
    <t>IL-2</t>
  </si>
  <si>
    <t>IL-4</t>
  </si>
  <si>
    <t>IL-8</t>
  </si>
  <si>
    <t>VEGF-A</t>
  </si>
  <si>
    <t>IL-1β</t>
  </si>
  <si>
    <t>MIP-1α</t>
  </si>
  <si>
    <t>TNF-α</t>
  </si>
  <si>
    <t>Gas chromatography coupled with mass spectrometry</t>
  </si>
  <si>
    <t>FFA</t>
  </si>
  <si>
    <t>SCFA</t>
  </si>
  <si>
    <t>MCFA</t>
  </si>
  <si>
    <t>LCFA</t>
  </si>
  <si>
    <t>Acetic acid</t>
  </si>
  <si>
    <t>Propionic acid</t>
  </si>
  <si>
    <t>Butyric acid</t>
  </si>
  <si>
    <t>Isobutyric acid</t>
  </si>
  <si>
    <t>Isovaleric acid</t>
  </si>
  <si>
    <t>2-Methylbutyric acid</t>
  </si>
  <si>
    <t>Valeric acid</t>
  </si>
  <si>
    <t>Hexanoic acid</t>
  </si>
  <si>
    <t>Heptanoic acid</t>
  </si>
  <si>
    <t>Nonanoic acid</t>
  </si>
  <si>
    <t>2-Ethylhexanoic acid</t>
  </si>
  <si>
    <t>Octanoic acid</t>
  </si>
  <si>
    <t>Decanoic acid</t>
  </si>
  <si>
    <t>Benzoic acid</t>
  </si>
  <si>
    <t>Dodecanoic acid</t>
  </si>
  <si>
    <t>Tetradecanoid acid</t>
  </si>
  <si>
    <t>Hexadecanoic acid</t>
  </si>
  <si>
    <t>Octadecanoic acid</t>
  </si>
  <si>
    <t>anti-TDP43-IgG</t>
  </si>
  <si>
    <t>Normal control (NC) volunteers were free of conditions that might affect the nervous system and did not receive any medical treatment modulating the immune system.</t>
  </si>
  <si>
    <t>anti-TDP43-IgG1</t>
  </si>
  <si>
    <t>anti-TDP43-IgG2</t>
  </si>
  <si>
    <t>anti-TDP43-IgG3</t>
  </si>
  <si>
    <t>anti-TDP43-IgG4</t>
  </si>
  <si>
    <t>anti-TDP43-IgM</t>
  </si>
  <si>
    <t>genetic ALS</t>
  </si>
  <si>
    <t>individuals without neurodegenerative disease</t>
  </si>
  <si>
    <t xml:space="preserve"> </t>
  </si>
  <si>
    <t>PRM-MS</t>
  </si>
  <si>
    <t>Healthy controls</t>
  </si>
  <si>
    <t>APOB</t>
  </si>
  <si>
    <t>CAMK2A</t>
  </si>
  <si>
    <t>SERPINA3</t>
  </si>
  <si>
    <t>Tandem mass spectrometry with TMT labeling</t>
  </si>
  <si>
    <t>SERPINA1</t>
  </si>
  <si>
    <t>APP</t>
  </si>
  <si>
    <t>Tandem mass spectrometry with TMT labeling -&gt; LC-MS/MS analysis → Data processing (discovery phase) → PRM validation → Statistical analysis (ROC, AUC, accuracy).</t>
  </si>
  <si>
    <t>LC-MS/MS and PRM MS</t>
  </si>
  <si>
    <t>Electrochemiluminescence assay</t>
  </si>
  <si>
    <t>above or below median ΔALSFRS-R, rapid &gt; 0.96, slow &lt;0.96</t>
  </si>
  <si>
    <t>revised_El_escorial_2000, definite, probable or possible</t>
  </si>
  <si>
    <t>ug/L</t>
  </si>
  <si>
    <t>The control group contained patients who were diagnosed with increased intracranial pressure, while those meeting the exclusion criteria were removed from the study. The exclusion criteria included patients with iron metabolic diseases, tumors, acute or chronic inflammation, inflammatory neurological diseases, liver diseases, renal diseases, thyroid diseases, hemorrhagic or neoplastic CNS diseases, any infectious diseases, and patients who received nutrition support.</t>
  </si>
  <si>
    <t>disease duration since visit 1</t>
  </si>
  <si>
    <t>Control samples were obtained in a concurrently enrolling single-center study at MGH using identical techniques to obtain, process, store, and share biofluid samples</t>
  </si>
  <si>
    <t>Definition: Slow (ΔFS &lt; 0.5); Intermediate (0.5 ≤ ΔFS &lt; 1); Rapid (ΔFS ≥ 1)</t>
  </si>
  <si>
    <t>Region</t>
  </si>
  <si>
    <t>Palermo Univ</t>
  </si>
  <si>
    <t>Ulm</t>
  </si>
  <si>
    <t>Umeå</t>
  </si>
  <si>
    <t>NEALS and UCSF cohorts</t>
  </si>
  <si>
    <t>Tehran</t>
  </si>
  <si>
    <t>MGH</t>
  </si>
  <si>
    <t>ILs and TNFα,IFNγ</t>
  </si>
  <si>
    <t>Thirty age-matched healthy controls were included, with no major medical illness or use of substances interfering with MEG signals, and no systemic, psychiatric, or neurological diseases</t>
  </si>
  <si>
    <t>Campania Univ</t>
  </si>
  <si>
    <t>Lisbon</t>
  </si>
  <si>
    <t>Bio-Plex Pro™ Human Chemokine assay (Bio-Rad®)</t>
  </si>
  <si>
    <t>Bioplex-Pro</t>
  </si>
  <si>
    <t>age-matched healthy control subjects.</t>
  </si>
  <si>
    <t>Bio-Plex Pro</t>
  </si>
  <si>
    <t>γ'Fibrinogen</t>
  </si>
  <si>
    <t>Age, gender, %FVC, ALSFRS-R, spinal and bulbar onset, FTD status, and diagnostic delay.</t>
  </si>
  <si>
    <t>Highest vs Lowest (arbitrary cut-off, no specific justification provided)</t>
  </si>
  <si>
    <t>healthy individuals, either workers of the academic center or spouses of ALS patients.</t>
  </si>
  <si>
    <t>two-site sandwich kit using specific monoclonal and polyclonal antibodies; Gamma Couer ELISA kit, Gamma Therapeutics, Portland, OR, USA</t>
  </si>
  <si>
    <t>ABC London, CreATe-PGB</t>
  </si>
  <si>
    <t>death, tracheostomy, or ≥22 h/d NIV</t>
  </si>
  <si>
    <t>Log</t>
  </si>
  <si>
    <t>Age at baseline, gender, ΔFRS, bulbar onset, ALSFRS-R at Visit1, C9orf 72 mutation</t>
  </si>
  <si>
    <t>Post-baseline ALSFRS-R change per month</t>
  </si>
  <si>
    <t>A faster progressing ALS (ALS-F) was defined as ΔFRS and ALSFRS-R change greater than 1.0 points/- month while slower progressing ALS (ALS-S) as DFRS and ALSFRS-R change less than 0.5 points/month.</t>
  </si>
  <si>
    <t>Immunofluorescence, qRT-PCR, multiplex bead-based immunoassay, live cell imaging.</t>
  </si>
  <si>
    <t>Slow: ΔFS &lt; 0.5. Intermediate: 0.5 ≤ ΔFS ≤ 1.0. Rapid: ΔFS &gt; 1.0.</t>
  </si>
  <si>
    <t>PBMC-MDMi</t>
  </si>
  <si>
    <t>relevant unit</t>
  </si>
  <si>
    <t>Fast: DPR ≥ 1, Intermediate: 0.5≤DPR&lt;1, Slow: DPR &lt; 0.5</t>
  </si>
  <si>
    <t>HSP70</t>
  </si>
  <si>
    <t>Ireland, Italy, Germany</t>
  </si>
  <si>
    <t>Ireland(EuroMOTOR), Ireland(MetALS), Italy(EuroMOTOR), Germany(MND-Net)</t>
  </si>
  <si>
    <t>age at onset, site of onset, diagnostic delay, and cohort</t>
  </si>
  <si>
    <t>HSP90</t>
  </si>
  <si>
    <t>DNAJC7</t>
  </si>
  <si>
    <t>in-house ELISA</t>
  </si>
  <si>
    <t>Log10</t>
  </si>
  <si>
    <t>age, sex</t>
  </si>
  <si>
    <t>sAPPα</t>
  </si>
  <si>
    <t>sAPPβ</t>
  </si>
  <si>
    <t>annual decline of ALSFRS-R</t>
  </si>
  <si>
    <t>Neurologically intact individuals were used as controls</t>
  </si>
  <si>
    <t>electro chemiluminescence detection (Meso Scale Discovery, Rockville, MD)</t>
  </si>
  <si>
    <t>MSD</t>
  </si>
  <si>
    <t>n inhouse immunoassay with electrochemiluminescence detection</t>
  </si>
  <si>
    <t>in-house immunoassay</t>
  </si>
  <si>
    <t>patients with alternative diagnoses were classified as ALS mimics (n = 22); neurological symptoms (4), monoparesis (3), cerebrovascular reasons (3), neuroborreliosis (2), primary lateral sclerosis (2), peripheral nerve lesion (2), slipped disc (2), spinal stenosis (1), emaciation (1), dysarthria of unknown cause (1), and Alzheimer’s disease (1)​</t>
  </si>
  <si>
    <t>peripherin</t>
  </si>
  <si>
    <t>Padua</t>
  </si>
  <si>
    <t>Human Peripherin ELISA kit, Abbexa</t>
  </si>
  <si>
    <t>Age at onset, sex, deltaFS</t>
  </si>
  <si>
    <t>no confirmed neurological diseases after evaluation​</t>
  </si>
  <si>
    <t>Dementia</t>
  </si>
  <si>
    <t>18 FTD, 4 AD, 4NPH</t>
  </si>
  <si>
    <t>PN</t>
  </si>
  <si>
    <t>7 CIDP, 2 diabetic polyneuropathies, 1 HDMN, 4 MMN</t>
  </si>
  <si>
    <t>slowly progressive: DPR≤1.44/month in serum; DPR≤ 0.8/month in CSF. rapidly progressive: DPR &gt;1.44/month in serum; DPR &gt; 0.8/month in CSF</t>
  </si>
  <si>
    <t>ALSFRS-r score, DPR, UMN score and cMAP amplitudes</t>
  </si>
  <si>
    <t>CRT (cube root transformed)</t>
  </si>
  <si>
    <t>Diagnostic delay, Time from onset to sampling, Time to generalization, Ashworth score at sampling, DPR at sampling, clinical subgroups, Dementia, serum pNfH</t>
  </si>
  <si>
    <t>Diagnostic delay, Time from onset to sampling, Time to generalization, Ashworth score at sampling, DPR at sampling, clinical subgroups, Dementia, CSF pNfH</t>
  </si>
  <si>
    <t>progression rate at last observation (points/month)</t>
  </si>
  <si>
    <t>Bellvitge, Barcelona</t>
  </si>
  <si>
    <t>Liquid chromatography coupled to mass spectrometry (LC-MS)</t>
  </si>
  <si>
    <t>defined 1.35 (point/month) as the cutoff point for classifying progression rates as fast progressors (FP) or normal progressors (NP)</t>
  </si>
  <si>
    <t>10 age-matched non-ALS individuals who underwent lumbar puncture for CSF extraction as part of the diagnostic procedure at the Santa Maria University Hospital, Lleida, to investigate peripheral polyneuropathy, Guillain–Barre Syndrome or self-resolved neurological symptom.</t>
  </si>
  <si>
    <t>Liquid chromatography coupled to mass spectrometry</t>
  </si>
  <si>
    <t>Lipidome profile</t>
  </si>
  <si>
    <t>Fold change (relative to control)</t>
  </si>
  <si>
    <t>Pavia</t>
  </si>
  <si>
    <t>events</t>
  </si>
  <si>
    <t>Partial_Cor</t>
  </si>
  <si>
    <t>age at onset, site of onset, gender,riluzole</t>
  </si>
  <si>
    <t>LMVs (Leukocyte-Derived Microvesicles)</t>
  </si>
  <si>
    <t>Flow cytometry was used to detect CD45-positive microvesicles (CD45+ MVs), a marker of leukocyte-derived vesicles. Annexin V staining was used to identify apoptotic microvesicles.</t>
  </si>
  <si>
    <t>progression rate at last visit (points/month)</t>
  </si>
  <si>
    <t>Progression rate lower than 0.5, and higher than 0.5 were defined as slow (ALS-slow) and fast progressing ALS (ALS-fast), respectively</t>
  </si>
  <si>
    <t>AD + HC(sex and age-matched healthy volunteers, not on any pharmacological treatment)</t>
  </si>
  <si>
    <t>Percentage of CD45+/Annexin V+ MVs</t>
  </si>
  <si>
    <t>Ulm, Hannover, Jena, Leuven, Oxford, Paris, Milan, Nijmegen</t>
  </si>
  <si>
    <t>Germany, Belguium, UK, France, Italy, Netherlands</t>
  </si>
  <si>
    <t>age, sex, site of onset, progression rate</t>
  </si>
  <si>
    <t>prognostic factors</t>
  </si>
  <si>
    <t>Beijing University</t>
  </si>
  <si>
    <t>Based on median values of the DPR (0.49) OR diagnostic delay (8M), the patients were dichotomized into ‘rapidly progressive’ ALS and ‘slowly progressive’ ALS.</t>
  </si>
  <si>
    <t>ultra-sensitive Simoa technology (Quanterix, MA, US) on the automated Simoa HD-X platform (GBIO, Hangzhou, China)</t>
  </si>
  <si>
    <t>Chiba</t>
  </si>
  <si>
    <t>AlphaLISA</t>
  </si>
  <si>
    <t>Amplified luminescent proximity homogeneous assay-linked immunosorbent assay</t>
  </si>
  <si>
    <t>anti-ACTB Ab</t>
  </si>
  <si>
    <t>60 normal controls (NC) seen in Port Square Kashiwado Clinic between 2005 and 2016</t>
  </si>
  <si>
    <t>alpha count</t>
  </si>
  <si>
    <t>Swedish Patient Register (10th ICD code G12.2)</t>
  </si>
  <si>
    <t>Stockholm cohort from the SCREAM project</t>
  </si>
  <si>
    <t>Glucose</t>
  </si>
  <si>
    <t>Chinese PLA General Hospital</t>
  </si>
  <si>
    <t>Serum measurements from three laboratories (Aleris, Unilabs, Karolinska), frequently audited for quality and harmonization by EQUALIS</t>
  </si>
  <si>
    <t>chemiluminescence immunoassay with Immulite 1000 and Immulite 2000 chemiluminescence immunoassay analyzers (Siemens)</t>
  </si>
  <si>
    <t>age, gender</t>
  </si>
  <si>
    <t>IL-1</t>
  </si>
  <si>
    <t>transferrin</t>
  </si>
  <si>
    <t>iron</t>
  </si>
  <si>
    <t>TIBC</t>
  </si>
  <si>
    <t>hospitalized individuals with non-neurodegenerative and non-inflammatory neurological disorders, including subjects diagnosed with tension-type headaches, depression, vestibular vertigo, or cervical or lumbar spondylosis.</t>
  </si>
  <si>
    <t>Sun 2019 (male)</t>
  </si>
  <si>
    <t>Sun 2019 (female)</t>
  </si>
  <si>
    <t>CLIA</t>
  </si>
  <si>
    <t>Electrochemiluminescent immunoassay (ECLIA) using the Cobas 6000 (Roche Diagnostics, Mannheim, Germany)</t>
  </si>
  <si>
    <t>commercial enzyme-linked immunosorbent assays (ELISAs; IBL International, Hamburg, Germany</t>
  </si>
  <si>
    <t>primary migraine and somatization disorder were enrolled as healthy controls (HCs)</t>
  </si>
  <si>
    <t>IMPN</t>
  </si>
  <si>
    <t>NIMPN</t>
  </si>
  <si>
    <t>immune-mediated peripheral neuropathy (IMPN) [including chronic inflammatory demyelinating polyradiculoneuropathy (CIDP), Guillain–Barré syndrome (GBS), and other immune-mediated peripheral neuropathies]</t>
  </si>
  <si>
    <t>non-immune-mediated peripheral neuropathy (NIMPN), such as metabolic and hereditary peripheral neuropathy.</t>
  </si>
  <si>
    <t>GSE112676 and GSE112680</t>
  </si>
  <si>
    <t>age, sex, site of onset, cohort, with additional variables corresponding to the expression of one or more genes</t>
  </si>
  <si>
    <t>CCS gene</t>
  </si>
  <si>
    <t>NEFH gene</t>
  </si>
  <si>
    <t>NEFL gene</t>
  </si>
  <si>
    <t>RBC score</t>
  </si>
  <si>
    <t>MP score</t>
  </si>
  <si>
    <t>Northern Indian Cohort</t>
  </si>
  <si>
    <t>Solid phase enzyme-linked immunoassay method</t>
  </si>
  <si>
    <t>slow ALS/slow disease progression rate (DPR &lt; 1) and fast ALS/rapid disease progression rate (DPR ≥ 1)</t>
  </si>
  <si>
    <t>Age (± 2 years) and sex-matched individuals with a neurological diagnosis other than ALS or any other neurodegenerative condition, and without any comorbidities, were included</t>
  </si>
  <si>
    <t>SP-ELISA</t>
  </si>
  <si>
    <t>John Radcliffe Hospital, Oxford</t>
  </si>
  <si>
    <t>age of symptom onset, gender, site of onset</t>
  </si>
  <si>
    <t>AMBRoSIA Cohort (Oxford, Sheffield, London)</t>
  </si>
  <si>
    <t>Age of onset, spinal onset, FVC, DPR, ALS-specific ECAS, latency from symptom onset, C3, C4, CRP, Ferritin, CK</t>
  </si>
  <si>
    <t>Age of onset, spinal onset, FVC, DPR, ALS-specific ECAS, latency from symptom onset, plasma NfL, CSF CHIT1</t>
  </si>
  <si>
    <t>Age of onset, spinal onset, FVC, DPR, ALS-specific ECAS, latency from symptom onset, plasma NfL, CSF NfL</t>
  </si>
  <si>
    <t>C4</t>
  </si>
  <si>
    <t>ALSFRS-R rate of decline over longitudinal visits</t>
  </si>
  <si>
    <t>age of onset, ALSFRS-R, site of onset, and weight loss</t>
  </si>
  <si>
    <t>Puglia (SLAP), southern Italy</t>
  </si>
  <si>
    <t>Bioplex</t>
  </si>
  <si>
    <t>Bio-Plex technology (Bio-Rad)</t>
  </si>
  <si>
    <t>age- (±3 years) and sex-matched healthy control was enrolled for each case. Control subjects were selected from the general population of the region through reporting by their general practitioners, who were called to report subjects in good health, without acute and chronic illnesses</t>
  </si>
  <si>
    <t>Milan</t>
  </si>
  <si>
    <t>10 normative subjects (5 males and 5 females), aged 53–67 years (mean ± SD: 60 ± 5 years) without neurological signatures at the time of withdrawal</t>
  </si>
  <si>
    <t>Bologna, Institute of Neurological Sciences of Bologna</t>
  </si>
  <si>
    <t>categorized based on b-DPR into slow (&lt;0.5), intermediate (0.5-1), and fast (&gt;1) progressors</t>
  </si>
  <si>
    <t>age at onset, type of onset, ALSFRS-R score, presence of FTD, b-DPR and King’s score</t>
  </si>
  <si>
    <t>Bologna, Institute of Neurological Sciences of Bologna (ISNB)</t>
  </si>
  <si>
    <t>Age at baseline, sex, baseline ALSFRS-R score, genetic status, DPR, MRC, King’s scores.</t>
  </si>
  <si>
    <t>fast (DPR &gt; 1), intermediate (DPR 0.5–1), and slow progressors (DPR &lt; 0.5)</t>
  </si>
  <si>
    <t>Milan, IRCCS Istituto Auxologico Italiano</t>
  </si>
  <si>
    <t>Corr_DPR_n</t>
  </si>
  <si>
    <t>Age at onset, site of onset, presence of C9orf72 hexanucleotide repeat expansion (HRE), disease progression rate (DPR), and presence of ALS-specific cognitive impairment according to ECAS.</t>
  </si>
  <si>
    <t>Verde 2023–1</t>
  </si>
  <si>
    <t>Verde 2023–2</t>
  </si>
  <si>
    <t>Corr_ALSFRSR_n</t>
  </si>
  <si>
    <t>Simoa SR-X platform (Quanterix, Lexington, MA, United States) "NFL measurement was performed on the Simoa SR-X platform (Quanterix, Lexington, MA, United States) using a commercial kit (catalog number, 103400)."</t>
  </si>
  <si>
    <t>age at onset, site of onset (bulbar vs. spinal), DPR, and presence/absence of cognitive impairment (as determined by the ECAS)</t>
  </si>
  <si>
    <t>P_ID</t>
  </si>
  <si>
    <t>Ulm, Ulm University Hospital</t>
  </si>
  <si>
    <t>CRESLA, “Maggiore della Carità” University Hospital in Novara</t>
  </si>
  <si>
    <t>plasma EV</t>
  </si>
  <si>
    <t>Shotgun Proteomics &amp; ELISA</t>
  </si>
  <si>
    <t>based on the median delta progression, the patients were divided into 'slow progressors' (≤ median) and 'fast progressors' (&gt; median)</t>
  </si>
  <si>
    <t>PRG-4</t>
  </si>
  <si>
    <t>age-matched cohabitants of the ALS patients</t>
  </si>
  <si>
    <t>Shotgun proteomics, ELISA</t>
  </si>
  <si>
    <t>NEALS Biofluid Repository and the Mayo Clinic Biorepository</t>
  </si>
  <si>
    <t>human CHI3L1 DuoSet ELISA kit (R&amp;D Systems) was used following manufacturer instructions.</t>
  </si>
  <si>
    <t>A sandwich ELISA was used to quantify Chit-1 in CSF and matching plasma samples</t>
  </si>
  <si>
    <t>DC group (n=17) was composed of patients with a range of diseases including brain metastases, viral encephalitis, neuropathy, MS, upper motor neuron disease, primary lateral sclerosis, chronic inflammatory demyelinating polyneuropathy, idiopathic sensorimotor polyneuropathy, spinocerebellar ataxia, lymphoma, and lower motor neuron disease. 24 HCs lacked any identified neurological deficits.</t>
  </si>
  <si>
    <t>Fast Progressors (FPs): DPR ≥1 unit/month, Slow Progressors (SPs): DPR &lt;0.5 unit/month, Intermediate Progressors (IPs): DPR ≥0.5 unit/month but &lt;1 unit/month</t>
  </si>
  <si>
    <t>Northeast ALS Consortium (NEALS) Biofluid Repository</t>
  </si>
  <si>
    <t>Vu 2023 (discovery cohort)</t>
  </si>
  <si>
    <t>Vu 2023 (validation cohort)</t>
  </si>
  <si>
    <t>FP: ≥1 unit/month, SP: &lt;0.5 unit/month</t>
  </si>
  <si>
    <t>iron-status</t>
  </si>
  <si>
    <t>IgG</t>
  </si>
  <si>
    <t>Xiangya Hospital, Central South University</t>
  </si>
  <si>
    <t>Luminex rate nephelometry</t>
  </si>
  <si>
    <t>IgA</t>
  </si>
  <si>
    <t>IgM</t>
  </si>
  <si>
    <t>MSA</t>
  </si>
  <si>
    <t>sex- and age-matched healthy individuals without any neurological diseases were recruited from the Health Management Center in Xiangya Hospital at CSU as HCs</t>
  </si>
  <si>
    <t>Patients diagnosed according to the current consensus criteria established by Gilman and colleagues</t>
  </si>
  <si>
    <t>Patients diagnosed according to the Movement Disorder Society (MDS) clinical diagnostic criteria</t>
  </si>
  <si>
    <t>RIPK1</t>
  </si>
  <si>
    <t>China Three Gorges University</t>
  </si>
  <si>
    <t>IL-2R</t>
  </si>
  <si>
    <t>healthy volunteers over 18 years of age, without any history or clinical signs of diseases implicated to involve necroptosis, such as multiple sclerosis, Alzheimer’s disease, and Parkinson’s disease, inflammatory bowel disease, sepsis, viral infection, hepatitis, neuronal and renal degeneration, tumor metastasis, ischemia–reperfusion-induced tissue injury, stroke, myocardial infarction, renal failure, systemic inflammatory response syndrome and other inflammation, infection, autoimmune and degenerative diseases.</t>
  </si>
  <si>
    <t>F12, RBP4, SERPINA4</t>
  </si>
  <si>
    <t>West China Hospital of Sichuan University, Chengdu, Sichuan Province</t>
  </si>
  <si>
    <t>automated XE-5000 hematology counter</t>
  </si>
  <si>
    <t>age, sex, stage, phenotype, onset region, BMI, ALSFRS-R, disease duration, albumin, and HbA1c.</t>
  </si>
  <si>
    <t>healthy subjects</t>
  </si>
  <si>
    <t>not explicitly mentioned</t>
  </si>
  <si>
    <t>Hertie Institute for Clinical Brain Research, Tübingen</t>
  </si>
  <si>
    <t>controls did not have any history or clinical signs of neurodegenerative disease, as ascertained by neurologists with special expertise in neurodegenerative diseases.</t>
  </si>
  <si>
    <t>Simoa (Homebrew)</t>
  </si>
  <si>
    <t>Simoa (Commercial)</t>
  </si>
  <si>
    <t>Ulm University, German Network for Motor Neuron Diseases, MND-NET site Ulm</t>
  </si>
  <si>
    <t>SIMOA HD-1 analyzer, using a commercially available kit (Quanterix, Lexington, MA)</t>
  </si>
  <si>
    <t>Witzel 2021 (development cohort)</t>
  </si>
  <si>
    <t>Witzel 2021 (val cohort 1)</t>
  </si>
  <si>
    <t>Witzel 2021 (val cohort 2)</t>
  </si>
  <si>
    <t>LIPCAL trial</t>
  </si>
  <si>
    <t>Mito Target trial</t>
  </si>
  <si>
    <t>onset site (spinal or bulbar)</t>
  </si>
  <si>
    <t>Germany, USA</t>
  </si>
  <si>
    <t>Rasagiline P2 trial</t>
  </si>
  <si>
    <t>Single molecule array (Simoa) platform provided by Quanterix using a commercially available kit (NF-light, Quanterix)"</t>
  </si>
  <si>
    <t>ALSFRS-R rate of decline during the study</t>
  </si>
  <si>
    <t>intermediate to fast :ALSFRS-R slope greater than 0.5 points/month</t>
  </si>
  <si>
    <t>measured in triplicate with commercial kits according to manufacturer’s instructions with appropriate dilutions (R&amp;D Systems, Minneapolis, MN, USA, Q6000B)</t>
  </si>
  <si>
    <t>Wake Forest ALS Center, Winston-salem, NC</t>
  </si>
  <si>
    <t>R&amp;D Systems, Q6000B, DR600, and DGP00</t>
  </si>
  <si>
    <t>Wosiski-Kuhn 2019 (cohort 1)</t>
  </si>
  <si>
    <t>Wosiski-Kuhn 2019 (cohort 2)</t>
  </si>
  <si>
    <t>A change in the ALSFRS-R score of ≥3 points is an indicator of substantial decline</t>
  </si>
  <si>
    <t>sIL6R</t>
  </si>
  <si>
    <t>homocysteine</t>
  </si>
  <si>
    <t>Peking University Third Hospital, Beijing</t>
  </si>
  <si>
    <t>Fluorescence polarization immunoassay (FPIA), Ion capture immunoassay (ICIA), Microparticle enzyme immunoassay (MEIA)</t>
  </si>
  <si>
    <t>μmol/L</t>
  </si>
  <si>
    <t>age and gender-matched patients admitted to our hospital with neurological disorders assumed to be unrelated to the Hcy level, including headache and back pain, or without any diagnosed neurologic condition</t>
  </si>
  <si>
    <t>Hcy</t>
  </si>
  <si>
    <t>FPIA-ICIA-MEIA</t>
  </si>
  <si>
    <t>GSE153960 dataset. Gene Expression Omnibus (GEO) datasets, publicly available</t>
  </si>
  <si>
    <t>IL-18</t>
  </si>
  <si>
    <t>Fujian Medical University Union Hospital and Huashan Hospital, Fudan University</t>
  </si>
  <si>
    <t>8-plex Luminex kit</t>
  </si>
  <si>
    <t>Commercial ELISA kits</t>
  </si>
  <si>
    <t>IL-21</t>
  </si>
  <si>
    <t>healthy controls were selected to be individuals aged 40 to 70 (mostly 50–60 years), with no recent infection, no history of autoimmune diseases, no history of neurodegenerative diseases, no family history of ALS, and voluntarily enrolled in this study.</t>
  </si>
  <si>
    <t>8-plex Luminex</t>
  </si>
  <si>
    <t>Xu 2024 (Stage 1)</t>
  </si>
  <si>
    <t>Xu 2024 (Stage 2)</t>
  </si>
  <si>
    <t>Fujian Medical University, Southeast China</t>
  </si>
  <si>
    <t>Age of onset, site of onset, BMI at baseline, ALSFRS-R score at baseline, progression rate (∆ALSFRS-R), diagnostic delay, use of riluzole, use of NIPPV, acceptance of PEG, and serum uric acid levels.</t>
  </si>
  <si>
    <t>Faster disease progression was defined as ∆ALSFRS-R &gt; 0.63; cut-off determined by X-tile software (data-driven cutoff)</t>
  </si>
  <si>
    <t>above vs below cut-off (set by X-tile)</t>
  </si>
  <si>
    <t>serum NfL + urinary N-terminal titin fragment</t>
  </si>
  <si>
    <t>age at onset, duration from onset, bulbar versus non-bulbar onset, definite versus probable ALS, diagnostic delay from onset, frontotemporal dementia, progression rate defined by the slope on the ALSFRS-R, % FVC</t>
  </si>
  <si>
    <t>Guangdong Provincial Hospital of Chinese Medicine</t>
  </si>
  <si>
    <t>Eosinophils</t>
  </si>
  <si>
    <t>Second Hospital of Hebei Medical University</t>
  </si>
  <si>
    <t>automatic hematological analysis (UniCel DxH 800 Coulter Cellular Analysis System, Beckman Coulter)</t>
  </si>
  <si>
    <t>automatic hematological analysis</t>
  </si>
  <si>
    <t>Routine blood test results were collected from 66 healthy controls.</t>
  </si>
  <si>
    <t>eosinophils</t>
  </si>
  <si>
    <t>percentage</t>
  </si>
  <si>
    <t>Slow: ∆FS &lt; 0.5, Intermediate: ∆FS = 0.5–1.0, Rapid: ∆FS &gt; 1.0</t>
  </si>
  <si>
    <t>West China Hospital, Sichuan University</t>
  </si>
  <si>
    <t>Methylation Capture Bisulfite Sequencing (MC-seq)</t>
  </si>
  <si>
    <t>MC-seq</t>
  </si>
  <si>
    <t>R-DMR_PRDM8</t>
  </si>
  <si>
    <t>R-DMR_ANKRD33</t>
  </si>
  <si>
    <t>Second Affiliated Hospital, Key Laboratory of Medical Neurobiology of Zhejiang Province, Zhejiang University School of Medicine, Hangzhou, China</t>
  </si>
  <si>
    <t>Cohort from the ALS biomarkers study(REC reference 09/H0703/27), London, UK</t>
  </si>
  <si>
    <t>sCD11b</t>
  </si>
  <si>
    <t>Delta FRS &lt; -1.0 points/month (fast-progressing ALS), Delta FRS &gt; -0.5 points/month (slow-progressing ALS)</t>
  </si>
  <si>
    <t>ELH-ITGAM—RayBio</t>
  </si>
  <si>
    <t>Age at baseline, sex, ALSFRS-R at baseline, deltaFRS, onset site</t>
  </si>
  <si>
    <t>CD11b+NCM</t>
  </si>
  <si>
    <t>Age at baseline, sex, ALSFRS-R at baseline, deltaFRS, onset site, NfL</t>
  </si>
  <si>
    <t>Non-neurological controls</t>
  </si>
  <si>
    <t>sCD11b+NCM</t>
  </si>
  <si>
    <t>ALS biomarkers study(REC reference 09/H0703/27), London, UK</t>
  </si>
  <si>
    <t>ALS Biomarker study, AMBRoSIA study</t>
  </si>
  <si>
    <t>Cytometry by time-of-flight (CyTOF), Flow cytometry (FC)</t>
  </si>
  <si>
    <t>Yildiz 2023 (CyTOF)</t>
  </si>
  <si>
    <t>Yildiz 2023 (FC)</t>
  </si>
  <si>
    <t>Yildiz 2023 (FC-senescence)</t>
  </si>
  <si>
    <t xml:space="preserve"> progression rate from baseline (V1) to the last visi</t>
  </si>
  <si>
    <t>CyTOF</t>
  </si>
  <si>
    <t>Senescent-like CD4+CD27-CD57+ T cells</t>
  </si>
  <si>
    <t>Senescent T cells (CD4+CD27-CD57+)</t>
  </si>
  <si>
    <t>age at V1, A-B, ΔFRS, diagnostic delay, ALSFRS-R at V1, and sex</t>
  </si>
  <si>
    <t>M-Tc (Memory CD8+ T cells)</t>
  </si>
  <si>
    <t>M-Tregs (Memory T regulatory cells)</t>
  </si>
  <si>
    <t>LM-B (Late Memory B cells )</t>
  </si>
  <si>
    <t>CD95+CD8 Tcells</t>
  </si>
  <si>
    <t>Apulia region, SLAP registry</t>
  </si>
  <si>
    <t>ultrasensitive single-molecule array (Simoa) platform provided by Quanterix</t>
  </si>
  <si>
    <t>According to the quartile of ΔFS, slow (below the 25th percentile, &lt;0.225), intermediate (between or equal to 0.225 and 0.800), and fast progressors (above the 75th percentile, &gt;0.800) groups were defined.</t>
  </si>
  <si>
    <t>DNAm-age acceleration</t>
  </si>
  <si>
    <t>Infinium MethylationEPIC chip for genome-wide DNA methylation analysis.</t>
  </si>
  <si>
    <t>genome-wide DNA methylation analysis</t>
  </si>
  <si>
    <t>age at last follow-up, sex, site of onset</t>
  </si>
  <si>
    <t>Canada, China</t>
  </si>
  <si>
    <t>University of Toronto, Sunnybrook Health Sciences Centre, Canada.  Tongji University, Shanghai.</t>
  </si>
  <si>
    <t>First Affiliated Hospital of Fujian Medical University</t>
  </si>
  <si>
    <t>Surface-enhanced Raman spectroscopy</t>
  </si>
  <si>
    <t>Short-duration group (≤3 years): 62, Long-duration group (&gt;3 years): 76</t>
  </si>
  <si>
    <t>immunoturbidimetric assay</t>
  </si>
  <si>
    <t>Pyrogallol red method</t>
  </si>
  <si>
    <t>HLA-DRA</t>
  </si>
  <si>
    <t>Onset Age, age at LP, ALSFRS-R</t>
  </si>
  <si>
    <t>Xiangya Hospital of Central South University</t>
  </si>
  <si>
    <t>Umeå University Hospital</t>
  </si>
  <si>
    <t>above vs below mean-value</t>
  </si>
  <si>
    <t>Age of onset, Onset form (bulbar vs. limb), Diagnostic delay, DPR, Creatinine levels</t>
  </si>
  <si>
    <t>automatic analyzer using the immuno-turbidimetric assay.</t>
  </si>
  <si>
    <t>Bellaria Hospital (Bologna, Italy)</t>
  </si>
  <si>
    <t>Palermo University Hospital</t>
  </si>
  <si>
    <t>Sydney, ForeFront clinics</t>
  </si>
  <si>
    <t>Tours, University Hospital of Tours</t>
  </si>
  <si>
    <t>Tours, ALS centre</t>
  </si>
  <si>
    <t>Charles University, University Hospital Motol</t>
  </si>
  <si>
    <t>Houston, Peggy and Gary Edwards ALS Laboratory</t>
  </si>
  <si>
    <t>Macquarie University, Sydney</t>
  </si>
  <si>
    <t>Turin, University of Turin</t>
  </si>
  <si>
    <t>Timone Hospital Referral Centre for Neuromuscular Diseases and ALS</t>
  </si>
  <si>
    <t>Université Montpellier</t>
  </si>
  <si>
    <t>Washington University (WU), Massachusetts General Hospital (MGH), University Medical Center Utrecht (Utrecht), University of Massachusetts, Columbia University Medical Center, Cedars-Sinai Medical Center, and Johns Hopkins University</t>
  </si>
  <si>
    <t>NEALS Consortium biorepository housed at the Neurological Clinical Research Institute (NCRI) at Massachusetts General Hospital</t>
  </si>
  <si>
    <t>Bonn University</t>
  </si>
  <si>
    <t>Chang Gung Memorial Hospital, Chang Gung University</t>
  </si>
  <si>
    <t>DESCRIBE multicenter cohort (DZNE)</t>
  </si>
  <si>
    <t>Hospital de la Santa Creu i Sant Pau</t>
  </si>
  <si>
    <t>Moscow, Research Center for Neurology</t>
  </si>
  <si>
    <t>Taipei Medical University</t>
  </si>
  <si>
    <t>Fudan University Huashan Hospital and Fujian Medical University Union Hospital</t>
  </si>
  <si>
    <t>Lisbon, Universidade de Lisboa</t>
  </si>
  <si>
    <t>University of Pennsylvania, Philadelphia</t>
  </si>
  <si>
    <t>Iran University</t>
  </si>
  <si>
    <t>Oxford, University of Oxford</t>
  </si>
  <si>
    <t>Sant Pau, MND Clinic at Hospital de la Santa Creu i Sant Pau</t>
  </si>
  <si>
    <t>Leuven, University Hospitals Leuven</t>
  </si>
  <si>
    <t>Oxford Motor Nerve Clinic</t>
  </si>
  <si>
    <t>Mitotarget/TRO19622 trial</t>
  </si>
  <si>
    <t>Naples, University of Naples</t>
  </si>
  <si>
    <t>Nils, University of Nis</t>
  </si>
  <si>
    <t>Sapienza University of Rome, San Camillo Hospital—Forlanini of Rome, Policlinico Umberto I of Rome, Azienda Ospedaliera Universitaria ‘Città della Salute e della Scienza’ of Turin, Fondazione Policlinico Universitario A. Gemelli IRCCS of Rome</t>
  </si>
  <si>
    <t>Milan, Fondazione IRCCS Ca’ Granda Ospedale Maggiore Policlinico di Milano</t>
  </si>
  <si>
    <t>Milan, San Rafaele University</t>
  </si>
  <si>
    <t>Tianjin First Central Hospital</t>
  </si>
  <si>
    <t>Lozano Blesa and Arnau de Vilanova University Hospital</t>
  </si>
  <si>
    <t>Pisa University</t>
  </si>
  <si>
    <t>Tokushima University</t>
  </si>
  <si>
    <t>Ulm University</t>
  </si>
  <si>
    <t>Ruijin Hospital, affiliated with Shanghai Jiao Tong University School of Medicine</t>
  </si>
  <si>
    <t>OnWebDUALS-consortium (Hannover Medical School, Faculty of Medicine Lisbon, Medical University Warsaw, Friedrich Schiller University Jena, Akdeniz University Faculty of Medicine, Antalya)</t>
  </si>
  <si>
    <t>The University of Queensland, Brisbane</t>
  </si>
  <si>
    <t>University Medical Centre (UMC; Utrecht, the Netherlands)</t>
  </si>
  <si>
    <t>Royal Brisbane and Women's Hospital (RBWH; Brisbane, QLD, Australia), University of Queensland</t>
  </si>
  <si>
    <t>RBWH, UMC</t>
  </si>
  <si>
    <t>Peking Union Medical College Hospital</t>
  </si>
  <si>
    <t>Massachusetts General Hospital</t>
  </si>
  <si>
    <t>Nagoya University</t>
  </si>
  <si>
    <t>Karolinska University Hospital, Stockholm</t>
  </si>
  <si>
    <t>UMC Utrecht Brain Cente</t>
  </si>
  <si>
    <t>University Hospital Regensburg</t>
  </si>
  <si>
    <t>Oxford, BioMOx study, Ulm University</t>
  </si>
  <si>
    <t>Kyoto Prefectural University of Medicine</t>
  </si>
  <si>
    <t>revised_El_escorial_2015, excluding suspected</t>
  </si>
  <si>
    <t>Chandigarh, Post Graduate Institute of Medical Education and Research (PGIMER)</t>
  </si>
  <si>
    <t>Age, BMI, plasma VEGFR2, plasma OPTN, CSF VEGF, CSF VEGFR2, CSF TDP43</t>
  </si>
  <si>
    <t>Copenhagen, Rigshospitalet, Bispebjerg hospital</t>
  </si>
  <si>
    <t>Palacky University and University Hospital Olomouc</t>
  </si>
  <si>
    <t>two Italian centers (San Giovanni Rotondo and Modena), one in the Republic of Moldova (Chisinau), and one in Romania (Cluj-Napoca)</t>
  </si>
  <si>
    <t>Li 2022-4</t>
  </si>
  <si>
    <t>NAD+ metabolism-released gene signature (NPRS)</t>
  </si>
  <si>
    <t>Microarray gene expression profiling</t>
  </si>
  <si>
    <t>Illumina HumanHT-12 V3.0 and HumanHT-12 V4.0 expression beadchip arrays</t>
  </si>
  <si>
    <t>GSE112676 and GSE112680 dataset</t>
  </si>
  <si>
    <t>Li 2022-4 (training)</t>
  </si>
  <si>
    <t>Li 2022-4 (validation)</t>
  </si>
  <si>
    <t>Age at onset, site of onset, sex</t>
  </si>
  <si>
    <t>Modena University Hospital</t>
  </si>
  <si>
    <t>Ulster University</t>
  </si>
  <si>
    <t>Universitätsmedizin Berlin</t>
  </si>
  <si>
    <t>Columbia University, Eleanor and Lou Gehrig ALS Center</t>
  </si>
  <si>
    <t>Târgu Mures, University of Medicine, Pharmacy, Science and Technology of Târgu Mures</t>
  </si>
  <si>
    <t>University of Michigan Pranger ALS Clinic</t>
  </si>
  <si>
    <t>stockholm</t>
  </si>
  <si>
    <t>Swabia ALS registry, Ulm University</t>
  </si>
  <si>
    <t>Shiga University of Medical Science</t>
  </si>
  <si>
    <t>Juntendo University</t>
  </si>
  <si>
    <t>University of Pensylvania, Penn Comprehensive ALS Center</t>
  </si>
  <si>
    <t>CENTAUR  clinical trial</t>
  </si>
  <si>
    <t>VALOR and OLE clinical trial</t>
  </si>
  <si>
    <t>Tehran, Tehran University of Medical Sciences</t>
  </si>
  <si>
    <t>University of Sydney Brain and Mind Centre</t>
  </si>
  <si>
    <t>University of Campania</t>
  </si>
  <si>
    <t>London, ABC (ALS biomarkers study cohort)</t>
  </si>
  <si>
    <t>Siena, University of Siena</t>
  </si>
  <si>
    <t>Gothenburg, University Hospital in Gothenburg</t>
  </si>
  <si>
    <t>Padua, University of Padua</t>
  </si>
  <si>
    <t>Shanxi Medical University</t>
  </si>
  <si>
    <t>Ain Shams University</t>
  </si>
  <si>
    <t>IRCCS Mondino Foundation, Pavia</t>
  </si>
  <si>
    <t>Chiba University</t>
  </si>
  <si>
    <t>Montpellier ALS reference centre, Univ Montpellier</t>
  </si>
  <si>
    <t>Tours</t>
  </si>
  <si>
    <t>The KCL cohort: (n = 805) collated at the Maurice Wohl Clinical Neuroscience Institute, King’s College London. Lund cohort consisted of 1464 participants enrolled as part of the prospective and longitudinal Swedish BioFINDER stud</t>
  </si>
  <si>
    <t>"Rapid" cases: ALSFRS-R slope ≥ 0.5 points/month</t>
  </si>
  <si>
    <t>University Hospital of Sassari, ATS (Azienda Tutela Salute) clinic</t>
  </si>
  <si>
    <t>TDP43 misfolding</t>
  </si>
  <si>
    <t>VAPB ER-aggregates</t>
  </si>
  <si>
    <t>VAPB ER-Aggregates</t>
  </si>
  <si>
    <t>Hospital de Santa Maria, Lisbon</t>
  </si>
  <si>
    <t>University of Ljubljana</t>
  </si>
  <si>
    <t>Centro Hospitalar Universitário de Lisboa-Norte</t>
  </si>
  <si>
    <t xml:space="preserve">NEALS Biofluid Repository </t>
  </si>
  <si>
    <t>Otto-von-Guericke University Magdeburg</t>
  </si>
  <si>
    <t>TDP-43</t>
  </si>
  <si>
    <t>per 1000 units increase</t>
  </si>
  <si>
    <t>per 1 unit increase</t>
  </si>
  <si>
    <t>CZE-MS</t>
  </si>
  <si>
    <t>Chip-based CZE and Mass spectroscopy - LDA: Linear Discriminant Analysis model and SVM: Support Vector Machine approach</t>
  </si>
  <si>
    <t>HR_death_cont_lCI</t>
  </si>
  <si>
    <t>HR_death_categ_lCI</t>
  </si>
  <si>
    <t>aHR_death_cont_lCI</t>
  </si>
  <si>
    <t>aHR_death_categ_lCI</t>
  </si>
  <si>
    <t>HR_death_cont_uCI</t>
  </si>
  <si>
    <t>HR_death_categ_uCI</t>
  </si>
  <si>
    <t>aHR_death_cont_uCI</t>
  </si>
  <si>
    <t>aHR_death_categ_uCI</t>
  </si>
  <si>
    <t>IATI</t>
  </si>
  <si>
    <t>log10</t>
  </si>
  <si>
    <t>Targeted suspension bead array</t>
  </si>
  <si>
    <t>Targeted SBA</t>
  </si>
  <si>
    <t>cube root</t>
  </si>
  <si>
    <t>log10 &amp; z-score</t>
  </si>
  <si>
    <t>immuno-turbidimetric assay</t>
  </si>
  <si>
    <t>Age of onset, spinal onset, FVC, DPR, ALS-specific ECAS, latency from symptom onset, C3, C4, CRP, Ferritin, plasma NfL</t>
  </si>
  <si>
    <t>Age of onset, spinal onset, FVC, DPR, ALS-specific ECAS, latency from symptom onset, C3, C4, Ferritin, CK, plasma NfL</t>
  </si>
  <si>
    <t>Age of onset, spinal onset, FVC, DPR, ALS-specific ECAS, latency from symptom onset, C3, C4, CRP, CK, plasma NfL</t>
  </si>
  <si>
    <t>Age of onset, spinal onset, FVC, DPR, ALS-specific ECAS, latency from symptom onset, C4, CRP, Ferritin, CK, plasma NfL</t>
  </si>
  <si>
    <t>Age of onset, spinal onset, FVC, DPR, ALS-specific ECAS, latency from symptom onset, C3, CRP, Ferritin, CK, plasma NfL</t>
  </si>
  <si>
    <t>OCNSD, patients with other central nervous system diseases (OCNSDs) [including multiple system atrophy (MSA), subacute combined degeneration (SCD), multiple sclerosis (MS), corticobasal degeneration, progressive supranuclear palsy, spinocerebellar ataxia, Alzheimer’s disease, adrenoleukodystrophy, and acute myelitis]</t>
  </si>
  <si>
    <t>automated chemiluminescent enzyme immunoassay, Lumipulse G600II platform (Fujirebio, Gent, Belgium)</t>
  </si>
  <si>
    <t>clinical chemical assay</t>
  </si>
  <si>
    <t>Bereman 2020 (male)</t>
  </si>
  <si>
    <t>asymptomatic carrier</t>
  </si>
  <si>
    <t>10.1016/j.neuroscience.2024.11.003</t>
  </si>
  <si>
    <t>10.1038/s41467-025-57144-7</t>
  </si>
  <si>
    <t>10.1186/s12967-024-05767-7</t>
  </si>
  <si>
    <t>10.1186/s12974-025-03347-0</t>
  </si>
  <si>
    <t>10.3390/bios14120578</t>
  </si>
  <si>
    <t>10.1007/s12035-024-04671-x</t>
  </si>
  <si>
    <t>10.1016/j.cca.2024.119817</t>
  </si>
  <si>
    <t>10.1093/braincomms/fcae268</t>
  </si>
  <si>
    <t>10.1016/j.ebiom.2024.105323</t>
  </si>
  <si>
    <t>10.1002/mus.28287</t>
  </si>
  <si>
    <t>10.1111/ene.70055</t>
  </si>
  <si>
    <t>10.1016/j.jns.2024.123210</t>
  </si>
  <si>
    <t>10.1111/ene.70088</t>
  </si>
  <si>
    <t>10.3390/brainsci14070661</t>
  </si>
  <si>
    <t>10.3389/fneur.2024.1458184</t>
  </si>
  <si>
    <t>10.1002/ana.27133</t>
  </si>
  <si>
    <t>10.1007/s13760-025-02764-5</t>
  </si>
  <si>
    <t>10.1002/brb3.70256</t>
  </si>
  <si>
    <t>10.1016/j.nbd.2025.106823</t>
  </si>
  <si>
    <t>10.1111/ene.16400</t>
  </si>
  <si>
    <t>10.1016/j.compbiolchem.2024.108211</t>
  </si>
  <si>
    <t>10.1038/s41598-024-67165-9</t>
  </si>
  <si>
    <t>10.1007/s00415-024-12699-1</t>
  </si>
  <si>
    <t>10.1016/j.clineuro.2024.108691</t>
  </si>
  <si>
    <t>10.1002/ana.27208</t>
  </si>
  <si>
    <t>10.1007/s00415-024-12679-5</t>
  </si>
  <si>
    <t>10.1007/s10072-025-07994-2</t>
  </si>
  <si>
    <t>10.1186/s12920-025-02084-w</t>
  </si>
  <si>
    <t>10.1007/s12035-023-03835-5</t>
  </si>
  <si>
    <t>10.1002/acn3.52095</t>
  </si>
  <si>
    <t>10.3389/fneur.2024.1515252</t>
  </si>
  <si>
    <t>10.1186/s13578-025-01366-1</t>
  </si>
  <si>
    <t>10.1007/s12011-024-04391-2</t>
  </si>
  <si>
    <t>10.3389/ebm.2024.10401</t>
  </si>
  <si>
    <t>10.1111/ene.16493</t>
  </si>
  <si>
    <t>10.1002/mus.28093</t>
  </si>
  <si>
    <t>10.1007/s12035-025-04747-2</t>
  </si>
  <si>
    <t>10.1186/s12883-025-04091-x</t>
  </si>
  <si>
    <t>10.3390/biom14091076</t>
  </si>
  <si>
    <t>10.1007/s10072-024-07840-x</t>
  </si>
  <si>
    <t>10.3390/brainsci14020157</t>
  </si>
  <si>
    <t>10.3390/jcm13154542</t>
  </si>
  <si>
    <t>10.1212/wnl.0000000000213400</t>
  </si>
  <si>
    <t>10.1038/s41598-024-83281-y</t>
  </si>
  <si>
    <t>10.3389/fneur.2024.1418320</t>
  </si>
  <si>
    <t>10.1136/jnnp-2024-335177</t>
  </si>
  <si>
    <t>10.1093/brain/awad426</t>
  </si>
  <si>
    <t>10.1016/j.tice.2025.102780</t>
  </si>
  <si>
    <t>10.1080/21678421.2024.2435976</t>
  </si>
  <si>
    <t>10.1080/21678421.2024.2351187</t>
  </si>
  <si>
    <t>10.1371/journal.pone.0313307</t>
  </si>
  <si>
    <t>10.1080/21678421.2024.2428930</t>
  </si>
  <si>
    <t>10.1038/s41593-025-01914-5</t>
  </si>
  <si>
    <t>10.1016/j.heliyon.2024.e40696</t>
  </si>
  <si>
    <t>10.1007/s00415-025-12968-7</t>
  </si>
  <si>
    <t>10.1007/s00415-024-12774-7</t>
  </si>
  <si>
    <t>10.1016/j.bbi.2024.08.044</t>
  </si>
  <si>
    <t>10.1038/s41598-024-79511-y</t>
  </si>
  <si>
    <t>10.3389/fmolb.2024.1507498</t>
  </si>
  <si>
    <t>10.1111/ene.70014</t>
  </si>
  <si>
    <t>10.1093/braincomms/fcae271</t>
  </si>
  <si>
    <t>10.1080/21678421.2024.2423707</t>
  </si>
  <si>
    <t>10.1093/brain/awaf025</t>
  </si>
  <si>
    <t>10.1002/acn3.70001</t>
  </si>
  <si>
    <t>10.3174/ajnr.A8154</t>
  </si>
  <si>
    <t>10.3390/bios14110526</t>
  </si>
  <si>
    <t>10.1016/j.nbd.2024.106639</t>
  </si>
  <si>
    <t>10.1093/braincomms/fcae288</t>
  </si>
  <si>
    <t>10.1038/s41598-024-79910-1</t>
  </si>
  <si>
    <t>10.1002/ana.27054</t>
  </si>
  <si>
    <t>10.3389/fnins.2024.1514554</t>
  </si>
  <si>
    <t>10.1093/braincomms/fcae402</t>
  </si>
  <si>
    <t>10.32598/bcn.2021.3423.1</t>
  </si>
  <si>
    <t>10.1002/jcsm.13618</t>
  </si>
  <si>
    <t>10.3389/fimmu.2024.1508974</t>
  </si>
  <si>
    <t>Abbasi 2024</t>
  </si>
  <si>
    <t>Abu-Rumeileh 2025</t>
  </si>
  <si>
    <t>Agah 2024</t>
  </si>
  <si>
    <t>Álvarez-Sánchez 2025</t>
  </si>
  <si>
    <t>An 2024</t>
  </si>
  <si>
    <t>Apostolo 2025</t>
  </si>
  <si>
    <t>Ashrafzadeh-Kian 2024</t>
  </si>
  <si>
    <t>Banack 2024</t>
  </si>
  <si>
    <t>Benatar 2024</t>
  </si>
  <si>
    <t>Bhai 2025</t>
  </si>
  <si>
    <t>Calvi 2025</t>
  </si>
  <si>
    <t>Casiraghi 2024</t>
  </si>
  <si>
    <t>Chowdhury 2025</t>
  </si>
  <si>
    <t>Correia 2024</t>
  </si>
  <si>
    <t>Cui 2024</t>
  </si>
  <si>
    <t>Dezfouli 2025</t>
  </si>
  <si>
    <t>Dong 2025</t>
  </si>
  <si>
    <t>Dragoni 2025</t>
  </si>
  <si>
    <t>Dubbioso 2024</t>
  </si>
  <si>
    <t>Eshak 2024</t>
  </si>
  <si>
    <t>Femiano 2024</t>
  </si>
  <si>
    <t>Gagliardi 2024</t>
  </si>
  <si>
    <t>Ghaderi 2025</t>
  </si>
  <si>
    <t>Guo 2025</t>
  </si>
  <si>
    <t>Hafsteinsdóttir 2024</t>
  </si>
  <si>
    <t>Hamad 2025</t>
  </si>
  <si>
    <t>Harvey 2025</t>
  </si>
  <si>
    <t>Huang 2024</t>
  </si>
  <si>
    <t>Jacobsen 2024</t>
  </si>
  <si>
    <t>Jiao 2024</t>
  </si>
  <si>
    <t>Jin 2025</t>
  </si>
  <si>
    <t>Khoshdooz 2024</t>
  </si>
  <si>
    <t>Kõks 2024</t>
  </si>
  <si>
    <t>Li 2024</t>
  </si>
  <si>
    <t>Lindborg 2024</t>
  </si>
  <si>
    <t>Loher 2025</t>
  </si>
  <si>
    <t>Lu 2025</t>
  </si>
  <si>
    <t>Lucchi 2024</t>
  </si>
  <si>
    <t>Maity 2024</t>
  </si>
  <si>
    <t>Manera 2024</t>
  </si>
  <si>
    <t>Miyaue 2024</t>
  </si>
  <si>
    <t>Mondesert 2025</t>
  </si>
  <si>
    <t>Mravinacová 2025</t>
  </si>
  <si>
    <t>Nakamura 2024</t>
  </si>
  <si>
    <t>Noh 2025</t>
  </si>
  <si>
    <t>Nolano 2024</t>
  </si>
  <si>
    <t>Noli 2025</t>
  </si>
  <si>
    <t>Nona 2024</t>
  </si>
  <si>
    <t>Ohnari 2024</t>
  </si>
  <si>
    <t>Olofsson 2025</t>
  </si>
  <si>
    <t>Omar 2025</t>
  </si>
  <si>
    <t>Pappalardo 2024</t>
  </si>
  <si>
    <t>Paramasivan 2025</t>
  </si>
  <si>
    <t>Psychogios 2024</t>
  </si>
  <si>
    <t>Pupillo 2024</t>
  </si>
  <si>
    <t>Qin 2024</t>
  </si>
  <si>
    <t>Raineri 2024</t>
  </si>
  <si>
    <t>Risi 2025</t>
  </si>
  <si>
    <t>Roca-Pereira 2024</t>
  </si>
  <si>
    <t>Simkins 2025</t>
  </si>
  <si>
    <t>Tang 2025</t>
  </si>
  <si>
    <t>Thomas 2025</t>
  </si>
  <si>
    <t>Tilsley 2024</t>
  </si>
  <si>
    <t>Tkachenko 2024</t>
  </si>
  <si>
    <t>Ueno 2024</t>
  </si>
  <si>
    <t>Witzel 2024</t>
  </si>
  <si>
    <t>Yang 2025</t>
  </si>
  <si>
    <t>Yildiz 2025</t>
  </si>
  <si>
    <t>Zeinali 2024</t>
  </si>
  <si>
    <t>Zucchi 2024</t>
  </si>
  <si>
    <t>N#4</t>
  </si>
  <si>
    <t>N#7</t>
  </si>
  <si>
    <t>N#11</t>
  </si>
  <si>
    <t>N#20</t>
  </si>
  <si>
    <t>N#21</t>
  </si>
  <si>
    <t>N#22</t>
  </si>
  <si>
    <t>N#23</t>
  </si>
  <si>
    <t>N#28</t>
  </si>
  <si>
    <t>N#30</t>
  </si>
  <si>
    <t>N#35</t>
  </si>
  <si>
    <t>N#39</t>
  </si>
  <si>
    <t>N#42</t>
  </si>
  <si>
    <t>N#49</t>
  </si>
  <si>
    <t>N#52</t>
  </si>
  <si>
    <t>N#60</t>
  </si>
  <si>
    <t>N#67</t>
  </si>
  <si>
    <t>N#68</t>
  </si>
  <si>
    <t>N#70</t>
  </si>
  <si>
    <t>N#72</t>
  </si>
  <si>
    <t>N#73</t>
  </si>
  <si>
    <t>N#75</t>
  </si>
  <si>
    <t>N#81</t>
  </si>
  <si>
    <t>N#85</t>
  </si>
  <si>
    <t>N#90</t>
  </si>
  <si>
    <t>N#96</t>
  </si>
  <si>
    <t>N#97</t>
  </si>
  <si>
    <t>N#98</t>
  </si>
  <si>
    <t>N#99</t>
  </si>
  <si>
    <t>N#104</t>
  </si>
  <si>
    <t>N#111</t>
  </si>
  <si>
    <t>N#115</t>
  </si>
  <si>
    <t>N#117</t>
  </si>
  <si>
    <t>N#126</t>
  </si>
  <si>
    <t>N#131</t>
  </si>
  <si>
    <t>N#144</t>
  </si>
  <si>
    <t>N#151</t>
  </si>
  <si>
    <t>N#152</t>
  </si>
  <si>
    <t>N#154</t>
  </si>
  <si>
    <t>N#155</t>
  </si>
  <si>
    <t>N#159</t>
  </si>
  <si>
    <t>N#162</t>
  </si>
  <si>
    <t>N#170</t>
  </si>
  <si>
    <t>N#171</t>
  </si>
  <si>
    <t>N#176</t>
  </si>
  <si>
    <t>N#178</t>
  </si>
  <si>
    <t>N#204</t>
  </si>
  <si>
    <t>N#205</t>
  </si>
  <si>
    <t>N#206</t>
  </si>
  <si>
    <t>N#207</t>
  </si>
  <si>
    <t>N#208</t>
  </si>
  <si>
    <t>N#209</t>
  </si>
  <si>
    <t>N#213</t>
  </si>
  <si>
    <t>N#214</t>
  </si>
  <si>
    <t>N#219</t>
  </si>
  <si>
    <t>N#220</t>
  </si>
  <si>
    <t>N#226</t>
  </si>
  <si>
    <t>N#227</t>
  </si>
  <si>
    <t>N#229</t>
  </si>
  <si>
    <t>N#231</t>
  </si>
  <si>
    <t>N#236</t>
  </si>
  <si>
    <t>N#237</t>
  </si>
  <si>
    <t>N#248</t>
  </si>
  <si>
    <t>N#262</t>
  </si>
  <si>
    <t>N#265</t>
  </si>
  <si>
    <t>N#267</t>
  </si>
  <si>
    <t>N#268</t>
  </si>
  <si>
    <t>N#273</t>
  </si>
  <si>
    <t>N#276</t>
  </si>
  <si>
    <t>N#280</t>
  </si>
  <si>
    <t>N#287</t>
  </si>
  <si>
    <t>N#296</t>
  </si>
  <si>
    <t>N#298</t>
  </si>
  <si>
    <t>N#301</t>
  </si>
  <si>
    <t>N#308</t>
  </si>
  <si>
    <t>N#310</t>
  </si>
  <si>
    <t>Unveiling the veil of adipokines: A&lt;i&gt; meta&lt;/i&gt;-analysis and systematic review in amyotrophic lateral sclerosis</t>
  </si>
  <si>
    <t>Abbasi, H.; Jourabchi-ghadim, N.; Asgarzade, A.; Mirshekari, M.; Ebrahimi-Mameghani, M.</t>
  </si>
  <si>
    <t>Neuroscience</t>
  </si>
  <si>
    <t>Phosphorylated tau 181 and 217 are elevated in serum and muscle of patients with amyotrophic lateral sclerosis</t>
  </si>
  <si>
    <t>Abu-Rumeileh, S.; Scholle, L.; Mensch, A.; Großkopf, H.; Ratti, A.; Kölsch, A.; Stoltenburg-Didinger, G.; Conrad, J.; De Gobbi, A.; Barba, L.; Steinacker, P.; Klafki, H. W.; Oeckl, P.; Halbgebauer, S.; Stapf, C.; Posa, A.; Kendzierski, T.; Silani, V.; Hausner, L.; Ticozzi, N.; Froelich, L.; Weishaupt, J. H.; Verde, F.; Otto, M.</t>
  </si>
  <si>
    <t>CSF and blood levels of Neurofilaments, T-Tau, P-Tau, and Abeta-42 in amyotrophic lateral sclerosis: a systematic review and meta-analysis</t>
  </si>
  <si>
    <t>Agah, E.; Mojtabavi, H.; Behkar, A.; Heidari, A.; Ajdari, A.; Shaka, Z.; Mousavi, S. V.; Firoozeh, N.; Tafakhori, A.; Rezaei, N.</t>
  </si>
  <si>
    <t>Journal of Translational Medicine</t>
  </si>
  <si>
    <t>Single-cell RNA sequencing highlights the role of distinct natural killer subsets in sporadic amyotrophic lateral sclerosis</t>
  </si>
  <si>
    <t>Álvarez-Sánchez, E.; Carbayo, Á; Valle-Tamayo, N.; Muñoz, L.; Aumatell, J.; Torres, S.; Rubio-Guerra, S.; García-Castro, J.; Selma-González, J.; Alcolea, D.; Turon-Sans, J.; Lleó, A.; Illán-Gala, I.; Fortea, J.; Rojas-García, R.; Dols-Icardo, O.</t>
  </si>
  <si>
    <t>Development of a Sensitive and Reliable Meso Scale Discovery-Based Electrochemiluminescence Immunoassay to Quantify TDP-43 in Human Biofluids</t>
  </si>
  <si>
    <t>An, J.; Gopalakrishnan, L.; Ortega, V.; Saul, J.; Kadali, R.; Bowser, R.</t>
  </si>
  <si>
    <t>Biosensors (Basel)</t>
  </si>
  <si>
    <t>Lower Circulating Gas6 Levels Are Associated with Bulbar Phenotype and Faster Disease Progression in Amyotrophic Lateral Sclerosis Patients</t>
  </si>
  <si>
    <t>Apostolo, D.; Ferreira, L. L.; D'Onghia, D.; Vincenzi, F.; Vercellino, N.; Perazzi, M.; Pirisi, M.; Cantello, R.; Minisini, R.; Mazzini, L.; Bellan, M.; De Marchi, F.</t>
  </si>
  <si>
    <t>Head-to-head comparison of four plasma neurofilament light chain (NfL) immunoassays</t>
  </si>
  <si>
    <t>Ashrafzadeh-Kian, S.; Figdore, D.; Larson, B.; Deters, R.; Abou-Diwan, C.; Bornhorst, J.; Algeciras-Schimnich, A.</t>
  </si>
  <si>
    <t>Clin Chim Acta</t>
  </si>
  <si>
    <t>A microRNA diagnostic biomarker for amyotrophic lateral sclerosis</t>
  </si>
  <si>
    <t>Banack, S. A.; Dunlop, R. A.; Mehta, P.; Mitsumoto, H.; Wood, S. P.; Han, M.; Cox, P. A.</t>
  </si>
  <si>
    <t>fcae268</t>
  </si>
  <si>
    <t>Prognostic clinical and biological markers for amyotrophic lateral sclerosis disease progression: validation and implications for clinical trial design and analysis</t>
  </si>
  <si>
    <t>Benatar, M.; Macklin, E. A.; Malaspina, A.; Rogers, M. L.; Hornstein, E.; Lombardi, V.; Renfrey, D.; Shepheard, S.; Magen, I.; Cohen, Y.; Granit, V.; Statland, J. M.; Heckmann, J. M.; Rademakers, R.; McHutchison, C. A.; Petrucelli, L.; McMillan, C. T.; Wuu, J.</t>
  </si>
  <si>
    <t>A 40-week phase 2B randomized, multicenter, double-blind, placebo-controlled study evaluating the safety and efficacy of memantine in amyotrophic lateral sclerosis</t>
  </si>
  <si>
    <t>Bhai, S.; Levine, T.; Moore, D.; Bowser, R.; Heim, A. J.; Walsh, M.; Shibani, A.; Simmons, Z.; Grogan, J.; Goyal, N. A.; Govindarajan, R.; Hussain, Y.; Papsdorf, T.; Schwasinger-Schmidt, T.; Olney, N.; Goslin, K.; Pulley, M.; Kasarskis, E.; Weiss, M.; Katz, S. W.; Moser, S.; Jabari, D.; Jawdat, O.; Statland, J.; Dimachkie, M. M.; Barohn, R.</t>
  </si>
  <si>
    <t>63-72</t>
  </si>
  <si>
    <t>MEPs and MRI Motor Band Sign as Potential Complementary Markers of Upper Motor Neuron Involvement in Amyotrophic Lateral Sclerosis</t>
  </si>
  <si>
    <t>Calvi, F.; Fortuna, A.; Bello, L.; Anglani, M.; Cecchin, D.; Sabbatini, D.; Andrigo, C.; Ferullo, M.; Ruggero, S.; Falda, M.; Pegoraro, E.; Sorarù, G.</t>
  </si>
  <si>
    <t>Quantification of serum TDP-43 and neurofilament light chain in patients with amyotrophic lateral sclerosis stratified by UNC13A genotype</t>
  </si>
  <si>
    <t>Casiraghi, V.; Milone, I.; Brusati, A.; Peverelli, S.; Doretti, A.; Poletti, B.; Maderna, L.; Morelli, C.; Ticozzi, N.; Silani, V.; Verde, F.; Ratti, A.</t>
  </si>
  <si>
    <t>Elevated Serum MCP-2 and TARC Associated With Increased Risk of Death in Guamanian ALS Patients</t>
  </si>
  <si>
    <t>Chowdhury, R. N.; Azam, M. A.; Azam, S. A.; Lana, S.; Culver, E. N.; Garruto, R. M.; Wander, K.</t>
  </si>
  <si>
    <t>e70088</t>
  </si>
  <si>
    <t>Creatine Kinase and Respiratory Decline in Amyotrophic Lateral Sclerosis</t>
  </si>
  <si>
    <t>Correia, J. P.; Gromicho, M.; Pronto-Laborinho, A. C.; Oliveira Santos, M.; de Carvalho, M.</t>
  </si>
  <si>
    <t>Protective role of serum albumin in dementia: a prospective study from United Kingdom biobank</t>
  </si>
  <si>
    <t>Cui, Y.; Li, C.; Ke, B.; Xiao, Y.; Wang, S.; Jiang, Q.; Zheng, X.; Lin, J.; Huang, J.; Shang, H.</t>
  </si>
  <si>
    <t>Elevated Cerebrospinal Fluid Ubiquitin Carboxyl-Terminal Hydrolase Isozyme L1 in Asymptomatic C9orf72 Hexanucleotide Repeat Expansion Carriers</t>
  </si>
  <si>
    <t>Dellar, E. R.; Vendrell, I.; Amein, B.; Lester, D. G.; Edmond, E. C.; Yoganathan, K.; Dharmadasa, T.; Sogorb-Esteve, A.; Fischer, R.; Talbot, K.; Rohrer, J. D.; Turner, M. R.; Thompson, A. G.</t>
  </si>
  <si>
    <t>449-459</t>
  </si>
  <si>
    <t>Circulating miR-223/NLRP3 axis and IL-1β level in functional disease progression of amyotrophic lateral sclerosis</t>
  </si>
  <si>
    <t>Dezfouli, M. A.; Shalilahmadi, D.; Shamsaei, G.; Esmaeili, A.; Majdinasab, N.; Rashidi, S. K.</t>
  </si>
  <si>
    <t>Acta Neurol Belg</t>
  </si>
  <si>
    <t>Prognostic Value of Cerebrospinal Fluid and Serum Neurofilament Light Chain in Amyotrophic Lateral Sclerosis: A Correlation Study</t>
  </si>
  <si>
    <t>Dong, S.; Liu, X.; Zhou, Y.; Li, J.; Qi, Z.; Wang, Z.; Yang, W.; Chen, X.</t>
  </si>
  <si>
    <t>e70256</t>
  </si>
  <si>
    <t>Whole transcriptome analysis of unmutated sporadic ALS patients' peripheral blood reveals phenotype-specific gene expression signature</t>
  </si>
  <si>
    <t>Dragoni, F.; Garofalo, M.; Di Gerlando, R.; Rizzo, B.; Bordoni, M.; Scarian, E.; Viola, C.; Bettoni, V.; Fiamingo, G.; Tornabene, D.; Scanu, L.; Pansarasa, O.; Diamanti, L.; Gagliardi, S.</t>
  </si>
  <si>
    <t>Circulating endocannabinoidome signatures of disease activity in amyotrophic lateral sclerosis</t>
  </si>
  <si>
    <t>Dubbioso, R.; Iannotti, F. A.; Senerchia, G.; Verde, R.; Iuzzolino, V. V.; Spisto, M.; Fasolino, I.; Manganelli, F.; Di Marzo, V.; Piscitelli, F.</t>
  </si>
  <si>
    <t>e16400</t>
  </si>
  <si>
    <t>Unveiling therapeutic biomarkers and druggable targets in ALS: An integrative microarray analysis, molecular docking, and structural dynamic studies</t>
  </si>
  <si>
    <t>Eshak, D.; Arumugam, M.</t>
  </si>
  <si>
    <t>Comput Biol Chem</t>
  </si>
  <si>
    <t>Inflammatory signature in amyotrophic lateral sclerosis predicting disease progression</t>
  </si>
  <si>
    <t>Femiano, C.; Bruno, A.; Gilio, L.; Buttari, F.; Dolcetti, E.; Galifi, G.; Azzolini, F.; Borrelli, A.; Furlan, R.; Finardi, A.; Musella, A.; Mandolesi, G.; Storto, M.; Centonze, D.; Stampanoni Bassi, M.</t>
  </si>
  <si>
    <t>Exploiting the role of CSF NfL, CHIT1, and miR-181b as potential diagnostic and prognostic biomarkers for ALS</t>
  </si>
  <si>
    <t>Gagliardi, D.; Rizzuti, M.; Masrori, P.; Saccomanno, D.; Del Bo, R.; Sali, L.; Meneri, M.; Scarcella, S.; Milone, I.; Hersmus, N.; Ratti, A.; Ticozzi, N.; Silani, V.; Poesen, K.; Van Damme, P.; Comi, G. P.; Corti, S.; Verde, F.</t>
  </si>
  <si>
    <t>7557-7571</t>
  </si>
  <si>
    <t>Current evidence of arterial spin labeling in amyotrophic lateral sclerosis: A systematic review</t>
  </si>
  <si>
    <t>Ghaderi, S.; Mohammadi, S.; Fatehi, F.</t>
  </si>
  <si>
    <t>Longitudinal Metabolomics in Amyotrophic Lateral Sclerosis Implicates Impaired Lipid Metabolism</t>
  </si>
  <si>
    <t>Guo, K.; Savelieff, M. G.; Jang, D. G.; Teener, S. J.; Zhao, L.; Hur, J.; Goutman, S. A.; Feldman, E. L.</t>
  </si>
  <si>
    <t>Neurofilament light chain as a diagnostic and prognostic biomarker in Guillain-Barré syndrome</t>
  </si>
  <si>
    <t>Hafsteinsdóttir, B.; Farman, H.; Lagerström, N.; Zetterberg, H.; Andersen, O.; Novakova, L.; Nellgård, B.; Rosén, H.; Malmeström, C.; Rosenstein, I.; Lycke, J.; Axelsson, M.</t>
  </si>
  <si>
    <t>7282-7293</t>
  </si>
  <si>
    <t>Tofersen for SOD1 amyotrophic lateral sclerosis: a systematic review and meta-analysis</t>
  </si>
  <si>
    <t>Hamad, A. A.; Alkhawaldeh, I. M.; Nashwan, A. J.; Meshref, M.; Imam, Y.</t>
  </si>
  <si>
    <t>Evaluation of a biomarker for amyotrophic lateral sclerosis derived from a hypomethylated DNA signature of human motor neurons</t>
  </si>
  <si>
    <t>Harvey, C.; Nowak, A.; Zhang, S.; Moll, T.; Weimer, A. K.; Barcons, A. M.; Souza, C. D. S.; Ferraiuolo, L.; Kenna, K.; Zaitlen, N.; Caggiano, C.; Shaw, P. J.; Snyder, M. P.; Mill, J.; Hannon, E.; Cooper-Knock, J.</t>
  </si>
  <si>
    <t>BMC Medical Genomics</t>
  </si>
  <si>
    <t>Lnc-HIBADH-4 Regulates Autophagy-Lysosome Pathway in Amyotrophic Lateral Sclerosis by Targeting Cathepsin D</t>
  </si>
  <si>
    <t>Huang, J.; Yu, Y.; Pang, D.; Li, C.; Wei, Q.; Cheng, Y.; Cui, Y.; Ou, R.; Shang, H.</t>
  </si>
  <si>
    <t>Molecular Neurobiology</t>
  </si>
  <si>
    <t>4768-4782</t>
  </si>
  <si>
    <t>Threshold tracking transcranial magnetic stimulation and neurofilament light chain as diagnostic aids in ALS</t>
  </si>
  <si>
    <t>Jacobsen, A. B.; Bostock, H.; Howells, J.; Cengiz, B.; Samusyte, G.; Koltzenburg, M.; Pia, H.; Fuglsang-Frederiksen, A.; Blicher, J.; Obál, I.; Andersen, H.; Tankisi, H.</t>
  </si>
  <si>
    <t>1887-1896</t>
  </si>
  <si>
    <t>sTREM2 cerebrospinal fluid levels are a potential biomarker in amyotrophic lateral sclerosis and associate with UMN burden</t>
  </si>
  <si>
    <t>Jiao, L.; Yang, J.; Wang, W.; Liu, X.; Fu, Y.; Fan, D.</t>
  </si>
  <si>
    <t>Whole-genome bisulfite sequencing of cell-free DNA unveils age-dependent and ALS-associated methylation alterations</t>
  </si>
  <si>
    <t>Jin, Y.; Conneely, K. N.; Ma, W.; Naviaux, R. K.; Siddique, T.; Allen, E. G.; Guingrich, S.; Pascuzzi, R. M.; Jin, P.</t>
  </si>
  <si>
    <t>Cell Biosci</t>
  </si>
  <si>
    <t>Iron-Status Indicators and HFE Gene Polymorphisms in Individuals with Amyotrophic Lateral Sclerosis: An Umbrella Review of Meta-analyses and Systematic Reviews</t>
  </si>
  <si>
    <t>Khoshdooz, S.; Abbasi, H.; Abbasi, M. M.</t>
  </si>
  <si>
    <t>Biol Trace Elem Res</t>
  </si>
  <si>
    <t>Whole blood transcriptome profile identifies motor neurone disease RNA biomarker signatures</t>
  </si>
  <si>
    <t>Kõks, S.; Rallmann, K.; Muldmaa, M.; Price, J.; Pfaff, A. L.; Taba, P.</t>
  </si>
  <si>
    <t>Exp Biol Med (Maywood)</t>
  </si>
  <si>
    <t>Elevated serum circulating cell-free mitochondrial DNA in amyotrophic lateral sclerosis</t>
  </si>
  <si>
    <t>Li, J.; Gao, C.; Wang, Q.; Liu, J.; Xie, Z.; Zhao, Y.; Yu, M.; Zheng, Y.; Lv, H.; Zhang, W.; Yuan, Y.; Meng, L.; Deng, J.; Wang, Z.</t>
  </si>
  <si>
    <t>e16493</t>
  </si>
  <si>
    <t>Debamestrocel multimodal effects on biomarker pathways in amyotrophic lateral sclerosis are linked to clinical outcomes</t>
  </si>
  <si>
    <t>Lindborg, S. R.; Goyal, N. A.; Katz, J.; Burford, M.; Li, J.; Kaspi, H.; Abramov, N.; Boulanger, B.; Berry, J. D.; Nicholson, K.; Mozaffar, T.; Miller, R.; Jenkins, L.; Baloh, R. H.; Lewis, R.; Staff, N. P.; Owegi, M. A.; Dagher, B.; Blondheim-Shraga, N. R.; Gothelf, Y.; Levy, Y. S.; Kern, R.; Aricha, R.; Windebank, A. J.; Bowser, R.; Brown, R. H., Jr.; Cudkowicz, M. E.</t>
  </si>
  <si>
    <t>719-729</t>
  </si>
  <si>
    <t>Re-Analyses of Samples From Amyotrophic Lateral Sclerosis Patients and Controls Identify Many Novel Small RNAs With Diagnostic And Prognostic Potential</t>
  </si>
  <si>
    <t>Loher, P.; Londin, E.; Ilieva, H.; Pasinelli, P.; Rigoutsos, I.</t>
  </si>
  <si>
    <t>Mendelian randomization of plasma proteomics identifies novel ALS-associated proteins and their GO enrichment and KEGG pathway analyses</t>
  </si>
  <si>
    <t>Lu, C.; Huang, X. X.; Huang, M.; Liu, C.; Xu, J.</t>
  </si>
  <si>
    <t>Reduced Levels of Neurosteroids in Cerebrospinal Fluid of Amyotrophic Lateral Sclerosis Patients</t>
  </si>
  <si>
    <t>Lucchi, C.; Simonini, C.; Rustichelli, C.; Avallone, R.; Zucchi, E.; Martinelli, I.; Biagini, G.; Mandrioli, J.</t>
  </si>
  <si>
    <t>Exploring dysregulated miRNAs in ALS: implications for disease pathogenesis and early diagnosis</t>
  </si>
  <si>
    <t>Maity, D.; Kaundal, R. K.</t>
  </si>
  <si>
    <t>2024 Nov</t>
  </si>
  <si>
    <t>Calculated Maximal Volume Ventilation (cMVV) as a Marker of Early Respiratory Failure in Amyotrophic Lateral Sclerosis (ALS)</t>
  </si>
  <si>
    <t>Manera, U.; Torrieri, M. C.; Moglia, C.; Canosa, A.; Vasta, R.; Palumbo, F.; Matteoni, E.; Cabras, S.; Grassano, M.; Bombaci, A.; Mattei, A.; Bellocchia, M.; Tabbia, G.; Ribolla, F.; Chio, A.; Calvo, A.</t>
  </si>
  <si>
    <t>CSF Neopterin Levels Are Elevated in Various Neurological Diseases and Aging</t>
  </si>
  <si>
    <t>Miyaue, N.; Yamanishi, Y.; Ito, Y.; Ando, R.; Nagai, M.</t>
  </si>
  <si>
    <t>Comparative Performances of 4 Serum NfL Assays, pTau181, and GFAP in Patients With Amyotrophic Lateral Sclerosis</t>
  </si>
  <si>
    <t>Mondesert, E.; Delaby, C.; De La Cruz, E.; Kuhle, J.; Benkert, P.; Pradeilles, N.; Duchiron, M.; Morchikh, M.; Camu, W.; Cristol, J. P.; Hirtz, C.; Esselin, F.; Lehmann, S.</t>
  </si>
  <si>
    <t>e213400</t>
  </si>
  <si>
    <t>Addressing inter individual variability in CSF levels of brain derived proteins across neurodegenerative diseases</t>
  </si>
  <si>
    <t>Mravinacová, S.; Bergström, S.; Olofsson, J.; de San José, N. G.; Anderl-Straub, S.; Diehl-Schmid, J.; Fassbender, K.; Fliessbach, K.; Jahn, H.; Kornhuber, J.; Landwehrmeyer, G. B.; Lauer, M.; Levin, J.; Ludolph, A. C.; Prudlo, J.; Schneider, A.; Schroeter, M. L.; Wiltfang, J.; Steinacker, P.; Otto, M.; Nilsson, P.; Månberg, A.</t>
  </si>
  <si>
    <t>Neuroinflammation and glycosylation-related cerebrospinal fluid proteins for predicting functional decline in amyotrophic lateral sclerosis: a proteomic study</t>
  </si>
  <si>
    <t>Nakamura, K.; Fujita, K.; Suzuki, M.; Kunugi, A.; Hirozane, Y.; Kunikata, T.; Takahashi, B.; Narazaki, G.; Kondo, H.; Haji, S.; Hirai, K.; Izumi, Y.</t>
  </si>
  <si>
    <t>miRNA-214 to predict progression and survival in ALS</t>
  </si>
  <si>
    <t>Noh, M. Y.; Kwon, M. S.; Oh, K. W.; Nahm, M.; Park, J.; Jin, H. K.; Bae, J. S.; Son, B.; Kim, S. H.</t>
  </si>
  <si>
    <t>Skin innervation across amyotrophic lateral sclerosis clinical stages: New prognostic biomarkers</t>
  </si>
  <si>
    <t>Nolano, Maria; Provitera, Vincenzo; Caporaso, Giuseppe; Fasolino, Ines; Borreca, Ilaria; Stancanelli, Annamaria; Iuzzolino, Valentina V.; Senerchia, Gianmaria; Vitale, Floriana; Tozza, Stefano; Ruggiero, Lucia; Iodice, Rosa; Ferrari, Sergio; Santoro, Lucio; Manganelli, Fiore; Dubbioso, Raffaele</t>
  </si>
  <si>
    <t>Brain: A Journal of Neurology</t>
  </si>
  <si>
    <t>1740-1750</t>
  </si>
  <si>
    <t>NERP-1 modifications in amyotrophic lateral sclerosis</t>
  </si>
  <si>
    <t>Noli, B.; Borghero, G.; Mascia, M. M.; Hkir, M.; Puligheddu, M.; Cocco, C.</t>
  </si>
  <si>
    <t>Tissue Cell</t>
  </si>
  <si>
    <t>Routine blood biochemical biomarkers in amyotrophic lateral sclerosis: Systematic review and cohort analysis</t>
  </si>
  <si>
    <t>Nona, R. J.; Henderson, R. D.; McCombe, P. A.</t>
  </si>
  <si>
    <t>Neutrophil-to-lymphocyte ratio at diagnosis as a biomarker for survival of amyotrophic lateral sclerosis</t>
  </si>
  <si>
    <t>452-464</t>
  </si>
  <si>
    <t>Fasciculation potentials are related to the prognosis of amyotrophic lateral sclerosis</t>
  </si>
  <si>
    <t>Ohnari, K.; Mafune, K.; Adachi, H.</t>
  </si>
  <si>
    <t>e0313307</t>
  </si>
  <si>
    <t>Cerebrospinal fluid levels of NfM in relation to NfL and pNfH as prognostic markers in amyotrophic lateral sclerosis</t>
  </si>
  <si>
    <t>Olofsson, J.; Bergström, S.; Mravinacová, S.; Kläppe, U.; Öijerstedt, L.; Zetterberg, H.; Blennow, K.; Ingre, C.; Nilsson, P.; Månberg, A.</t>
  </si>
  <si>
    <t>113-123</t>
  </si>
  <si>
    <t>Endothelial TDP-43 depletion disrupts core blood-brain barrier pathways in neurodegeneration</t>
  </si>
  <si>
    <t>Omar, O. M. F.; Kimble, A. L.; Cheemala, A.; Tyburski, J. D.; Pandey, S.; Wu, Q.; Reese, B.; Jellison, E. R.; Hao, B.; Li, Y.; Yan, R.; Murphy, P. A.</t>
  </si>
  <si>
    <t>Nat Neurosci</t>
  </si>
  <si>
    <t>Inferring gene regulatory networks of ALS from blood transcriptome profiles</t>
  </si>
  <si>
    <t>Pappalardo, X. G.; Jansen, G.; Amaradio, M.; Costanza, J.; Umeton, R.; Guarino, F.; De Pinto, V.; Oliver, S. G.; Messina, A.; Nicosia, G.</t>
  </si>
  <si>
    <t>e40696</t>
  </si>
  <si>
    <t>Upper motor neuron-predominant motor neuron disease: a novel immunotherapy-responsive association of GAD65 autoimmunity</t>
  </si>
  <si>
    <t>Paramasivan, N. K.; Sarker, P.; Zekeridou, A.; Staff, N. P.; Klein, C. J.; McKeon, A.; Pittock, S. J.; Dubey, D.</t>
  </si>
  <si>
    <t>Exploring clinical chemistry markers in amyotrophic lateral sclerosis: insights into survival and disease trajectories</t>
  </si>
  <si>
    <t>Psychogios, I.; Hu, Y.; Seitz, C.; Joyce, E. E.; Lovik, A.; Ingre, C.; Fang, F.</t>
  </si>
  <si>
    <t>Long-term survival of participants in a phase II randomized trial of RNS60 in amyotrophic lateral sclerosis</t>
  </si>
  <si>
    <t>Pupillo, E.; Bianchi, E.; Bonetto, V.; Pasetto, L.; Bendotti, C.; Paganoni, S.; Mandrioli, J.; Mazzini, L.</t>
  </si>
  <si>
    <t>456-462</t>
  </si>
  <si>
    <t>Identifying amyotrophic lateral sclerosis using diffusion tensor imaging, and correlation with neurofilament markers</t>
  </si>
  <si>
    <t>Qin, J.; Wang, X.; Fan, G.; Zhang, W.; Wu, X.; Wang, B.; Liu, Y.</t>
  </si>
  <si>
    <t>Circulating GLAST(+) EVs are increased in amyotrophic lateral sclerosis</t>
  </si>
  <si>
    <t>Raineri, D.; De Marchi, F.; Vilardo, B.; Barbero Mazzucca, C.; Scotti, L.; Kustrimovic, N.; Mazzini, L.; Cappellano, G.; Chiocchetti, A.</t>
  </si>
  <si>
    <t>Front Mol Biosci</t>
  </si>
  <si>
    <t>Mitochondrial DNA (mtDNA) as fluid biomarker in neurodegenerative disorders: A systematic review</t>
  </si>
  <si>
    <t>Risi, B.; Imarisio, A.; Cuconato, G.; Padovani, A.; Valente, E. M.; Filosto, M.</t>
  </si>
  <si>
    <t>Increased CXCL12, a potential CSF biomarker for differential diagnosis of amyotrophic lateral sclerosis</t>
  </si>
  <si>
    <t>Roca-Pereira, S.; Domínguez, R.; Moreno León, I.; Colomina, M. J.; Martínez Yélamos, A.; Martínez Yélamos, S.; Povedano, M.; Andrés-Benito, P.</t>
  </si>
  <si>
    <t>fcae271</t>
  </si>
  <si>
    <t>Plasma neurofilament analysis in VITALITY-ALS</t>
  </si>
  <si>
    <t>Simkins, T. J.; Kupfer, S.; Malik, F. I.; Meng, L.; Rudnicki, S. A.; Wei, J.; Shefner, J. M.; Bowser, R.</t>
  </si>
  <si>
    <t>103-112</t>
  </si>
  <si>
    <t>Deep learning analyses of splicing variants identify the link of PCP4 with amyotrophic lateral sclerosis</t>
  </si>
  <si>
    <t>Tang, X.; Chen, Y.; Ren, Y.; Yang, W.; Yu, W.; Zhou, Y.; Guo, J.; Hu, J.; Chen, X.; Gu, Y.; Wang, C.; Dong, Y.; Yang, H.; Sato, C.; He, J.; Fan, D.; You, L.; Zinman, L.; Rogaeva, E.; Chen, Y.; Zhang, M.</t>
  </si>
  <si>
    <t>Brain</t>
  </si>
  <si>
    <t>ALS plasma biomarkers reveal neurofilament and pTau correlate with disease onset and progression</t>
  </si>
  <si>
    <t>Thomas, E. V.; Han, C.; Kim, W. J.; Asress, S.; Li, Y.; Taylor, J. A.; Gearing, M.; Fournier, C. N.; McEachin, Z. T.; Seyfried, N. T.; Glass, J. D.</t>
  </si>
  <si>
    <t>Neurofilament Light Chain Levels Interact with Neurodegenerative Patterns and Motor Neuron Dysfunction in Amyotrophic Lateral Sclerosis</t>
  </si>
  <si>
    <t>Tilsley, P.; Moutiez, A.; Brodovitch, A.; El Mendili, M. M.; Testud, B.; Zaaraoui, W.; Verschueren, A.; Attarian, S.; Guye, M.; Boucraut, J.; Grapperon, A. M.; Stellmann, J. P.</t>
  </si>
  <si>
    <t>American Journal of Neuroradiology</t>
  </si>
  <si>
    <t>494-503</t>
  </si>
  <si>
    <t>Comparative Blood Profiling Based on ATR-FTIR Spectroscopy and Chemometrics for Differential Diagnosis of Patients with Amyotrophic Lateral Sclerosis-Pilot Study</t>
  </si>
  <si>
    <t>Tkachenko, K.; González-Saíz, J. M.; Calvo, A. C.; Lunetta, C.; Osta, R.; Pizarro, C.</t>
  </si>
  <si>
    <t>Current progress in microRNA profiling of circulating extracellular vesicles in amyotrophic lateral sclerosis: A systematic review</t>
  </si>
  <si>
    <t>Ueno, Y.; Morishima, Y.; Hata, T.; Shindo, A.; Murata, H.; Saito, T.; Nakamura, Y.; Shindo, K.</t>
  </si>
  <si>
    <t>Comparative analysis of neurofilaments and biomarkers of muscular damage in amyotrophic lateral sclerosis</t>
  </si>
  <si>
    <t>Vidovic, M.; Lapp, H. S.; Weber, C.; Plitzko, L.; Seifert, M.; Steinacker, P.; Otto, M.; Hermann, A.; Günther, R.</t>
  </si>
  <si>
    <t>fcae288</t>
  </si>
  <si>
    <t>Lower creatinine-to-cystatin c ratio associated with increased risk of incident amyotrophic lateral sclerosis in the prospective UK biobank cohort</t>
  </si>
  <si>
    <t>Wang, Z.; Cao, W.; Deng, B.; Fan, D.</t>
  </si>
  <si>
    <t>Population-Based Evidence for the Use of Serum Neurofilaments as Individual Diagnostic and Prognostic Biomarkers in Amyotrophic Lateral Sclerosis</t>
  </si>
  <si>
    <t>Witzel, S.; Huss, A.; Nagel, G.; Rosenbohm, A.; Rothenbacher, D.; Peter, R. S.; Bäzner, H.; Börtlein, A.; Dempewolf, S.; Schabet, M.; Hecht, M.; Kohler, A.; Opherk, C.; Naegele, A.; Sommer, N.; Lindner, A.; Alexudis, C.; Bachhuber, F.; Halbgebauer, S.; Brenner, D.; Ruf, W.; Weiland, U.; Mayer, B.; Schuster, J.; Dorst, J.; Tumani, H.; Ludolph, A. C.</t>
  </si>
  <si>
    <t>1040-1057</t>
  </si>
  <si>
    <t>Cortical thickness correlated with peripheral inflammatory cytokines in amyotrophic lateral sclerosis</t>
  </si>
  <si>
    <t>Yang, J.; Li, W. Y.; Tian, M.; Zhang, L.; Du, F. P.; Li, X.; Liu, Q.; Li, R.; Li, Z. Z.; Dong, H.; Liu, Y. L.</t>
  </si>
  <si>
    <t>Lipid-mediated resolution of inflammation and survival in amyotrophic lateral sclerosis</t>
  </si>
  <si>
    <t>Yildiz, O.; Hunt, G. P.; Schroth, J.; Dhillon, G.; Spargo, T. P.; Al-Chalabi, A.; Koks, S.; Turner, M. R.; Shaw, P. J.; Henson, S. M.; Iacoangeli, A.; Malaspina, A.</t>
  </si>
  <si>
    <t>fcae402</t>
  </si>
  <si>
    <t>Evaluation of Relationship Between Laboratory, Electrodiagnostic, and Functional Parameters in Patients With Amyotrophic Lateral Sclerosis; A Cross Sectional Study</t>
  </si>
  <si>
    <t>Zeinali, M.; Almasi Dooghaee, M.; Ziaee, M.; Haghi Ashtiani, B.</t>
  </si>
  <si>
    <t>Basic Clin Neurosci</t>
  </si>
  <si>
    <t>553-560</t>
  </si>
  <si>
    <t>Prognostic Value of Systemic Inflammation, Nutritional Status and Sarcopenia in Patients With Amyotrophic Lateral Sclerosis</t>
  </si>
  <si>
    <t>Zhu, Y.; Zhang, Y.; Li, M.; Bai, J.; Wang, H.; Pang, X.; Du, R.; Wang, J.; Huang, X.</t>
  </si>
  <si>
    <t>J Cachexia Sarcopenia Muscle</t>
  </si>
  <si>
    <t>2743-2755</t>
  </si>
  <si>
    <t>Tregs levels and phenotype modifications during Amyotrophic Lateral Sclerosis course</t>
  </si>
  <si>
    <t>Zucchi, E.; Banchelli, F.; Simonini, C.; De Biasi, S.; Martinelli, I.; Gianferrari, G.; Lo Tartaro, D.; Cossarizza, A.; D'Amico, R.; Mandrioli, J.</t>
  </si>
  <si>
    <t>Front Immunol</t>
  </si>
  <si>
    <t>Navarra and Barcelona cohorts (Navarrabiomed and Hospital de la Santa Creu i Sant Pau)</t>
  </si>
  <si>
    <t>Medical University of Innsbruck and Medical University of Vienna</t>
  </si>
  <si>
    <t>Arlie House diagnostic criteria from 1999</t>
  </si>
  <si>
    <t>Oslo University Hospital</t>
  </si>
  <si>
    <t>UK&amp;Netherlands</t>
  </si>
  <si>
    <t>ALS clinics in the UK; Brain tissue from Dutch National Brain Tissue Bank (Netherlands)</t>
  </si>
  <si>
    <t>Hannover Medical School</t>
  </si>
  <si>
    <t>PREV-DEMALS, Predict-PGRN, French research network on FTD/ALS,</t>
  </si>
  <si>
    <t>New Brunswick</t>
  </si>
  <si>
    <t>Kassel cohort-I, Paracelsus-Elena-Klinik</t>
  </si>
  <si>
    <t>Sassari, Sardinia</t>
  </si>
  <si>
    <t>UK Biobank</t>
  </si>
  <si>
    <t>NPX (Normalized Protein eXpression)</t>
  </si>
  <si>
    <t>National Institute of Mental Health and Neuro Sciences, Bengaluru</t>
  </si>
  <si>
    <t>FTD–ALS spectrum</t>
  </si>
  <si>
    <t>Escal 2022 (complete cohort)</t>
  </si>
  <si>
    <t>Lyon University</t>
  </si>
  <si>
    <t>University of Illinois at Chicago</t>
  </si>
  <si>
    <t>lipidomics</t>
  </si>
  <si>
    <t>COSMOS cohort, Columbia University</t>
  </si>
  <si>
    <t>Chiba, National Institutes for Quantum Science and Technology</t>
  </si>
  <si>
    <t>University of Pennsylvania cohort</t>
  </si>
  <si>
    <t>First Affiliated Hospital of Fujian Medial University</t>
  </si>
  <si>
    <t>Zhang 2020 (ALS1)</t>
  </si>
  <si>
    <t>Zhang 2020 (ALS2)</t>
  </si>
  <si>
    <t>Zhang 2020 (ALS3)</t>
  </si>
  <si>
    <t>spinal_percent</t>
  </si>
  <si>
    <t>leptin, adiponectin, and ghrelin</t>
  </si>
  <si>
    <t>Halle, Mannheim, Milan</t>
  </si>
  <si>
    <t>Germany &amp; Italy</t>
  </si>
  <si>
    <t>pTau-181 Advantage V2 kit, ALZpath pTau-217 Advantage PLUS kit and Tau 2.0 kit</t>
  </si>
  <si>
    <t>p-tau217</t>
  </si>
  <si>
    <t>Non-neurodegenerative (A-T-N-) disease controls comprised subjects lacking any clinical, neuroradiological and CSF evidence of neurodegenerative disease.</t>
  </si>
  <si>
    <t>Hospital de la Santa Creu i Sant Pau, Barcelona</t>
  </si>
  <si>
    <t>scRNAseq &amp; FCM</t>
  </si>
  <si>
    <t>cognitively unimpaired healthy individuals (HC)</t>
  </si>
  <si>
    <t>CD56brightNKC</t>
  </si>
  <si>
    <t>NEALS Biorepository</t>
  </si>
  <si>
    <t>Meso Scale Discovery (MSD)-based electrochemiluminescence immunoassay</t>
  </si>
  <si>
    <t>MSD-ECL</t>
  </si>
  <si>
    <t>"healthy controls"</t>
  </si>
  <si>
    <t>Age- and sex-matched healthy controls without neurological disease</t>
  </si>
  <si>
    <t>Gas6</t>
  </si>
  <si>
    <t>Maggiore della Carità” University Hospital, Novara</t>
  </si>
  <si>
    <t>ELISA using a commercial kit (R&amp;D Systems DuoSet Elisa DY008 and DY885B)</t>
  </si>
  <si>
    <t>slow progressors (monthly rate of disease progression ≤ 0.8) or fast progressors (&gt; 0.8). The cut-off was calculated considering the mean of ΔALSFRS-R progression (after outlier exclusion) in our cohort.</t>
  </si>
  <si>
    <t>Mayo Clinic, Rochester, MN, USA</t>
  </si>
  <si>
    <t>Multiple sclerosis (MS)</t>
  </si>
  <si>
    <t>Elecsys</t>
  </si>
  <si>
    <t>Atellica</t>
  </si>
  <si>
    <t>Lumipulse</t>
  </si>
  <si>
    <t>US National ALS Biorepository and a Phase IIa clinical trial (NCT03580616)</t>
  </si>
  <si>
    <t>real-time polymerase chain reaction" (qPCR using SYBR Green)</t>
  </si>
  <si>
    <t>Selection of these healthy controls was chosen to match the gender and age characteristics of the CDC ALS cohort where possible</t>
  </si>
  <si>
    <t>qPCR SYBR</t>
  </si>
  <si>
    <t>combined 8 miRNA Signature (miR-199a-3p, miR-4454, miR-10b-5p, miR-151a-5p, miR-199a-5p, miR-151a-3p, miR-146a-5p, miR-29b-3p)</t>
  </si>
  <si>
    <t>"Simoa Nf-L Advantage Kit-102258" and "Simoa pNF-Heavy Discovery Kit–102669" (Quanterix)</t>
  </si>
  <si>
    <t>multi-center Phenotype-Genotype-Biomarker study, including United States (12 centers) &amp; South Africa (1 center, University of Cape Town)</t>
  </si>
  <si>
    <t>log &amp; SD</t>
  </si>
  <si>
    <t>ENCALS (ΔFRS, bulbar onset, diagnostic delay, age at onset, SVC percent predicted, El Escorial definite ALS, presence of FTD, and presence of a C9orf72 repeat expansion)</t>
  </si>
  <si>
    <t>miR-181ab</t>
  </si>
  <si>
    <t>Benatar 2024 (NfL covariate)</t>
  </si>
  <si>
    <t>random-slopes mixed model analysis of longitudinal data</t>
  </si>
  <si>
    <t>Western ALS Consortium</t>
  </si>
  <si>
    <t>sNfL + ENCALS (ΔFRS, bulbar onset, diagnostic delay, age at onset, SVC percent predicted, El Escorial definite ALS, presence of FTD, and presence of a C9orf72 repeat expansion)</t>
  </si>
  <si>
    <t>University Hospital of Padova</t>
  </si>
  <si>
    <t>neurologically healthy controls, sex- and age-matched</t>
  </si>
  <si>
    <t>Simoa technology on the SR-X Analyzer (Quanterix)</t>
  </si>
  <si>
    <t>MCP2</t>
  </si>
  <si>
    <t>Guam</t>
  </si>
  <si>
    <t>CHamoru males and females residing on Guam</t>
  </si>
  <si>
    <t>per 10 pg/mL</t>
  </si>
  <si>
    <t>age</t>
  </si>
  <si>
    <t>TARC</t>
  </si>
  <si>
    <t>g/dL</t>
  </si>
  <si>
    <t>UMI^2</t>
  </si>
  <si>
    <t>age at diagnosis, onset site, disease duration, BMI, %FVC, pCMAP, and ∆FS</t>
  </si>
  <si>
    <t>ICD-10/Read codes in the UK Biobank</t>
  </si>
  <si>
    <t>Serum albumin levels were measured using enzymatic analysis on a Beckman Coulter AU5800 machine, utilizing a kinetic modification of the Jaffe procedure.</t>
  </si>
  <si>
    <t>Oxford and University College London cohorts</t>
  </si>
  <si>
    <t>Asymptomatic non-carrier participants were typically friends or spouses (non-relatives) of people living with ALS or FTD, or of their first-degree relatives, but without a personal family history of ALS or FTD</t>
  </si>
  <si>
    <t>Peptides were analyzed by liquid chromatography–tandem mass spectrometry (LC–MS/MS) with an UltiMate 3000 HPLC coupled to an Orbitrap Ascend Tribrid instrument (ThermoFisher, Waltham, MA) using a nano-EASY spray source</t>
  </si>
  <si>
    <t>Dellar 2025 (sporadic)</t>
  </si>
  <si>
    <t>Dellar 2025 (C9orf72)</t>
  </si>
  <si>
    <t>log2fold change</t>
  </si>
  <si>
    <t>"selected from those who referred to the biochemical monitoring of Golestan Hospital laboratory" with "absence of neurological complications, any internal infection, immune system disorders and malignancy"</t>
  </si>
  <si>
    <t>miR-223</t>
  </si>
  <si>
    <t>Ahvaz, the southern region of Iran</t>
  </si>
  <si>
    <t>qRT-PCR</t>
  </si>
  <si>
    <t>qRT-PCR Ct values</t>
  </si>
  <si>
    <t>NLRP3</t>
  </si>
  <si>
    <t>hysteria (5), schizophrenia (4), headache (3), cervical spondylosis (3), facial paralysis (3), peripheral neuropathy (2), ankylosing spondylitis (1)</t>
  </si>
  <si>
    <t>Huashan Hospital, Fudan University, Shanghai</t>
  </si>
  <si>
    <t>age at onset, weight loss, and diagnostic delay</t>
  </si>
  <si>
    <t>ALSFRS-R slopes during intervention (loss of points per month), calculated by linear regression based on 3-monthly evaluations</t>
  </si>
  <si>
    <t>"DPR ≥ 1" defines rapid progressors.</t>
  </si>
  <si>
    <t>those who did not show any neurological disorders or other relevant conditions</t>
  </si>
  <si>
    <t>RNAs</t>
  </si>
  <si>
    <t>transciptome</t>
  </si>
  <si>
    <t>Pavia, IRCCS Foundation San Matteo</t>
  </si>
  <si>
    <t>Illumina NextSeq 500/550 High Output v2.5 kit", followed by RT-qPCR for validation​</t>
  </si>
  <si>
    <t>University Federico II of Naples</t>
  </si>
  <si>
    <t>recruited amongst the caregivers of patients</t>
  </si>
  <si>
    <t>pmol/mg</t>
  </si>
  <si>
    <t>LC-APCI-MS</t>
  </si>
  <si>
    <t>LCMS-2020, Shimadzu</t>
  </si>
  <si>
    <t xml:space="preserve"> the monthly ALSFRS-R points lost during the follow-up time, if it was ≥ 1 the patient was defined as fast progressor, otherwise if it was &lt; 1 as slow progressor.</t>
  </si>
  <si>
    <t>DHEA</t>
  </si>
  <si>
    <t>EPEA</t>
  </si>
  <si>
    <t>2-DHG</t>
  </si>
  <si>
    <t>age, sex, disease onset (spinal vs bulbar), diagnostic delay, disease progression rate (ALSFRS-R_rate), baseline ALSFRS-R, baseline FVC (%), BMI, cognitive and/or behavioural impairment (yes or no), Kings stages, and eCBs levels stratified according to the median value</t>
  </si>
  <si>
    <t>NCBI GEO repository</t>
  </si>
  <si>
    <t>AURKB</t>
  </si>
  <si>
    <t>in silico</t>
  </si>
  <si>
    <t>Tamil Nadu, India</t>
  </si>
  <si>
    <t>patients without degenerative/inflammatory diseases, including vascular leukoencephalopathy (N = 19), metabolic and hereditary polyneuropathies (N = 14), normal pressure hydrocephalus (N = 3), functional neurological disorder (N = 6), migraine (N = 1), spondylotic myelopathy (N = 2), and spastic paraparesis (N = 2)</t>
  </si>
  <si>
    <t>(Bio-Rad Laboratories, Hercules, CA)</t>
  </si>
  <si>
    <t>Bio-plex</t>
  </si>
  <si>
    <t>IL-5</t>
  </si>
  <si>
    <t>IL-7</t>
  </si>
  <si>
    <t>IL-9</t>
  </si>
  <si>
    <t>IL-12</t>
  </si>
  <si>
    <t>IL-13</t>
  </si>
  <si>
    <t>IL-17</t>
  </si>
  <si>
    <t>GCSF</t>
  </si>
  <si>
    <t>IFNg</t>
  </si>
  <si>
    <t>MIP-1a</t>
  </si>
  <si>
    <t>MIP-1b</t>
  </si>
  <si>
    <t>TNF</t>
  </si>
  <si>
    <t>Eotaxin</t>
  </si>
  <si>
    <t>CTRL-1: “non-inflammatory controls” (e.g., chronic non-inflammatory neuropathies, MCI, headache, etc.), CTRL-2: “inflammatory controls” (e.g., CNS inflammation, tumors), CTRL-3: “neurodegenerative controls” (e.g., AD, synucleinopathies)</t>
  </si>
  <si>
    <t>Italy &amp; Belgium</t>
  </si>
  <si>
    <t>Milan, Leuven</t>
  </si>
  <si>
    <t>miR-181b</t>
  </si>
  <si>
    <t>fold change</t>
  </si>
  <si>
    <t>Cut_off_setting</t>
  </si>
  <si>
    <t>Youden index maximized</t>
  </si>
  <si>
    <t>NfL+CHIT1+miR181b</t>
  </si>
  <si>
    <t>age at onset, site of onset (bulbar vs spinal), ALSFRS-R, BMI</t>
  </si>
  <si>
    <t>rapid vs slow whether DPR was below or above the median</t>
  </si>
  <si>
    <t>PTE20 and PTE50 models selected 55 and 61 nominally significant metabolites, respectively, which overlapped to a significant extent (46 shared metabolites); PTE20(Model 3 was a Cox regression model that correlated baseline metabolite abundance to progression to an event (PTE), defined as a 20% (PTE20) or 50% (PTE50) decline in ALSFRS-R relative to diagnostic ALSFRS-R score)</t>
  </si>
  <si>
    <t>ultrahigh-performance liquid chromatography-tandem mass spectroscopy</t>
  </si>
  <si>
    <t>death or 50% decline in ALSFRS-R</t>
  </si>
  <si>
    <t>age at initial sample, sex, BMI at entry, onset site, Diagnostic ALSFRS-R score, time from onset to diagnosis, El escorial classification (definite vs non-definite)</t>
  </si>
  <si>
    <t>specific HRs, correlations, or slope associations given in full detail per metabolite (supple excel file)</t>
  </si>
  <si>
    <t>Sahlgrenska University Hospital, Gothenburg</t>
  </si>
  <si>
    <t>neurologically healthy individuals who consented to donate serum and CSF samples to a research biobank while undergoing spinal anesthesia for an elective orthopedic procedure</t>
  </si>
  <si>
    <t>NfL ratio</t>
  </si>
  <si>
    <t>CSF/serum NfL</t>
  </si>
  <si>
    <t>neurologically normal individuals</t>
  </si>
  <si>
    <t>UK, US, Netherlands</t>
  </si>
  <si>
    <t>WGBS</t>
  </si>
  <si>
    <t>Whole-genome bisulfite sequencing</t>
  </si>
  <si>
    <t>lnc-HIBADH-4</t>
  </si>
  <si>
    <t>age- and sex-matched 40 health controls (HCs) and 40 PD patients from West China Hospital.</t>
  </si>
  <si>
    <t>Aarhus University Hospital</t>
  </si>
  <si>
    <t>reffered with suspicion of ALS, but did not fulfill the criteria for ALS and formed the patient control group with ALS-mimicking disorders</t>
  </si>
  <si>
    <t>those who underwent an intraspinal anesthesia in minor surgery. “match for age and sex with ALS group”, and "no other neurodegenerative disease such as Alzheimer’s disease, no tumoral or systemic inflammatory disease and no active anti-inflammatory drugs intake"</t>
  </si>
  <si>
    <t>Human TREM2 SimpleStep ELISA kit; Abcam, No. Ab224881</t>
  </si>
  <si>
    <t>Definition of subgroup: “&gt;12 months” vs “&lt;12 months” disease duration</t>
  </si>
  <si>
    <t>NfL + T-SICIp(threshold-tracking short-interval cortical inhibition)</t>
  </si>
  <si>
    <t>Indiana University, UC San Diego</t>
  </si>
  <si>
    <t>Whole-genome bisulfite sequencing (WGBS)</t>
  </si>
  <si>
    <t>cfDNA signature (hypomethylation)</t>
  </si>
  <si>
    <t>cfDNA signature (methylation)</t>
  </si>
  <si>
    <t>without any chronic diseases, especially any neurologic, rheumatological, haematological, or oncological conditions... WBC and CRP were measured... to exclude any underlying inflammatory condition</t>
  </si>
  <si>
    <t>RNA transcriptome (12972 DEGs reported)</t>
  </si>
  <si>
    <t>Estonia</t>
  </si>
  <si>
    <t>Tartu University Hospital, North Estonia Medical Center</t>
  </si>
  <si>
    <t>Illumina paired-end 2 × 100bp read length using NovaSeq 6000</t>
  </si>
  <si>
    <t>healthy participants who were matched with the ALS patients in terms of age and gender</t>
  </si>
  <si>
    <t>ccf-mtDNA</t>
  </si>
  <si>
    <t>Peking University First Hospital, Beijing</t>
  </si>
  <si>
    <t>mtDNA copies</t>
  </si>
  <si>
    <t>The ΔFS value of 0.5 serves as the cut-off for classifying ALS progression into slow (ΔFS &lt; 0.5) and fast (ΔFS ≥ 0.5)</t>
  </si>
  <si>
    <t>The BCT-002-US study</t>
  </si>
  <si>
    <t>rate of decline assessed by the revised ALSFRS-R total score estimated by a prespecified mixed-effect piecewise (PW) linear model</t>
  </si>
  <si>
    <t>GSE168714 and GSE148097</t>
  </si>
  <si>
    <t>RNAseq, isoMiRmap, MINTmap, MINRbase</t>
  </si>
  <si>
    <t>healthy individuals in GEO datasets.</t>
  </si>
  <si>
    <t>miR-1-3p|0|+1|, let-7c-5p|0|−2|, tRF-34-PNR8YP9LON-4VHM, rRF-16-SXM1H1B, miR-423-3p|0|0|, tRF-18-HR6HFRD2, na-15-8YEJJP</t>
  </si>
  <si>
    <t>ALS data come from the publicly accessible GWAS in the IEU OpenGWAS project</t>
  </si>
  <si>
    <t>GWAS ID is ebi-a-GCST00564</t>
  </si>
  <si>
    <t>Europé</t>
  </si>
  <si>
    <t>GWAS</t>
  </si>
  <si>
    <t>risk: C1QC, UMOD, SLITRK5, ASAP2, TREML2, DAPK2, ARHGEF10, POLM, SST, SIGLEC1; protective: ADPGK, BTNL9, COLEC12, ADGRF5, FAIM, CRTAM, PRSS3, BAG5, PSMD11</t>
  </si>
  <si>
    <t>Not_Specified_Criteria, probable or definite</t>
  </si>
  <si>
    <t>individuals admitted within the same period for suspected neurological diseases that were later unconfirmed</t>
  </si>
  <si>
    <t>liquid chromatography–electrospray tandem mass spectrometry</t>
  </si>
  <si>
    <t>both CSF and Blood</t>
  </si>
  <si>
    <t>Pregnenolone sulfate</t>
  </si>
  <si>
    <t>Pregnenolone</t>
  </si>
  <si>
    <t>Progesterone</t>
  </si>
  <si>
    <t>Allopregnanolone</t>
  </si>
  <si>
    <t>Pregnanolone</t>
  </si>
  <si>
    <t>Testosterone</t>
  </si>
  <si>
    <t>Lymphocytes</t>
  </si>
  <si>
    <t>Neutrophils</t>
  </si>
  <si>
    <t>Monocytes</t>
  </si>
  <si>
    <t>thousand/mmc</t>
  </si>
  <si>
    <t>5α-dihydroprogesterone</t>
  </si>
  <si>
    <t>routine clinical assay</t>
  </si>
  <si>
    <t>death, tracheostomy</t>
  </si>
  <si>
    <t>were classified as “slow progressors” if their progression rate at sampling was ≤0.9 points/month, and as “fast progressors” if the progression rate was &gt;0.9 points/month</t>
  </si>
  <si>
    <t>DPR, NLR (stepwise backward selection method with a retention criterion of p &lt; 0.1)</t>
  </si>
  <si>
    <t>DPR, serumNfL (stepwise backward selection method with a retention criterion of p &lt; 0.1)</t>
  </si>
  <si>
    <t>progression rate at last observation (determined by monthly decline of ALSFRS-R total score from sampling to the last observation)</t>
  </si>
  <si>
    <t>Ehime University Hospital</t>
  </si>
  <si>
    <t>NonCNS</t>
  </si>
  <si>
    <t>"neurologically intact", "functional neurological disorders", "spinal stenosis", "peripheral neuropathy not involving the CNS"</t>
  </si>
  <si>
    <t>Neopterin</t>
  </si>
  <si>
    <t>high-performance liquid chromatography (HPLC) with fluorometric detection</t>
  </si>
  <si>
    <t>HPLC</t>
  </si>
  <si>
    <t>pmol/mL</t>
  </si>
  <si>
    <t>main diagnoses in the non-ALS group were lower motor neuron disease (15.7%), primary lateral sclerosis (11.4%), and neuropathies (10%)</t>
  </si>
  <si>
    <t>Montpellier ALS center</t>
  </si>
  <si>
    <t>above vs below optimized cut-off</t>
  </si>
  <si>
    <t>age, sex, site of onset, serum NfL</t>
  </si>
  <si>
    <t>Healthy controls (no furthur specification given)</t>
  </si>
  <si>
    <t>Germany &amp; Sweden</t>
  </si>
  <si>
    <t>FTLD Consortium study</t>
  </si>
  <si>
    <t>antibody-based suspension bead array</t>
  </si>
  <si>
    <t>NEFM</t>
  </si>
  <si>
    <t>suspension bead array</t>
  </si>
  <si>
    <t>min_ALS</t>
  </si>
  <si>
    <t>max_ALS</t>
  </si>
  <si>
    <t>min_Con</t>
  </si>
  <si>
    <t>max_Con</t>
  </si>
  <si>
    <t>Aβ40</t>
  </si>
  <si>
    <t>Aβ42/40</t>
  </si>
  <si>
    <t xml:space="preserve"> standard immunochemical nephelometry</t>
  </si>
  <si>
    <t>Lumipulse CLEIA</t>
  </si>
  <si>
    <t>chemiluminescent enzyme immunoassay on the automated Lumipulse G600II analyzer</t>
  </si>
  <si>
    <t>13 with Alzheimer’s disease, 6 with progressive supranuclear palsy, 2 with spastic paraplegia, and 4 with frontotemporal lobar degeneration</t>
  </si>
  <si>
    <t>Tokushima University hospital</t>
  </si>
  <si>
    <t>Mass Spectrometry</t>
  </si>
  <si>
    <t>nanoACQUITY UPLC System + Q Exactive mass spectrometer after MARS-14 resin immunodepletion and trypsin digestion</t>
  </si>
  <si>
    <t>ALS samples were divided into three progression rate groups: slow progression rate (ALS-slow; ΔALSFRS-R score, &lt;0.5), intermediate progression rate (ALS-intermediate; ΔALSFRS-R score, 0.5–1.0), and fast progression rate (ALS-fast; ΔALSFRS-R score, &gt;1.0)</t>
  </si>
  <si>
    <t>GPC1</t>
  </si>
  <si>
    <t>MGAT2</t>
  </si>
  <si>
    <t>healthy volunteers and spouses of participants with ALS</t>
  </si>
  <si>
    <t>miR-214</t>
  </si>
  <si>
    <t>South Korea</t>
  </si>
  <si>
    <t>Hanyang University Hospital, Seoul</t>
  </si>
  <si>
    <t>Noh 2025 (validation cohort)</t>
  </si>
  <si>
    <t>RQ</t>
  </si>
  <si>
    <t>highest quartile vs lowest quartile</t>
  </si>
  <si>
    <t>6months(T2)-baseline(T1)</t>
  </si>
  <si>
    <t>miR214+NfL</t>
  </si>
  <si>
    <t>MILLIPLEX Human Cytokine/Chemokine Magnetic Bead Panel and the TGF-β1 Single Plex Magnetic Bead Kit-Multiplex Assay (HCYTOMAG-60K-11 and TGFBMAG-64K-01, Millipore, MA, USA)</t>
  </si>
  <si>
    <t>Telese Terme of the Salvatore Maugeri Foundation and the ALS Center of the University Federico II of Naples, Italy</t>
  </si>
  <si>
    <t>skin</t>
  </si>
  <si>
    <t>biopsy</t>
  </si>
  <si>
    <t>Nona 2024–2</t>
  </si>
  <si>
    <t>Cre, UA, CK, Alb</t>
  </si>
  <si>
    <t>mtDNAs</t>
  </si>
  <si>
    <t>miRNA profiling</t>
  </si>
  <si>
    <t>UK biobank</t>
  </si>
  <si>
    <t>age-matched control subjects</t>
  </si>
  <si>
    <t>AUO of Cagliari, Italy</t>
  </si>
  <si>
    <t>NERP-1</t>
  </si>
  <si>
    <t>Hospital of the University of Occupational and Environmental Health,</t>
  </si>
  <si>
    <t>classified into three groups based on the interval from onset to death or tracheostomy (less than 1 year: fast progression; from 1 year to less than 3 years: average progression; 3 years or more: slow progression)</t>
  </si>
  <si>
    <t>individuals evaluated at the ALS Clinical Research Center with suspicion of ALS, but who were later diagnosed with other neurological diseases (such as polyneuropathy, multiple sclerosis, spastic paraparesis, myelopathy, Parkinson’s disease, neuroborreliosis, spinal stenosis, benign fasciculations)</t>
  </si>
  <si>
    <t>NfM</t>
  </si>
  <si>
    <t>Karolinska ALS Clinical Research Center in Stockholm</t>
  </si>
  <si>
    <t>antibody-based suspension bead-array</t>
  </si>
  <si>
    <t>Relative</t>
  </si>
  <si>
    <t>log2 transformed &amp; z-score</t>
  </si>
  <si>
    <t>Fast: "progression rate faster than 1.5 points/month", Slow: "progression rate slower than 0.4 points/month"</t>
  </si>
  <si>
    <t>NIH NeuroBiobank</t>
  </si>
  <si>
    <t>young (n = 20; 15–29 years)" and "aged (n = 20; 67–95 years) donors without neurodegenerative diseases</t>
  </si>
  <si>
    <t>postmortem human cortex</t>
  </si>
  <si>
    <t>snRNA-seq</t>
  </si>
  <si>
    <t>"inCITE-seq (snRNA-seq + protein quantification)". "antibody–oligonucleotide conjugation"</t>
  </si>
  <si>
    <t>gene regulatory networks (GRNs)</t>
  </si>
  <si>
    <t>GSE112681 (Netherlands)</t>
  </si>
  <si>
    <t>Microarray (Illumina)</t>
  </si>
  <si>
    <t>neurologically healthy volunteers matched for gender and age</t>
  </si>
  <si>
    <t>GAD65 positive motor neuronopathy</t>
  </si>
  <si>
    <t>GAD65 antibody</t>
  </si>
  <si>
    <t>sex, age at diagnosis, onset site, ALSFRS-R score at diagnosis, BMI at diagnosis, and diagnostic delay</t>
  </si>
  <si>
    <t>ALT</t>
  </si>
  <si>
    <t>AST</t>
  </si>
  <si>
    <t>Potassium</t>
  </si>
  <si>
    <t>Sodium</t>
  </si>
  <si>
    <t>Apolipoprotein A1</t>
  </si>
  <si>
    <t>Apolipoprotein B</t>
  </si>
  <si>
    <t>Haptoglobin</t>
  </si>
  <si>
    <t>Leukocytes</t>
  </si>
  <si>
    <t>EVF</t>
  </si>
  <si>
    <t>Erythrocytes</t>
  </si>
  <si>
    <t>Hemoglobin</t>
  </si>
  <si>
    <t>MCH</t>
  </si>
  <si>
    <t>MCV</t>
  </si>
  <si>
    <t>Thrombocytes</t>
  </si>
  <si>
    <t>CO2</t>
  </si>
  <si>
    <t>whole blood</t>
  </si>
  <si>
    <t>death, invasive ventilation</t>
  </si>
  <si>
    <t>data-driven joint latent class model to identify progression patterns based on ALSFRS-R score trajectories over time.</t>
  </si>
  <si>
    <t>22 Italian Expert ALS Centers</t>
  </si>
  <si>
    <t>First Hospital of Shanxi Medical University</t>
  </si>
  <si>
    <t>healthy age and sex matched controls</t>
  </si>
  <si>
    <t>GLAST+Evs</t>
  </si>
  <si>
    <t>Novara, Regional Expert ALS Center (CRESLA) at the Neurology Clinic of the 'Maggiore della Carità' University Hospital</t>
  </si>
  <si>
    <t>a commercially available flow cytometric kit and a customized EVs detection kit (Becton and Dickinson)</t>
  </si>
  <si>
    <t>EVs/μL</t>
  </si>
  <si>
    <t>CSF from healthy controls (HCs) was obtained from patients at the need for knee surgical procedures under spinal anaesthesia</t>
  </si>
  <si>
    <t>Human CXCL12/SDF-1α Quantikine ELISA Kit from R&amp;D Systems</t>
  </si>
  <si>
    <t>Myelopathy</t>
  </si>
  <si>
    <t>Barcerona, Bellvitge University Hospital (UFELA of the Neurology Service)</t>
  </si>
  <si>
    <t>OMD</t>
  </si>
  <si>
    <t>inflamattory polyneuropathy</t>
  </si>
  <si>
    <t>NF-Light ELISA for CSF samples from UmanDiagnostics</t>
  </si>
  <si>
    <t>other amyotrophic lateral sclerosis–mimic diseases (OMD) that includes four sensitive-motor syndrome cases and three paraparesis cases</t>
  </si>
  <si>
    <t>single molecule array (SIMOA) NF-Light Advantage Kit from Quanterix</t>
  </si>
  <si>
    <t>VITALITY-ALS</t>
  </si>
  <si>
    <t>multi-national</t>
  </si>
  <si>
    <t>Meso Scale Discovery (MSD) Neurofilament L chain S-PLEX kit</t>
  </si>
  <si>
    <t>48 weeks rin-study rates of disease progression in ALSFRS-R</t>
  </si>
  <si>
    <t>nVector</t>
  </si>
  <si>
    <t>validated pNfH assay" (by nVector, Inc.)</t>
  </si>
  <si>
    <t>psRDP tertiles (slow/intermediate/rapid)</t>
  </si>
  <si>
    <t>Healthy controls were recruited from Shanghai First Rehabilitation Hospital</t>
  </si>
  <si>
    <t>China &amp; Canada</t>
  </si>
  <si>
    <t>Fudan University (China) and Sunnybrook Health Sciences Centre (Canada)</t>
  </si>
  <si>
    <t>PCP4&amp;TMEM63A</t>
  </si>
  <si>
    <t>Emory ALS center, Atlanta, Gerogia</t>
  </si>
  <si>
    <t>NULISA</t>
  </si>
  <si>
    <t>Nucleic-acid-Linked Immuno-Sandwich Assay</t>
  </si>
  <si>
    <t>20 healthy controls</t>
  </si>
  <si>
    <t>p-tau231</t>
  </si>
  <si>
    <t>Marseille</t>
  </si>
  <si>
    <t>MesoScale Discovery, F217X</t>
  </si>
  <si>
    <t>1 year ALSFRS-R slope</t>
  </si>
  <si>
    <t>Milan, Niguarda Ca'Granda Hospital</t>
  </si>
  <si>
    <t>15 controls, and 7 patients with other neuropathies (ON)... affected by Becker’s Muscular Dystrophy, Extrapyramidal syndrome, Facioscapulohumeral Muscular Dystrophy, and Myotonic Dystrophy</t>
  </si>
  <si>
    <t>ATR-FTIR spectroscopy</t>
  </si>
  <si>
    <t>"ATR-FTIR spectroscopy" with "Spectrum Two FT-IR spectrometers (PerkinElmer)... equipped with ATR single reflection diamond"</t>
  </si>
  <si>
    <t>1335.5 cm⁻¹</t>
  </si>
  <si>
    <t>FTIR spectrum</t>
  </si>
  <si>
    <t>cm^-1</t>
  </si>
  <si>
    <t>University Hospital Carl Gustav Carus, Technische Universität Dresden</t>
  </si>
  <si>
    <t>UmanDiagnostics NF-light™ enzyme-linked immunosorbent assay (ELISA)</t>
  </si>
  <si>
    <t>both mimics (e.g., adrenoleucodystrophy, cervical/lumbar myelopathy, CIDP) and Other neurodegenerative diseases (e.g., Creutzfeldt–Jakob’s disease, Parkinson’s disease)</t>
  </si>
  <si>
    <t>BioVendor</t>
  </si>
  <si>
    <t>Myoglobin</t>
  </si>
  <si>
    <t>Roche cobas® in vitro</t>
  </si>
  <si>
    <t>Roche cobas</t>
  </si>
  <si>
    <t>IU/L</t>
  </si>
  <si>
    <t>MND (ALS_GoldCoast_2020, PMA, PLS)</t>
  </si>
  <si>
    <t>ICD-10, G12.2 (motor neuron disease)</t>
  </si>
  <si>
    <t>Wang 2024 (MND)</t>
  </si>
  <si>
    <t>Cre/CysC</t>
  </si>
  <si>
    <t>general population controls</t>
  </si>
  <si>
    <t>determined for 90% specificity</t>
  </si>
  <si>
    <t>Ulm University, Swabia ALS Registry</t>
  </si>
  <si>
    <t>Healthy controls matched by sex and age were recruited, and the exclusion criteria were: (1) age&lt; 45 years; (2) any neurological diseases; (3) refused laboratory tests; (4) any acute or chronic inflammatory diseases; and (5) claustrophobia</t>
  </si>
  <si>
    <t>Multiplex Cytokine Assay Kit (XII) (AtomLife, Nanjing, China)" → Multiplex</t>
  </si>
  <si>
    <t>Multiplex assay</t>
  </si>
  <si>
    <t>The Second Hospital of Hebei Medical University, Shijiazhuang, Hebei, China</t>
  </si>
  <si>
    <t>IFN-α</t>
  </si>
  <si>
    <t>AMBRoSIA</t>
  </si>
  <si>
    <t>age-matched non-neurological controls (NNC)</t>
  </si>
  <si>
    <t>UK &amp; Australia</t>
  </si>
  <si>
    <t>sex, site of onset, ALSFRS-R score, age at onset and ΔFRS</t>
  </si>
  <si>
    <t>RvD1</t>
  </si>
  <si>
    <t>RvE3</t>
  </si>
  <si>
    <t>Qtrap 5500</t>
  </si>
  <si>
    <t>NovoCyte® 13-colour flow cytometer</t>
  </si>
  <si>
    <t>GPR18_CD24- unswitched memory B</t>
  </si>
  <si>
    <t>GPR18_Naive B cells</t>
  </si>
  <si>
    <t>GPR32_CD24- unswitched memory B</t>
  </si>
  <si>
    <t>Tehran, Iran University of Medical Sciences</t>
  </si>
  <si>
    <t>standard hospital central lab protocols?</t>
  </si>
  <si>
    <t>BUN</t>
  </si>
  <si>
    <t>Beijing, Beijing Tiantan Hospital, Capital Medical University, Chinese PLA General Hospital</t>
  </si>
  <si>
    <t>standard clinical chemistry analyzers</t>
  </si>
  <si>
    <t>standard clinical chemistry analyzers. Specific assay not named for creatinine and cystatin C.</t>
  </si>
  <si>
    <t>per SD</t>
  </si>
  <si>
    <t>age, sex, BMI, site of onset, diagnostic delay and ALSFRS-R score</t>
  </si>
  <si>
    <t>ALI</t>
  </si>
  <si>
    <t>SII</t>
  </si>
  <si>
    <t>PLR</t>
  </si>
  <si>
    <t>CAR</t>
  </si>
  <si>
    <t>LCR</t>
  </si>
  <si>
    <t>IBI</t>
  </si>
  <si>
    <t>AGR</t>
  </si>
  <si>
    <t>PNI</t>
  </si>
  <si>
    <t>GNRI</t>
  </si>
  <si>
    <t>mGNRI</t>
  </si>
  <si>
    <t>NRI</t>
  </si>
  <si>
    <t>age, sex, BMI</t>
  </si>
  <si>
    <t>GLR</t>
  </si>
  <si>
    <t>Tregs</t>
  </si>
  <si>
    <t>RAP-ALS clinical trial</t>
  </si>
  <si>
    <t>polychromatic flow cytometry</t>
  </si>
  <si>
    <t>MILLIPLEX</t>
  </si>
  <si>
    <t>single molecular array (AstraBio, Suzhou, China)</t>
  </si>
  <si>
    <t>AstraBio</t>
  </si>
  <si>
    <t>EUROIMMUN AG, Lübeck, Germany</t>
  </si>
  <si>
    <t>IBL, Hamburg</t>
  </si>
  <si>
    <t>10.3389/fneur.2018.00971</t>
  </si>
  <si>
    <t>45644</t>
  </si>
  <si>
    <t>Roche Cobas C Analyzer in the Clinical Chemistry Laboratory</t>
    <phoneticPr fontId="2"/>
  </si>
  <si>
    <t>Roche Cobas C</t>
    <phoneticPr fontId="2"/>
  </si>
  <si>
    <t>small RNA-seq using the QIAseq miRNA Library Kit and Illumina NovaSeq.</t>
    <phoneticPr fontId="2"/>
  </si>
  <si>
    <t>RNAseq</t>
    <phoneticPr fontId="2"/>
  </si>
  <si>
    <t>Jena University Hospital</t>
    <phoneticPr fontId="2"/>
  </si>
  <si>
    <t>Abu-Rumeileh 2020</t>
    <phoneticPr fontId="2"/>
  </si>
  <si>
    <t>Montpellier, Université Montpellier</t>
    <phoneticPr fontId="2"/>
  </si>
  <si>
    <t>Bonn University</t>
    <phoneticPr fontId="2"/>
  </si>
  <si>
    <t>West China Hospital of Sichuan University, Chengdu, Sichuan Province</t>
    <phoneticPr fontId="2"/>
  </si>
  <si>
    <t>Iran University</t>
    <phoneticPr fontId="2"/>
  </si>
  <si>
    <t>Sant Pau, MND Clinic at Hospital de la Santa Creu i Sant Pau</t>
    <phoneticPr fontId="2"/>
  </si>
  <si>
    <t>Sapienza University of Rome, San Camillo Hospital—Forlanini of Rome, Policlinico Umberto I of Rome, Azienda Ospedaliera Universitaria ‘Città della Salute e della Scienza’ of Turin, Fondazione Policlinico Universitario A. Gemelli IRCCS of Rome</t>
    <phoneticPr fontId="2"/>
  </si>
  <si>
    <t>Milan, San Rafaele University</t>
    <phoneticPr fontId="2"/>
  </si>
  <si>
    <t>Leuven, University Hospitals Leuven</t>
    <phoneticPr fontId="2"/>
  </si>
  <si>
    <t>Lozano Blesa and Arnau de Vilanova University Hospital</t>
    <phoneticPr fontId="2"/>
  </si>
  <si>
    <t>Macquarie University, Sydney</t>
    <phoneticPr fontId="2"/>
  </si>
  <si>
    <t>Ruijin Hospital, affiliated with Shanghai Jiao Tong University School of Medicine</t>
    <phoneticPr fontId="2"/>
  </si>
  <si>
    <t>The University of Queensland, Brisbane</t>
    <phoneticPr fontId="2"/>
  </si>
  <si>
    <t xml:space="preserve">NEALS Biofluid Repository </t>
    <phoneticPr fontId="2"/>
  </si>
  <si>
    <t>Hannover Medical School</t>
    <phoneticPr fontId="2"/>
  </si>
  <si>
    <t>Umeå University Hospital</t>
    <phoneticPr fontId="2"/>
  </si>
  <si>
    <t>Strasbourg, University of Strasbourg</t>
    <phoneticPr fontId="2"/>
  </si>
  <si>
    <t>Tours, University Hospital of Tours</t>
    <phoneticPr fontId="2"/>
  </si>
  <si>
    <t>CReATe Consortium (phenotype-genotype-biomarker study)</t>
    <phoneticPr fontId="2"/>
  </si>
  <si>
    <t>October 12th Hospital “IIS I+12”, Madrid, Spain</t>
    <phoneticPr fontId="2"/>
  </si>
  <si>
    <t>Chang Gung Memorial Hospital, Chang Gung University</t>
    <phoneticPr fontId="2"/>
  </si>
  <si>
    <t>DESCRIBE multicenter cohort (DZNE)</t>
    <phoneticPr fontId="2"/>
  </si>
  <si>
    <t>Hospital de la Santa Creu i Sant Pau</t>
    <phoneticPr fontId="2"/>
  </si>
  <si>
    <t>Peking University Third Hospital, Beijing</t>
    <phoneticPr fontId="2"/>
  </si>
  <si>
    <t>Lisbon, Universidade de Lisboa</t>
    <phoneticPr fontId="2"/>
  </si>
  <si>
    <t>Naples, University of Naples</t>
    <phoneticPr fontId="2"/>
  </si>
  <si>
    <t>Nils, University of Nis</t>
    <phoneticPr fontId="2"/>
  </si>
  <si>
    <t>"Pre-fALS study" NCT00317616</t>
    <phoneticPr fontId="2"/>
  </si>
  <si>
    <t>Tokushima University</t>
    <phoneticPr fontId="2"/>
  </si>
  <si>
    <t>Kyoto University</t>
    <phoneticPr fontId="2"/>
  </si>
  <si>
    <t>PAN (Prospective ALS study Netherlands)</t>
    <phoneticPr fontId="2"/>
  </si>
  <si>
    <t>Moscow, Research Center for Neurology</t>
    <phoneticPr fontId="2"/>
  </si>
  <si>
    <t>Seoul National University Hospital</t>
    <phoneticPr fontId="2"/>
  </si>
  <si>
    <t>Copenhagen, Rigshospitalet, Bispebjerg hospital</t>
    <phoneticPr fontId="2"/>
  </si>
  <si>
    <t>Peking Union Medical College Hospital</t>
    <phoneticPr fontId="2"/>
  </si>
  <si>
    <t>Milan, IRCCS Istituto Auxologico Italiano</t>
    <phoneticPr fontId="2"/>
  </si>
  <si>
    <t>Chandigarh, Post Graduate Institute of Medical Education and Research (PGIMER)</t>
    <phoneticPr fontId="2"/>
  </si>
  <si>
    <t>Royal Brisbane and Women's Hospital (RBWH; Brisbane, QLD, Australia), University of Queensland</t>
    <phoneticPr fontId="2"/>
  </si>
  <si>
    <t>Târgu Mures, University of Medicine, Pharmacy, Science and Technology of Târgu Mures</t>
    <phoneticPr fontId="2"/>
  </si>
  <si>
    <t>Utrecht, Ulm, Leuven</t>
    <phoneticPr fontId="2"/>
  </si>
  <si>
    <t>Utrecht, Ulm, Leuven, Stockholm</t>
    <phoneticPr fontId="2"/>
  </si>
  <si>
    <t>Modena University Hospital</t>
    <phoneticPr fontId="2"/>
  </si>
  <si>
    <t>University of Sydney Brain and Mind Centre</t>
    <phoneticPr fontId="2"/>
  </si>
  <si>
    <t>NINDS,  National Institutes of Health Clinical Center, DIALS, NEALS</t>
    <phoneticPr fontId="2"/>
  </si>
  <si>
    <t>First Afliated Hospital of Xi’an Jiaotong University</t>
    <phoneticPr fontId="2"/>
  </si>
  <si>
    <t>Oxford, BioMOx study, Ulm University</t>
    <phoneticPr fontId="2"/>
  </si>
  <si>
    <t>Kyoto Prefectural University of Medicine</t>
    <phoneticPr fontId="2"/>
  </si>
  <si>
    <t>Karolinska University Hospital, Stockholm</t>
    <phoneticPr fontId="2"/>
  </si>
  <si>
    <t>Palacky University and University Hospital Olomouc</t>
    <phoneticPr fontId="2"/>
  </si>
  <si>
    <t>Chinese PLA General Hospital</t>
    <phoneticPr fontId="2"/>
  </si>
  <si>
    <t>Bologna, Institute of Neurological Sciences of Bologna</t>
    <phoneticPr fontId="2"/>
  </si>
  <si>
    <t>Ulster University</t>
    <phoneticPr fontId="2"/>
  </si>
  <si>
    <t>Toyama, University of Toyama</t>
    <phoneticPr fontId="2"/>
  </si>
  <si>
    <t>Trento, Padova, Torino, Turin</t>
    <phoneticPr fontId="2"/>
  </si>
  <si>
    <t>Siena, University of Siena</t>
    <phoneticPr fontId="2"/>
  </si>
  <si>
    <t>PREV-DEMALS, Predict-PGRN, French research network on FTD/ALS,</t>
    <phoneticPr fontId="2"/>
  </si>
  <si>
    <t>Shanxi Medical University</t>
    <phoneticPr fontId="2"/>
  </si>
  <si>
    <t>Sassari, Sardinia</t>
    <phoneticPr fontId="2"/>
  </si>
  <si>
    <t>Ain Shams University</t>
    <phoneticPr fontId="2"/>
  </si>
  <si>
    <t>Ulm, Hannover, Jena, Leuven, Oxford, Paris, Milan, Nijmegen</t>
    <phoneticPr fontId="2"/>
  </si>
  <si>
    <t>Osaka Medical and Pharmaceutical University Hospital</t>
    <phoneticPr fontId="2"/>
  </si>
  <si>
    <t>Witzel, S.; Huss, A.; Nagel, G.; Rosenbohm, A.; Rothenbacher, D.; Peter, R. S.; Bäzner, H.; Börtlein, A.; Dempewolf, S.; Schabet, M.; Hecht, M.; Kohler, A.; Opherk, C.; Naegele, A.; Sommer, N.; Lindner, A.; Alexudis, C.; Bachhuber, F.; Halbgebauer, S.; Brenner, D.; Ruf, W.; Weiland, U.; Mayer, B.; Schuster, J.; Dorst, J.; Tumani, H.; Ludolph, A. C.</t>
    <phoneticPr fontId="2"/>
  </si>
  <si>
    <t>Hafsteinsdóttir, B.; Farman, H.; Lagerström, N.; Zetterberg, H.; Andersen, O.; Novakova, L.; Nellgård, B.; Rosén, H.; Malmeström, C.; Rosenstein, I.; Lycke, J.; Axelsson, M.</t>
    <phoneticPr fontId="2"/>
  </si>
  <si>
    <t>Sahlgrenska University Hospital, Gothenburg (1989–2014)</t>
    <phoneticPr fontId="2"/>
  </si>
  <si>
    <t>Sahlgrenska University Hospital, Gothenburg  (2014–2019)</t>
    <phoneticPr fontId="2"/>
  </si>
  <si>
    <t>Cousins, K. A. Q.; Shaw, L. M.; Shellikeri, S.; Dratch, L.; Rosario, L.; Elman, L. B.; Quinn, C.; Amado, D. A.; Wolk, D. A.; Tropea, T. F.; Chen-Plotkin, A.; Irwin, D. J.; Grossman, M.; Lee, E. B.; Trojanowski, J. Q.; McMillan, C. T.</t>
    <phoneticPr fontId="2"/>
  </si>
  <si>
    <t>NonND</t>
    <phoneticPr fontId="2"/>
  </si>
  <si>
    <t>MCP1</t>
    <phoneticPr fontId="2"/>
  </si>
  <si>
    <t>high vs low tertile</t>
  </si>
  <si>
    <t>Zhu 2024–1</t>
    <phoneticPr fontId="2"/>
  </si>
  <si>
    <t>Zhu 2024–2</t>
    <phoneticPr fontId="2"/>
  </si>
  <si>
    <t>Italy, Moldova, Romania</t>
    <phoneticPr fontId="2"/>
  </si>
  <si>
    <t>highest vs lowest quartile</t>
  </si>
  <si>
    <t>Montpellier ALS center</t>
    <phoneticPr fontId="2"/>
  </si>
  <si>
    <t>above vs below optimized cut-off</t>
    <phoneticPr fontId="2"/>
  </si>
  <si>
    <t>Group 3 vs 1 (NLR &gt; 3 vs NLR &lt; 2)</t>
    <phoneticPr fontId="2"/>
  </si>
  <si>
    <t>routine lab test</t>
  </si>
  <si>
    <t>routine lab test</t>
    <phoneticPr fontId="2"/>
  </si>
  <si>
    <t>Peripheral blood sample was drawn after 8 h of overnight fasting, and the serum creatinine and CK levels were quantified in the Department of Laboratory, the First Affiliated Hospital of Fujian Medical University</t>
    <phoneticPr fontId="2"/>
  </si>
  <si>
    <t>Creatinine was measured using the colorimetric method of Jaffe and its values given in mg/dl.</t>
    <phoneticPr fontId="2"/>
  </si>
  <si>
    <t>automated XE-5000 hematology counter. Complete blood cell analysis was performed using an automated XE-5000 hematology counter (Sysmex, Kobe, Japan). The NLR was calculated as the ratio of the neutrophil count to the lymphocyte count. The neutrophil-to-monocyte ratio (NMR) was calculated as the ratio of the neutrophil count to the monocyte count</t>
    <phoneticPr fontId="2"/>
  </si>
  <si>
    <t>Sysmex XE-5000</t>
    <phoneticPr fontId="2"/>
  </si>
  <si>
    <t>blood</t>
    <phoneticPr fontId="2"/>
  </si>
  <si>
    <t xml:space="preserve">CysC (mg/L) was measured in serum using an immunonephelometric assay [N Latex Cystatin C, 2010; Siemens, Eschborn, Germany; LOD 0.05 mg/L, measuring range 0.05–7.25 mg/L, intra-assay CV 2.3%, inter-assay CV 2.9–3.2%]. </t>
    <phoneticPr fontId="2"/>
  </si>
  <si>
    <t>immunonephelometric</t>
    <phoneticPr fontId="2"/>
  </si>
  <si>
    <t>colorimetric-Jaffe</t>
    <phoneticPr fontId="2"/>
  </si>
  <si>
    <t>Halbgebauer 2022–2</t>
    <phoneticPr fontId="2"/>
  </si>
  <si>
    <t xml:space="preserve">In Oxford and Sheffield, plasma CK was measured using the Abbott Architext c16000 general chemistry analyser using an enzymatic N-acetyl-L-cysteine (NAC) method; reproducibility was 1.7% at 81 U/L and 1.4% at 405 U/L. In London, CK was measured using the Beckman Coulter CK-NAC assay on the AU5800 analyser; reproducibility was 1.5% at 117 U/L and 2.5% at 452 U/L.  The laboratory normal range for CK was 29-200 U/L in Oxford and 40-320 U/L in Sheffield and London. </t>
    <phoneticPr fontId="2"/>
  </si>
  <si>
    <t>enzymatic-NAC</t>
    <phoneticPr fontId="2"/>
  </si>
  <si>
    <t>Oeckl 2019</t>
    <phoneticPr fontId="2"/>
  </si>
  <si>
    <t>genetic ALS (Ulm and Umea) + sporadic ALS (Ulm)</t>
    <phoneticPr fontId="2"/>
  </si>
  <si>
    <t>Germany &amp; Sweden</t>
    <phoneticPr fontId="2"/>
  </si>
  <si>
    <t>Ulm &amp; Umeå</t>
    <phoneticPr fontId="2"/>
  </si>
  <si>
    <t>Oeckl 2019 (Ulm gALS)</t>
    <phoneticPr fontId="2"/>
  </si>
  <si>
    <t>Oeckl 2019 (Umeå gALS)</t>
    <phoneticPr fontId="2"/>
  </si>
  <si>
    <t>Oeckl 2019 (Ulm sALS)</t>
    <phoneticPr fontId="2"/>
  </si>
  <si>
    <t>sporadic ALS</t>
    <phoneticPr fontId="2"/>
  </si>
  <si>
    <t>GFAP</t>
    <phoneticPr fontId="2"/>
  </si>
  <si>
    <t>Kläppe 2022</t>
    <phoneticPr fontId="2"/>
  </si>
  <si>
    <t>Kläppe 2024</t>
    <phoneticPr fontId="2"/>
  </si>
  <si>
    <t>Amyotrophic lateral sclerosis: Correlations between fluid biomarkers of NfL, TDP-43, and tau, and clinical characteristics</t>
    <phoneticPr fontId="2"/>
  </si>
  <si>
    <t>Neurodegenerative biomarkers outperform neuroinflammatory biomarkers in amyotrophic lateral sclerosis</t>
    <phoneticPr fontId="2"/>
  </si>
  <si>
    <t>p-tau181</t>
    <phoneticPr fontId="2"/>
  </si>
  <si>
    <t>Aβ42/p-tau181</t>
    <phoneticPr fontId="2"/>
  </si>
  <si>
    <t>Multiplex immunoassay</t>
    <phoneticPr fontId="2"/>
  </si>
  <si>
    <t>multiplex bead-based immunoassay (INNOBIA AlzBio3, Fujirebio) on the Luminex xMAP platform.</t>
    <phoneticPr fontId="2"/>
  </si>
  <si>
    <t>CSF NfL, t-tau, p-tau, Aβ42, YKL-40 and CHIT1 levels were analyzed using commercially available enzyme-linked immunosorbent assay (ELISA) kits (IBL, Hamburg, Germany; INNOTEST htau-Ag, INNOTEST phosphorylated-Tau181, INNOTEST Aβ1–42, Innogenetics/Fujirebio Europe, Ghent, Belgium; R&amp;D ELISA, R&amp;D Systems, Minneapolis, MN, USA; MBL, Belgium)</t>
    <phoneticPr fontId="2"/>
  </si>
  <si>
    <t>CSF pTau and tTau levels were measured by chemiluminescence enzyme immunoassay (CLEIA; Lumipulse GpTau 181 and Lumipulse G Total Tau, Fujirebio Inc. Europe, Gent, Belgium) on a fully automated platform (Lumipulse G1200 analyzer; Fujirebio Inc. Europe, Gent, Belgium)</t>
    <phoneticPr fontId="2"/>
  </si>
  <si>
    <t>CSF t-tau, p-tau 181, and Abeta 1-42 was performed with commercially available ELISA kits (Fujirebio, Hanover, Germany)</t>
  </si>
  <si>
    <t>CSF t-tau, p-tau 181, and Abeta 1-42 was performed with commercially available ELISA kits (Fujirebio, Hanover, Germany)</t>
    <phoneticPr fontId="2"/>
  </si>
  <si>
    <t>tau protein and phosphorylated tau protein (p-tau 181) were assessed using sandwich ELISA kits conforming to the In Vitro Diagnostic Directive (IVD-CE), specifically the Total-tau ELISA by Euroimmun, based in Lubeck, Germany, and bearing the catalog number EQ 6531–9601-L.</t>
    <phoneticPr fontId="2"/>
  </si>
  <si>
    <t>CSF t-tau, p-tau181, Aβ42 and Aβ40 were measured by automated chemiluminescent enzyme immunoassay on the Lumipulse G600II platform (Fujirebio, Gent, Belgium).</t>
    <phoneticPr fontId="2"/>
  </si>
  <si>
    <t>Plasma p-tau181 and NfL levels in all participants, and CSF NfL values in patients with ALS, were determined with the Single molecule array (Simoa) technology on a SR-X instrument using commercially available kits</t>
    <phoneticPr fontId="2"/>
  </si>
  <si>
    <t>CSF tau and pTau-T181 concentrations were measured using the Simoa Tau and pTau181 Advantage Kits on a fully automated Simoa HD-X Analyzer using manufacturer's recommendations (Quanterix Corporation, Billerica, MA)</t>
    <phoneticPr fontId="2"/>
  </si>
  <si>
    <t>CSF Aβ42, t-tau and p-tau181 were assessed by enzyme linked immunosorbent assays (Fujirebio, Ghent, Belgium) according to the manufacturer's instructions.</t>
    <phoneticPr fontId="2"/>
  </si>
  <si>
    <t>RETRACTED</t>
    <phoneticPr fontId="2"/>
  </si>
  <si>
    <t>Gong 2022 (RETRACTED)</t>
    <phoneticPr fontId="2"/>
  </si>
  <si>
    <t>xMAP Luminex</t>
    <phoneticPr fontId="2"/>
  </si>
  <si>
    <t>CSF levels of β-amyloid 42, T-tau, and P-tau were measured using the multiplex xMAP Luminex platform (Luminex Corp) with the INNOBIA AlzBio3 kit (Fujirebio), as described previously.</t>
    <phoneticPr fontId="2"/>
  </si>
  <si>
    <t>pTau181 and GFAP were measured with NeuroToolKit Elecsys assays on a Cobas e402 analyzer</t>
    <phoneticPr fontId="2"/>
  </si>
  <si>
    <t>Quantification of CSF Aβ40, Aβ42 and p-tau181 and total tau (t-tau) was conducted using the chemiluminescent enzyme immunoassay on the on the automated Lumipulse G600II analyzer according to the instructions (Fujirebio)</t>
    <phoneticPr fontId="2"/>
  </si>
  <si>
    <t>ptau_ttau_ratio</t>
    <phoneticPr fontId="2"/>
  </si>
  <si>
    <t>ChenX 2019</t>
    <phoneticPr fontId="2"/>
  </si>
  <si>
    <t>ChenY 2019</t>
    <phoneticPr fontId="2"/>
  </si>
  <si>
    <t>LiY 2022</t>
    <phoneticPr fontId="2"/>
  </si>
  <si>
    <t>Qalb</t>
    <phoneticPr fontId="2"/>
  </si>
  <si>
    <t>CSF</t>
    <phoneticPr fontId="2"/>
  </si>
  <si>
    <t>V-PLEX</t>
    <phoneticPr fontId="2"/>
  </si>
  <si>
    <t>ALSmimics (optimized cut-off)</t>
    <phoneticPr fontId="2"/>
  </si>
  <si>
    <t>IRCCS Neuromed hospital in Pozzilli (IS) Italy</t>
    <phoneticPr fontId="2"/>
  </si>
  <si>
    <t>MND vs DC</t>
    <phoneticPr fontId="2"/>
  </si>
  <si>
    <t>Vidovic 2024</t>
    <phoneticPr fontId="2"/>
  </si>
  <si>
    <t>meanFRSR_baseline</t>
    <phoneticPr fontId="2"/>
  </si>
  <si>
    <t>SurvTimeFromOnset_3Q</t>
    <phoneticPr fontId="2"/>
  </si>
  <si>
    <t>FTD–ALS spectrum</t>
    <phoneticPr fontId="2"/>
  </si>
  <si>
    <t>FTD–ALS spectrum (mostly FTD without ALS)</t>
    <phoneticPr fontId="2"/>
  </si>
  <si>
    <t>MND (ALS_GoldCoast_2020; PMA; PLS)</t>
    <phoneticPr fontId="2"/>
  </si>
  <si>
    <t>Neurofilaments, T-Tau, P-Tau, and Abeta-42</t>
    <phoneticPr fontId="2"/>
  </si>
  <si>
    <t>ASL-MRI</t>
    <phoneticPr fontId="2"/>
  </si>
  <si>
    <t>NA (systematic review)</t>
  </si>
  <si>
    <t>NA (systematic review)</t>
    <phoneticPr fontId="2"/>
  </si>
  <si>
    <t>NA (umbrella review)</t>
    <phoneticPr fontId="2"/>
  </si>
  <si>
    <r>
      <t xml:space="preserve">"Pre-fALS study" </t>
    </r>
    <r>
      <rPr>
        <sz val="11"/>
        <rFont val="游ゴシック"/>
        <family val="3"/>
        <charset val="128"/>
        <scheme val="minor"/>
      </rPr>
      <t>NCT00317616</t>
    </r>
    <phoneticPr fontId="2"/>
  </si>
  <si>
    <r>
      <t xml:space="preserve">"Pre-fALS study" </t>
    </r>
    <r>
      <rPr>
        <sz val="11"/>
        <rFont val="游ゴシック"/>
        <family val="3"/>
        <charset val="128"/>
        <scheme val="minor"/>
      </rPr>
      <t>NCT00317616</t>
    </r>
  </si>
  <si>
    <r>
      <t>CSF Aβ42, Aβ40, T-tau, and P-tau181 was performed by chemiluminescence enzyme immunoassay (CLEIA) on the Lumipulse G600II platform (Fujirebio Europe, Ghent, Belgium). An Aβ42/Aβ40 (Aβ42/40) ratio</t>
    </r>
    <r>
      <rPr>
        <sz val="11"/>
        <rFont val="Arial"/>
        <family val="2"/>
        <charset val="1"/>
      </rPr>
      <t> </t>
    </r>
    <r>
      <rPr>
        <sz val="11"/>
        <rFont val="游ゴシック"/>
        <family val="2"/>
        <scheme val="minor"/>
      </rPr>
      <t>≤0.069 enabled classification of patients as Aβ-positive (A+) while an Aβ42/40 ratio</t>
    </r>
    <r>
      <rPr>
        <sz val="11"/>
        <rFont val="Arial"/>
        <family val="2"/>
        <charset val="1"/>
      </rPr>
      <t> </t>
    </r>
    <r>
      <rPr>
        <sz val="11"/>
        <rFont val="游ゴシック"/>
        <family val="2"/>
        <scheme val="minor"/>
      </rPr>
      <t>&gt;0.069 denoted Aβ-negative (A–); positivity of tau pathology (T) and neurodegeneration (N) was defined by P-tau181 and T-tau levels ≥56.5</t>
    </r>
    <r>
      <rPr>
        <sz val="11"/>
        <rFont val="Arial"/>
        <family val="2"/>
        <charset val="1"/>
      </rPr>
      <t> </t>
    </r>
    <r>
      <rPr>
        <sz val="11"/>
        <rFont val="游ゴシック"/>
        <family val="2"/>
        <scheme val="minor"/>
      </rPr>
      <t>pg/mL and</t>
    </r>
    <r>
      <rPr>
        <sz val="11"/>
        <rFont val="Arial"/>
        <family val="2"/>
        <charset val="1"/>
      </rPr>
      <t> </t>
    </r>
    <r>
      <rPr>
        <sz val="11"/>
        <rFont val="游ゴシック"/>
        <family val="2"/>
        <scheme val="minor"/>
      </rPr>
      <t>≥</t>
    </r>
    <r>
      <rPr>
        <sz val="11"/>
        <rFont val="Arial"/>
        <family val="2"/>
        <charset val="1"/>
      </rPr>
      <t> </t>
    </r>
    <r>
      <rPr>
        <sz val="11"/>
        <rFont val="游ゴシック"/>
        <family val="2"/>
        <scheme val="minor"/>
      </rPr>
      <t>404</t>
    </r>
    <r>
      <rPr>
        <sz val="11"/>
        <rFont val="Arial"/>
        <family val="2"/>
        <charset val="1"/>
      </rPr>
      <t> </t>
    </r>
    <r>
      <rPr>
        <sz val="11"/>
        <rFont val="游ゴシック"/>
        <family val="2"/>
        <scheme val="minor"/>
      </rPr>
      <t>pg/mL, respectively</t>
    </r>
    <phoneticPr fontId="2"/>
  </si>
  <si>
    <r>
      <t>age- and sex-matched individuals with no clinical or neuroradiological evidence of central nervous system diseases. Their CSF biomarker levels (p-tau/Aβ42 and t-tau/Aβ42) were within normal ranges</t>
    </r>
    <r>
      <rPr>
        <sz val="12"/>
        <rFont val="Arial"/>
        <family val="2"/>
        <charset val="128"/>
      </rPr>
      <t>​</t>
    </r>
    <r>
      <rPr>
        <sz val="12"/>
        <rFont val="游ゴシック"/>
        <family val="2"/>
        <charset val="128"/>
        <scheme val="minor"/>
      </rPr>
      <t>.</t>
    </r>
    <phoneticPr fontId="2"/>
  </si>
  <si>
    <t>Patients aged above 45 years who underwent lumbar puncture due to suspected neurological disorders.Neurological disorders were ruled out after extensive investigations.</t>
  </si>
  <si>
    <t>based on European Federation of Neurological Societies/Peripheral Nerve Society (EFNS/PNS) criteria (2010), requiring "a slowly progressive, focal, asymmetric limb weakness without sensory abnormalities."</t>
  </si>
  <si>
    <t>ALS_male</t>
  </si>
  <si>
    <t>ALS_male_percent</t>
  </si>
  <si>
    <t>Con_male</t>
  </si>
  <si>
    <t>Con_male_percent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</si>
</sst>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0.000"/>
  </numFmts>
  <fonts count="19">
    <font>
      <sz val="12"/>
      <color theme="1"/>
      <name val="游ゴシック"/>
      <family val="2"/>
      <charset val="128"/>
      <scheme val="minor"/>
    </font>
    <font>
      <b/>
      <sz val="13"/>
      <color theme="3"/>
      <name val="游ゴシック"/>
      <family val="2"/>
      <charset val="128"/>
      <scheme val="minor"/>
    </font>
    <font>
      <sz val="6"/>
      <name val="游ゴシック"/>
      <family val="2"/>
      <charset val="128"/>
      <scheme val="minor"/>
    </font>
    <font>
      <sz val="12"/>
      <name val="游ゴシック"/>
      <family val="2"/>
      <charset val="128"/>
      <scheme val="minor"/>
    </font>
    <font>
      <sz val="12"/>
      <name val="游ゴシック"/>
      <family val="3"/>
      <charset val="128"/>
      <scheme val="minor"/>
    </font>
    <font>
      <sz val="11"/>
      <color theme="1"/>
      <name val="游ゴシック"/>
      <family val="2"/>
      <scheme val="minor"/>
    </font>
    <font>
      <b/>
      <sz val="13"/>
      <color theme="3"/>
      <name val="游ゴシック"/>
      <family val="2"/>
      <scheme val="minor"/>
    </font>
    <font>
      <sz val="12"/>
      <color theme="1"/>
      <name val="游ゴシック"/>
      <family val="2"/>
      <charset val="128"/>
      <scheme val="minor"/>
    </font>
    <font>
      <sz val="13"/>
      <name val="游ゴシック"/>
      <family val="2"/>
      <scheme val="minor"/>
    </font>
    <font>
      <sz val="13"/>
      <name val="游ゴシック"/>
      <family val="3"/>
      <charset val="128"/>
      <scheme val="minor"/>
    </font>
    <font>
      <sz val="11"/>
      <name val="游ゴシック"/>
      <family val="2"/>
      <scheme val="minor"/>
    </font>
    <font>
      <sz val="11"/>
      <name val="游ゴシック"/>
      <family val="3"/>
      <charset val="128"/>
      <scheme val="minor"/>
    </font>
    <font>
      <sz val="11"/>
      <name val="游ゴシック"/>
      <family val="2"/>
      <charset val="128"/>
      <scheme val="minor"/>
    </font>
    <font>
      <sz val="11"/>
      <name val="Arial"/>
      <family val="2"/>
      <charset val="1"/>
    </font>
    <font>
      <sz val="11"/>
      <name val="Aptos"/>
    </font>
    <font>
      <sz val="12"/>
      <name val="Arial"/>
      <family val="2"/>
      <charset val="128"/>
    </font>
    <font>
      <sz val="12"/>
      <name val="游ゴシック"/>
      <family val="2"/>
      <scheme val="minor"/>
    </font>
    <font>
      <sz val="13"/>
      <name val="游ゴシック"/>
      <family val="2"/>
      <charset val="128"/>
      <scheme val="minor"/>
    </font>
    <font>
      <sz val="13"/>
      <name val="Aptos"/>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5">
    <xf numFmtId="0" fontId="0" fillId="0" borderId="0">
      <alignment vertical="center"/>
    </xf>
    <xf numFmtId="0" fontId="1" fillId="0" borderId="1" applyNumberFormat="0" applyFill="0" applyAlignment="0" applyProtection="0">
      <alignment vertical="center"/>
    </xf>
    <xf numFmtId="0" fontId="5" fillId="0" borderId="0"/>
    <xf numFmtId="0" fontId="6" fillId="0" borderId="1" applyNumberFormat="0" applyFill="0" applyAlignment="0" applyProtection="0"/>
    <xf numFmtId="9" fontId="7" fillId="0" borderId="0" applyFont="0" applyFill="0" applyBorder="0" applyAlignment="0" applyProtection="0"/>
  </cellStyleXfs>
  <cellXfs count="44">
    <xf numFmtId="0" fontId="0" fillId="0" borderId="0" xfId="0">
      <alignment vertical="center"/>
    </xf>
    <xf numFmtId="178" fontId="18" fillId="0" borderId="0" xfId="4" applyNumberFormat="1" applyFont="1" applyFill="1" applyBorder="1" applyAlignment="1">
      <alignment vertical="center"/>
    </xf>
    <xf numFmtId="178" fontId="3" fillId="0" borderId="0" xfId="4" applyNumberFormat="1" applyFont="1" applyFill="1" applyBorder="1" applyAlignment="1">
      <alignment vertical="center"/>
    </xf>
    <xf numFmtId="178" fontId="4" fillId="0" borderId="0" xfId="4" applyNumberFormat="1" applyFont="1" applyFill="1" applyBorder="1" applyAlignment="1">
      <alignment vertical="center"/>
    </xf>
    <xf numFmtId="0" fontId="17" fillId="0" borderId="0" xfId="1" applyFont="1" applyFill="1" applyBorder="1" applyAlignment="1">
      <alignment vertical="center"/>
    </xf>
    <xf numFmtId="0" fontId="18" fillId="0" borderId="0" xfId="1" applyFont="1" applyFill="1" applyBorder="1" applyAlignment="1">
      <alignment vertical="center"/>
    </xf>
    <xf numFmtId="178" fontId="18" fillId="0" borderId="0" xfId="1" applyNumberFormat="1" applyFont="1" applyFill="1" applyBorder="1" applyAlignment="1">
      <alignment vertical="center"/>
    </xf>
    <xf numFmtId="10" fontId="18" fillId="0" borderId="0" xfId="1" applyNumberFormat="1" applyFont="1" applyFill="1" applyBorder="1" applyAlignment="1">
      <alignment vertical="center"/>
    </xf>
    <xf numFmtId="0" fontId="18" fillId="0" borderId="0" xfId="1" applyNumberFormat="1" applyFont="1" applyFill="1" applyBorder="1" applyAlignment="1">
      <alignment vertical="center"/>
    </xf>
    <xf numFmtId="0" fontId="8" fillId="0" borderId="0" xfId="3" applyFont="1" applyFill="1" applyBorder="1" applyAlignment="1">
      <alignment vertical="center"/>
    </xf>
    <xf numFmtId="9" fontId="8" fillId="0" borderId="0" xfId="4" applyFont="1" applyFill="1" applyBorder="1" applyAlignment="1">
      <alignment vertical="center"/>
    </xf>
    <xf numFmtId="0" fontId="8" fillId="0" borderId="0" xfId="4" applyNumberFormat="1" applyFont="1" applyFill="1" applyBorder="1" applyAlignment="1">
      <alignment vertical="center"/>
    </xf>
    <xf numFmtId="0" fontId="9" fillId="0" borderId="0" xfId="3" applyFont="1" applyFill="1" applyBorder="1" applyAlignment="1">
      <alignment vertical="center"/>
    </xf>
    <xf numFmtId="0" fontId="3" fillId="0" borderId="0" xfId="0" applyFont="1">
      <alignment vertical="center"/>
    </xf>
    <xf numFmtId="0" fontId="10" fillId="0" borderId="0" xfId="2" applyFont="1" applyAlignment="1">
      <alignment vertical="center"/>
    </xf>
    <xf numFmtId="10" fontId="3" fillId="0" borderId="0" xfId="0" applyNumberFormat="1" applyFont="1">
      <alignment vertical="center"/>
    </xf>
    <xf numFmtId="0" fontId="4" fillId="0" borderId="0" xfId="0" applyFont="1">
      <alignment vertical="center"/>
    </xf>
    <xf numFmtId="178" fontId="3" fillId="0" borderId="0" xfId="0" applyNumberFormat="1" applyFont="1">
      <alignment vertical="center"/>
    </xf>
    <xf numFmtId="10" fontId="4" fillId="0" borderId="0" xfId="0" applyNumberFormat="1" applyFont="1">
      <alignment vertical="center"/>
    </xf>
    <xf numFmtId="9" fontId="3" fillId="0" borderId="0" xfId="0" applyNumberFormat="1" applyFont="1">
      <alignment vertical="center"/>
    </xf>
    <xf numFmtId="176" fontId="3" fillId="0" borderId="0" xfId="0" applyNumberFormat="1" applyFont="1">
      <alignment vertical="center"/>
    </xf>
    <xf numFmtId="16" fontId="3" fillId="0" borderId="0" xfId="0" applyNumberFormat="1" applyFont="1">
      <alignment vertical="center"/>
    </xf>
    <xf numFmtId="11" fontId="3" fillId="0" borderId="0" xfId="0" applyNumberFormat="1" applyFont="1">
      <alignment vertical="center"/>
    </xf>
    <xf numFmtId="0" fontId="11" fillId="0" borderId="0" xfId="0" applyFont="1">
      <alignment vertical="center"/>
    </xf>
    <xf numFmtId="14" fontId="3" fillId="0" borderId="0" xfId="0" applyNumberFormat="1" applyFont="1">
      <alignment vertical="center"/>
    </xf>
    <xf numFmtId="49" fontId="3" fillId="0" borderId="0" xfId="0" applyNumberFormat="1" applyFont="1">
      <alignment vertical="center"/>
    </xf>
    <xf numFmtId="178" fontId="4" fillId="0" borderId="0" xfId="0" applyNumberFormat="1" applyFont="1">
      <alignment vertical="center"/>
    </xf>
    <xf numFmtId="0" fontId="10" fillId="0" borderId="0" xfId="0" applyFont="1">
      <alignment vertical="center"/>
    </xf>
    <xf numFmtId="0" fontId="16" fillId="0" borderId="0" xfId="0" applyFont="1">
      <alignment vertical="center"/>
    </xf>
    <xf numFmtId="0" fontId="11" fillId="0" borderId="0" xfId="2" applyFont="1" applyAlignment="1">
      <alignment vertical="center"/>
    </xf>
    <xf numFmtId="0" fontId="16" fillId="0" borderId="0" xfId="2" applyFont="1" applyAlignment="1">
      <alignment vertical="center"/>
    </xf>
    <xf numFmtId="0" fontId="3" fillId="0" borderId="0" xfId="0" quotePrefix="1" applyFont="1">
      <alignment vertical="center"/>
    </xf>
    <xf numFmtId="0" fontId="8" fillId="0" borderId="0" xfId="3" applyNumberFormat="1" applyFont="1" applyFill="1" applyBorder="1" applyAlignment="1">
      <alignment vertical="center"/>
    </xf>
    <xf numFmtId="14" fontId="8" fillId="0" borderId="0" xfId="3" applyNumberFormat="1" applyFont="1" applyFill="1" applyBorder="1" applyAlignment="1">
      <alignment vertical="center"/>
    </xf>
    <xf numFmtId="9" fontId="10" fillId="0" borderId="0" xfId="4" applyFont="1" applyFill="1" applyBorder="1" applyAlignment="1">
      <alignment vertical="center"/>
    </xf>
    <xf numFmtId="0" fontId="10" fillId="0" borderId="0" xfId="4" applyNumberFormat="1" applyFont="1" applyFill="1" applyBorder="1" applyAlignment="1">
      <alignment vertical="center"/>
    </xf>
    <xf numFmtId="14" fontId="10" fillId="0" borderId="0" xfId="2" applyNumberFormat="1" applyFont="1" applyAlignment="1">
      <alignment vertical="center"/>
    </xf>
    <xf numFmtId="0" fontId="12" fillId="0" borderId="0" xfId="0" applyFont="1">
      <alignment vertical="center"/>
    </xf>
    <xf numFmtId="11" fontId="10" fillId="0" borderId="0" xfId="2" applyNumberFormat="1" applyFont="1" applyAlignment="1">
      <alignment vertical="center"/>
    </xf>
    <xf numFmtId="0" fontId="10" fillId="0" borderId="0" xfId="2" quotePrefix="1" applyFont="1" applyAlignment="1">
      <alignment vertical="center"/>
    </xf>
    <xf numFmtId="177" fontId="10" fillId="0" borderId="0" xfId="4" applyNumberFormat="1" applyFont="1" applyFill="1" applyBorder="1" applyAlignment="1">
      <alignment vertical="center"/>
    </xf>
    <xf numFmtId="0" fontId="10" fillId="0" borderId="0" xfId="4" quotePrefix="1" applyNumberFormat="1" applyFont="1" applyFill="1" applyBorder="1" applyAlignment="1">
      <alignment vertical="center"/>
    </xf>
    <xf numFmtId="0" fontId="14" fillId="0" borderId="0" xfId="0" applyFont="1">
      <alignment vertical="center"/>
    </xf>
    <xf numFmtId="0" fontId="14" fillId="0" borderId="0" xfId="2" applyFont="1" applyAlignment="1">
      <alignment vertical="center"/>
    </xf>
  </cellXfs>
  <cellStyles count="5">
    <cellStyle name="Heading 2" xfId="1" builtinId="17"/>
    <cellStyle name="Heading 2 2" xfId="3" xr:uid="{356AE92B-D2BF-6D44-8694-7F02390D9CDD}"/>
    <cellStyle name="Normal" xfId="0" builtinId="0"/>
    <cellStyle name="Normal 2" xfId="2" xr:uid="{0D13D25C-F25D-C744-996D-DCEC31E59C5F}"/>
    <cellStyle name="Percent" xfId="4" builtinId="5"/>
  </cellStyles>
  <dxfs count="39">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2F4D4"/>
      <color rgb="FFE9F4F8"/>
      <color rgb="FFF0EDF9"/>
      <color rgb="FFF7F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E8B3-7A48-C84E-9A7D-37D1674A4878}">
  <dimension ref="A1:CG996"/>
  <sheetViews>
    <sheetView tabSelected="1" zoomScale="68" workbookViewId="0">
      <pane xSplit="8" ySplit="1" topLeftCell="I2" activePane="bottomRight" state="frozen"/>
      <selection pane="topRight" activeCell="J1" sqref="J1"/>
      <selection pane="bottomLeft" activeCell="A2" sqref="A2"/>
      <selection pane="bottomRight" activeCell="H36" sqref="H36"/>
    </sheetView>
  </sheetViews>
  <sheetFormatPr baseColWidth="10" defaultRowHeight="20"/>
  <cols>
    <col min="1" max="2" width="7" style="13" customWidth="1"/>
    <col min="3" max="3" width="17" style="13" customWidth="1"/>
    <col min="4" max="4" width="18.5703125" style="13" customWidth="1"/>
    <col min="5" max="5" width="13.5703125" style="13" customWidth="1"/>
    <col min="6" max="6" width="10.28515625" style="13" customWidth="1"/>
    <col min="7" max="7" width="7.42578125" style="13" customWidth="1"/>
    <col min="8" max="8" width="11" style="13" customWidth="1"/>
    <col min="9" max="9" width="7.85546875" style="13" customWidth="1"/>
    <col min="10" max="10" width="9.85546875" style="13" customWidth="1"/>
    <col min="11" max="11" width="12.140625" style="13" customWidth="1"/>
    <col min="12" max="14" width="14.140625" style="13" customWidth="1"/>
    <col min="15" max="15" width="14.140625" style="2" customWidth="1"/>
    <col min="16" max="16" width="14.140625" style="13" customWidth="1"/>
    <col min="17" max="17" width="14.140625" style="17" customWidth="1"/>
    <col min="18" max="18" width="18.42578125" style="13" customWidth="1"/>
    <col min="19" max="19" width="17.85546875" style="13" customWidth="1"/>
    <col min="20" max="20" width="18.42578125" style="13" customWidth="1"/>
    <col min="21" max="21" width="10" style="15" customWidth="1"/>
    <col min="22" max="22" width="10.7109375" style="13" customWidth="1"/>
    <col min="23" max="23" width="16.85546875" style="13" customWidth="1"/>
    <col min="24" max="24" width="14" style="13" customWidth="1"/>
    <col min="25" max="25" width="15" style="13" customWidth="1"/>
    <col min="26" max="32" width="14" style="13" customWidth="1"/>
    <col min="33" max="33" width="10.85546875" style="13"/>
    <col min="34" max="35" width="15.7109375" style="13" customWidth="1"/>
    <col min="36" max="36" width="10.85546875" style="13"/>
    <col min="37" max="38" width="10.7109375" style="13" customWidth="1"/>
    <col min="39" max="39" width="10.85546875" style="13"/>
    <col min="40" max="41" width="10.7109375" style="13" customWidth="1"/>
    <col min="42" max="42" width="10.85546875" style="13"/>
    <col min="43" max="43" width="10.85546875" style="13" customWidth="1"/>
    <col min="44" max="45" width="10.85546875" style="13"/>
    <col min="46" max="46" width="10.7109375" style="13"/>
    <col min="47" max="53" width="10.85546875" style="13" customWidth="1"/>
    <col min="54" max="54" width="12.85546875" style="13" customWidth="1"/>
    <col min="55" max="55" width="10.85546875" style="13"/>
    <col min="56" max="58" width="10.85546875" style="13" customWidth="1"/>
    <col min="59" max="59" width="10.85546875" style="13"/>
    <col min="60" max="60" width="10.85546875" style="13" customWidth="1"/>
    <col min="61" max="62" width="10.85546875" style="13"/>
    <col min="63" max="64" width="10.7109375" style="13" customWidth="1"/>
    <col min="65" max="65" width="10.85546875" style="13"/>
    <col min="66" max="66" width="10.7109375" style="13"/>
    <col min="67" max="69" width="10.85546875" style="13" customWidth="1"/>
    <col min="70" max="70" width="10.7109375" style="13"/>
    <col min="71" max="71" width="10.85546875" style="13" customWidth="1"/>
    <col min="72" max="73" width="10.7109375" style="13"/>
    <col min="74" max="75" width="10.7109375" style="13" customWidth="1"/>
    <col min="76" max="76" width="16" style="13" customWidth="1"/>
    <col min="77" max="77" width="11.140625" style="13" customWidth="1"/>
    <col min="78" max="78" width="10.7109375" style="13"/>
    <col min="79" max="84" width="10.85546875" style="13" customWidth="1"/>
    <col min="85" max="85" width="28.140625" style="13" customWidth="1"/>
    <col min="86" max="87" width="10.85546875" style="13" customWidth="1"/>
    <col min="88" max="16384" width="10.7109375" style="13"/>
  </cols>
  <sheetData>
    <row r="1" spans="1:85" s="4" customFormat="1" ht="23">
      <c r="A1" s="4" t="s">
        <v>2139</v>
      </c>
      <c r="B1" s="4" t="s">
        <v>2935</v>
      </c>
      <c r="C1" s="4" t="s">
        <v>9</v>
      </c>
      <c r="D1" s="4" t="s">
        <v>816</v>
      </c>
      <c r="E1" s="5" t="s">
        <v>601</v>
      </c>
      <c r="F1" s="5" t="s">
        <v>618</v>
      </c>
      <c r="G1" s="5" t="s">
        <v>671</v>
      </c>
      <c r="H1" s="4" t="s">
        <v>1954</v>
      </c>
      <c r="I1" s="4" t="s">
        <v>668</v>
      </c>
      <c r="J1" s="4" t="s">
        <v>577</v>
      </c>
      <c r="K1" s="4" t="s">
        <v>2778</v>
      </c>
      <c r="L1" s="5" t="s">
        <v>588</v>
      </c>
      <c r="M1" s="5" t="s">
        <v>1957</v>
      </c>
      <c r="N1" s="5" t="s">
        <v>4187</v>
      </c>
      <c r="O1" s="1" t="s">
        <v>4188</v>
      </c>
      <c r="P1" s="5" t="s">
        <v>4189</v>
      </c>
      <c r="Q1" s="6" t="s">
        <v>4190</v>
      </c>
      <c r="R1" s="5" t="s">
        <v>587</v>
      </c>
      <c r="S1" s="5" t="s">
        <v>612</v>
      </c>
      <c r="T1" s="5" t="s">
        <v>621</v>
      </c>
      <c r="U1" s="7" t="s">
        <v>659</v>
      </c>
      <c r="V1" s="5" t="s">
        <v>620</v>
      </c>
      <c r="W1" s="5" t="s">
        <v>617</v>
      </c>
      <c r="X1" s="5" t="s">
        <v>602</v>
      </c>
      <c r="Y1" s="5" t="s">
        <v>623</v>
      </c>
      <c r="Z1" s="5" t="s">
        <v>660</v>
      </c>
      <c r="AA1" s="5" t="s">
        <v>661</v>
      </c>
      <c r="AB1" s="5" t="s">
        <v>2032</v>
      </c>
      <c r="AC1" s="5" t="s">
        <v>2033</v>
      </c>
      <c r="AD1" s="5" t="s">
        <v>2042</v>
      </c>
      <c r="AE1" s="5" t="s">
        <v>2043</v>
      </c>
      <c r="AF1" s="5" t="s">
        <v>2044</v>
      </c>
      <c r="AG1" s="5" t="s">
        <v>640</v>
      </c>
      <c r="AH1" s="5" t="s">
        <v>665</v>
      </c>
      <c r="AI1" s="5" t="s">
        <v>3765</v>
      </c>
      <c r="AJ1" s="8" t="s">
        <v>579</v>
      </c>
      <c r="AK1" s="8" t="s">
        <v>625</v>
      </c>
      <c r="AL1" s="8" t="s">
        <v>624</v>
      </c>
      <c r="AM1" s="8" t="s">
        <v>580</v>
      </c>
      <c r="AN1" s="8" t="s">
        <v>626</v>
      </c>
      <c r="AO1" s="8" t="s">
        <v>627</v>
      </c>
      <c r="AP1" s="8" t="s">
        <v>594</v>
      </c>
      <c r="AQ1" s="8" t="s">
        <v>749</v>
      </c>
      <c r="AR1" s="8" t="s">
        <v>596</v>
      </c>
      <c r="AS1" s="8" t="s">
        <v>595</v>
      </c>
      <c r="AT1" s="8" t="s">
        <v>1065</v>
      </c>
      <c r="AU1" s="5" t="s">
        <v>581</v>
      </c>
      <c r="AV1" s="5" t="s">
        <v>642</v>
      </c>
      <c r="AW1" s="5" t="s">
        <v>643</v>
      </c>
      <c r="AX1" s="5" t="s">
        <v>582</v>
      </c>
      <c r="AY1" s="5" t="s">
        <v>644</v>
      </c>
      <c r="AZ1" s="5" t="s">
        <v>645</v>
      </c>
      <c r="BA1" s="5" t="s">
        <v>583</v>
      </c>
      <c r="BB1" s="5" t="s">
        <v>589</v>
      </c>
      <c r="BC1" s="5" t="s">
        <v>590</v>
      </c>
      <c r="BD1" s="5" t="s">
        <v>591</v>
      </c>
      <c r="BE1" s="5" t="s">
        <v>592</v>
      </c>
      <c r="BF1" s="5" t="s">
        <v>593</v>
      </c>
      <c r="BG1" s="5" t="s">
        <v>603</v>
      </c>
      <c r="BH1" s="5" t="s">
        <v>722</v>
      </c>
      <c r="BI1" s="5" t="s">
        <v>604</v>
      </c>
      <c r="BJ1" s="5" t="s">
        <v>605</v>
      </c>
      <c r="BK1" s="5" t="s">
        <v>3854</v>
      </c>
      <c r="BL1" s="5" t="s">
        <v>3855</v>
      </c>
      <c r="BM1" s="5" t="s">
        <v>606</v>
      </c>
      <c r="BN1" s="5" t="s">
        <v>607</v>
      </c>
      <c r="BO1" s="5" t="s">
        <v>608</v>
      </c>
      <c r="BP1" s="5" t="s">
        <v>609</v>
      </c>
      <c r="BQ1" s="5" t="s">
        <v>610</v>
      </c>
      <c r="BR1" s="5" t="s">
        <v>611</v>
      </c>
      <c r="BS1" s="5" t="s">
        <v>723</v>
      </c>
      <c r="BT1" s="5" t="s">
        <v>613</v>
      </c>
      <c r="BU1" s="5" t="s">
        <v>614</v>
      </c>
      <c r="BV1" s="5" t="s">
        <v>3856</v>
      </c>
      <c r="BW1" s="5" t="s">
        <v>3857</v>
      </c>
      <c r="BX1" s="5" t="s">
        <v>615</v>
      </c>
      <c r="BY1" s="4" t="s">
        <v>0</v>
      </c>
      <c r="BZ1" s="4" t="s">
        <v>1</v>
      </c>
      <c r="CA1" s="4" t="s">
        <v>2</v>
      </c>
      <c r="CB1" s="4" t="s">
        <v>3</v>
      </c>
      <c r="CC1" s="4" t="s">
        <v>4</v>
      </c>
      <c r="CD1" s="4" t="s">
        <v>5</v>
      </c>
      <c r="CE1" s="4" t="s">
        <v>6</v>
      </c>
      <c r="CF1" s="4" t="s">
        <v>7</v>
      </c>
      <c r="CG1" s="4" t="s">
        <v>8</v>
      </c>
    </row>
    <row r="2" spans="1:85">
      <c r="A2" s="13" t="s">
        <v>3358</v>
      </c>
      <c r="C2" s="13" t="s">
        <v>3288</v>
      </c>
      <c r="D2" s="16" t="s">
        <v>4179</v>
      </c>
      <c r="G2" s="13" t="s">
        <v>725</v>
      </c>
      <c r="H2" s="13" t="s">
        <v>3657</v>
      </c>
      <c r="J2" s="14" t="s">
        <v>726</v>
      </c>
      <c r="L2" s="14"/>
      <c r="BY2" s="13" t="s">
        <v>3433</v>
      </c>
      <c r="BZ2" s="13" t="s">
        <v>3434</v>
      </c>
      <c r="CA2" s="13">
        <v>2024</v>
      </c>
      <c r="CB2" s="13" t="s">
        <v>162</v>
      </c>
      <c r="CC2" s="13" t="s">
        <v>3435</v>
      </c>
      <c r="CD2" s="13">
        <v>563</v>
      </c>
      <c r="CF2" s="21">
        <v>45666</v>
      </c>
      <c r="CG2" s="13" t="s">
        <v>3213</v>
      </c>
    </row>
    <row r="3" spans="1:85">
      <c r="A3" s="13" t="s">
        <v>1661</v>
      </c>
      <c r="B3" s="13" t="s">
        <v>1769</v>
      </c>
      <c r="C3" s="13" t="s">
        <v>16</v>
      </c>
      <c r="D3" s="13" t="s">
        <v>817</v>
      </c>
      <c r="E3" s="13" t="s">
        <v>600</v>
      </c>
      <c r="F3" s="13" t="s">
        <v>655</v>
      </c>
      <c r="G3" s="13" t="s">
        <v>672</v>
      </c>
      <c r="H3" s="13" t="s">
        <v>675</v>
      </c>
      <c r="J3" s="13" t="s">
        <v>598</v>
      </c>
      <c r="K3" s="14" t="s">
        <v>3080</v>
      </c>
      <c r="L3" s="13" t="s">
        <v>597</v>
      </c>
      <c r="N3" s="14">
        <v>38</v>
      </c>
      <c r="O3" s="2">
        <f t="shared" ref="O3:O14" si="0">N3/R3</f>
        <v>0.47499999999999998</v>
      </c>
      <c r="P3" s="13">
        <v>31</v>
      </c>
      <c r="Q3" s="2">
        <f t="shared" ref="Q3:Q14" si="1">P3/S3</f>
        <v>0.67391304347826086</v>
      </c>
      <c r="R3" s="13">
        <v>80</v>
      </c>
      <c r="S3" s="13">
        <v>46</v>
      </c>
      <c r="T3" s="13">
        <v>19</v>
      </c>
      <c r="U3" s="15">
        <v>0.23749999999999999</v>
      </c>
      <c r="V3" s="13">
        <v>14</v>
      </c>
      <c r="W3" s="13">
        <v>62.21</v>
      </c>
      <c r="X3" s="13">
        <v>12.41</v>
      </c>
      <c r="Y3" s="16"/>
      <c r="Z3" s="16"/>
      <c r="AA3" s="16"/>
      <c r="AB3" s="16">
        <v>62.37</v>
      </c>
      <c r="AC3" s="16">
        <v>11.93</v>
      </c>
      <c r="AD3" s="16"/>
      <c r="AE3" s="16"/>
      <c r="AF3" s="16"/>
      <c r="AG3" s="13" t="s">
        <v>639</v>
      </c>
      <c r="AH3" s="13">
        <v>1955</v>
      </c>
      <c r="AJ3" s="13">
        <v>91.7</v>
      </c>
      <c r="AM3" s="13">
        <v>91.3</v>
      </c>
      <c r="AP3" s="13">
        <v>0.92200000000000004</v>
      </c>
      <c r="AQ3" s="13">
        <v>3.1E-2</v>
      </c>
      <c r="AR3" s="13">
        <f>AP3-AQ3</f>
        <v>0.89100000000000001</v>
      </c>
      <c r="AS3" s="13">
        <f>AP3+AQ3</f>
        <v>0.95300000000000007</v>
      </c>
      <c r="BG3" s="13">
        <v>5250</v>
      </c>
      <c r="BI3" s="13">
        <v>3339</v>
      </c>
      <c r="BJ3" s="13">
        <v>8750</v>
      </c>
      <c r="BR3" s="13">
        <v>873</v>
      </c>
      <c r="BT3" s="13">
        <v>450</v>
      </c>
      <c r="BU3" s="13">
        <v>1309</v>
      </c>
      <c r="BX3" s="13" t="s">
        <v>616</v>
      </c>
      <c r="BY3" s="13" t="s">
        <v>10</v>
      </c>
      <c r="BZ3" s="13" t="s">
        <v>11</v>
      </c>
      <c r="CA3" s="13">
        <v>2020</v>
      </c>
      <c r="CB3" s="13" t="s">
        <v>12</v>
      </c>
      <c r="CC3" s="13" t="s">
        <v>13</v>
      </c>
      <c r="CD3" s="13">
        <v>267</v>
      </c>
      <c r="CE3" s="13">
        <v>6</v>
      </c>
      <c r="CF3" s="13" t="s">
        <v>14</v>
      </c>
      <c r="CG3" s="13" t="s">
        <v>15</v>
      </c>
    </row>
    <row r="4" spans="1:85">
      <c r="A4" s="13" t="s">
        <v>1661</v>
      </c>
      <c r="B4" s="13" t="s">
        <v>1769</v>
      </c>
      <c r="C4" s="13" t="s">
        <v>16</v>
      </c>
      <c r="D4" s="13" t="s">
        <v>817</v>
      </c>
      <c r="E4" s="13" t="s">
        <v>599</v>
      </c>
      <c r="F4" s="13" t="s">
        <v>619</v>
      </c>
      <c r="G4" s="13" t="s">
        <v>672</v>
      </c>
      <c r="H4" s="13" t="s">
        <v>675</v>
      </c>
      <c r="J4" s="13" t="s">
        <v>598</v>
      </c>
      <c r="K4" s="14" t="s">
        <v>3080</v>
      </c>
      <c r="L4" s="13" t="s">
        <v>597</v>
      </c>
      <c r="N4" s="14">
        <v>38</v>
      </c>
      <c r="O4" s="2">
        <f t="shared" si="0"/>
        <v>0.47499999999999998</v>
      </c>
      <c r="P4" s="13">
        <v>22</v>
      </c>
      <c r="Q4" s="2">
        <f t="shared" si="1"/>
        <v>0.51162790697674421</v>
      </c>
      <c r="R4" s="13">
        <v>80</v>
      </c>
      <c r="S4" s="13">
        <v>43</v>
      </c>
      <c r="T4" s="13">
        <v>19</v>
      </c>
      <c r="U4" s="15">
        <v>0.23749999999999999</v>
      </c>
      <c r="V4" s="13">
        <v>14</v>
      </c>
      <c r="W4" s="13">
        <v>62.21</v>
      </c>
      <c r="X4" s="13">
        <v>12.41</v>
      </c>
      <c r="Y4" s="16"/>
      <c r="Z4" s="16"/>
      <c r="AA4" s="16"/>
      <c r="AB4" s="16">
        <v>63.93</v>
      </c>
      <c r="AC4" s="16">
        <v>10.6</v>
      </c>
      <c r="AD4" s="16"/>
      <c r="AE4" s="16"/>
      <c r="AF4" s="16"/>
      <c r="AG4" s="13" t="s">
        <v>639</v>
      </c>
      <c r="AH4" s="13">
        <v>1207</v>
      </c>
      <c r="AJ4" s="13">
        <v>96.3</v>
      </c>
      <c r="AM4" s="13">
        <v>97.7</v>
      </c>
      <c r="AP4" s="13">
        <v>0.98099999999999998</v>
      </c>
      <c r="AQ4" s="13">
        <v>1.0999999999999999E-2</v>
      </c>
      <c r="AR4" s="13">
        <f>AP4-AQ4</f>
        <v>0.97</v>
      </c>
      <c r="AS4" s="13">
        <f>AP4+AQ4</f>
        <v>0.99199999999999999</v>
      </c>
      <c r="BG4" s="13">
        <v>5250</v>
      </c>
      <c r="BI4" s="13">
        <v>3339</v>
      </c>
      <c r="BJ4" s="13">
        <v>8750</v>
      </c>
      <c r="BR4" s="13">
        <v>574</v>
      </c>
      <c r="BT4" s="13">
        <v>416</v>
      </c>
      <c r="BU4" s="13">
        <v>775</v>
      </c>
      <c r="BX4" s="13" t="s">
        <v>616</v>
      </c>
      <c r="BY4" s="13" t="s">
        <v>10</v>
      </c>
      <c r="BZ4" s="13" t="s">
        <v>11</v>
      </c>
      <c r="CA4" s="13">
        <v>2020</v>
      </c>
      <c r="CB4" s="13" t="s">
        <v>12</v>
      </c>
      <c r="CC4" s="13" t="s">
        <v>13</v>
      </c>
      <c r="CD4" s="13">
        <v>267</v>
      </c>
      <c r="CE4" s="13">
        <v>6</v>
      </c>
      <c r="CF4" s="13" t="s">
        <v>14</v>
      </c>
      <c r="CG4" s="13" t="s">
        <v>15</v>
      </c>
    </row>
    <row r="5" spans="1:85">
      <c r="A5" s="13" t="s">
        <v>1661</v>
      </c>
      <c r="B5" s="13" t="s">
        <v>1769</v>
      </c>
      <c r="C5" s="13" t="s">
        <v>16</v>
      </c>
      <c r="D5" s="13" t="s">
        <v>817</v>
      </c>
      <c r="E5" s="13" t="s">
        <v>600</v>
      </c>
      <c r="F5" s="13" t="s">
        <v>655</v>
      </c>
      <c r="G5" s="13" t="s">
        <v>672</v>
      </c>
      <c r="H5" s="13" t="s">
        <v>676</v>
      </c>
      <c r="J5" s="13" t="s">
        <v>598</v>
      </c>
      <c r="K5" s="14" t="s">
        <v>3080</v>
      </c>
      <c r="L5" s="13" t="s">
        <v>597</v>
      </c>
      <c r="N5" s="14">
        <v>38</v>
      </c>
      <c r="O5" s="2">
        <f t="shared" si="0"/>
        <v>0.47499999999999998</v>
      </c>
      <c r="P5" s="13">
        <v>31</v>
      </c>
      <c r="Q5" s="2">
        <f t="shared" si="1"/>
        <v>0.67391304347826086</v>
      </c>
      <c r="R5" s="13">
        <v>80</v>
      </c>
      <c r="S5" s="13">
        <v>46</v>
      </c>
      <c r="T5" s="13">
        <v>19</v>
      </c>
      <c r="U5" s="15">
        <v>0.23749999999999999</v>
      </c>
      <c r="V5" s="13">
        <v>14</v>
      </c>
      <c r="W5" s="13">
        <v>62.21</v>
      </c>
      <c r="X5" s="13">
        <v>12.41</v>
      </c>
      <c r="Y5" s="16"/>
      <c r="Z5" s="16"/>
      <c r="AA5" s="16"/>
      <c r="AB5" s="16">
        <v>62.37</v>
      </c>
      <c r="AC5" s="16">
        <v>11.93</v>
      </c>
      <c r="AD5" s="16"/>
      <c r="AE5" s="16"/>
      <c r="AF5" s="16"/>
      <c r="AG5" s="13" t="s">
        <v>639</v>
      </c>
      <c r="AH5" s="13">
        <v>228</v>
      </c>
      <c r="AJ5" s="13">
        <v>57.5</v>
      </c>
      <c r="AM5" s="13">
        <v>56.5</v>
      </c>
      <c r="AP5" s="13">
        <v>0.63</v>
      </c>
      <c r="AQ5" s="13">
        <v>5.0999999999999997E-2</v>
      </c>
      <c r="AR5" s="13">
        <v>0.57899999999999996</v>
      </c>
      <c r="AS5" s="13">
        <v>0.68100000000000005</v>
      </c>
      <c r="BG5" s="13">
        <v>254</v>
      </c>
      <c r="BI5" s="13">
        <v>186</v>
      </c>
      <c r="BJ5" s="13">
        <v>364</v>
      </c>
      <c r="BR5" s="13">
        <v>206</v>
      </c>
      <c r="BT5" s="13">
        <v>159</v>
      </c>
      <c r="BU5" s="13">
        <v>164</v>
      </c>
      <c r="BX5" s="13" t="s">
        <v>616</v>
      </c>
      <c r="BY5" s="13" t="s">
        <v>10</v>
      </c>
      <c r="BZ5" s="13" t="s">
        <v>11</v>
      </c>
      <c r="CA5" s="13">
        <v>2020</v>
      </c>
      <c r="CB5" s="13" t="s">
        <v>12</v>
      </c>
      <c r="CC5" s="13" t="s">
        <v>13</v>
      </c>
      <c r="CD5" s="13">
        <v>267</v>
      </c>
      <c r="CE5" s="13">
        <v>6</v>
      </c>
      <c r="CF5" s="13" t="s">
        <v>14</v>
      </c>
      <c r="CG5" s="13" t="s">
        <v>15</v>
      </c>
    </row>
    <row r="6" spans="1:85">
      <c r="A6" s="13" t="s">
        <v>1661</v>
      </c>
      <c r="B6" s="13" t="s">
        <v>1769</v>
      </c>
      <c r="C6" s="13" t="s">
        <v>4039</v>
      </c>
      <c r="D6" s="13" t="s">
        <v>817</v>
      </c>
      <c r="E6" s="13" t="s">
        <v>599</v>
      </c>
      <c r="F6" s="13" t="s">
        <v>619</v>
      </c>
      <c r="G6" s="13" t="s">
        <v>672</v>
      </c>
      <c r="H6" s="13" t="s">
        <v>676</v>
      </c>
      <c r="J6" s="13" t="s">
        <v>598</v>
      </c>
      <c r="K6" s="14" t="s">
        <v>3080</v>
      </c>
      <c r="L6" s="13" t="s">
        <v>597</v>
      </c>
      <c r="N6" s="14">
        <v>38</v>
      </c>
      <c r="O6" s="2">
        <f t="shared" si="0"/>
        <v>0.47499999999999998</v>
      </c>
      <c r="P6" s="13">
        <v>22</v>
      </c>
      <c r="Q6" s="2">
        <f t="shared" si="1"/>
        <v>0.51162790697674421</v>
      </c>
      <c r="R6" s="13">
        <v>80</v>
      </c>
      <c r="S6" s="13">
        <v>43</v>
      </c>
      <c r="T6" s="13">
        <v>19</v>
      </c>
      <c r="U6" s="15">
        <v>0.23749999999999999</v>
      </c>
      <c r="V6" s="13">
        <v>14</v>
      </c>
      <c r="W6" s="13">
        <v>62.21</v>
      </c>
      <c r="X6" s="13">
        <v>12.41</v>
      </c>
      <c r="Y6" s="16"/>
      <c r="Z6" s="16"/>
      <c r="AA6" s="16"/>
      <c r="AB6" s="16">
        <v>63.93</v>
      </c>
      <c r="AC6" s="16">
        <v>10.6</v>
      </c>
      <c r="AD6" s="16"/>
      <c r="AE6" s="16"/>
      <c r="AF6" s="16"/>
      <c r="AG6" s="13" t="s">
        <v>639</v>
      </c>
      <c r="AH6" s="13">
        <v>191</v>
      </c>
      <c r="AJ6" s="13">
        <v>75</v>
      </c>
      <c r="AM6" s="13">
        <v>62.8</v>
      </c>
      <c r="AP6" s="13">
        <v>0.73599999999999999</v>
      </c>
      <c r="AQ6" s="13">
        <v>4.5999999999999999E-2</v>
      </c>
      <c r="AR6" s="13">
        <v>0.69</v>
      </c>
      <c r="AS6" s="13">
        <v>0.78200000000000003</v>
      </c>
      <c r="BG6" s="13">
        <v>254</v>
      </c>
      <c r="BI6" s="13">
        <v>186</v>
      </c>
      <c r="BJ6" s="13">
        <v>364</v>
      </c>
      <c r="BR6" s="13">
        <v>173</v>
      </c>
      <c r="BT6" s="13">
        <v>138</v>
      </c>
      <c r="BU6" s="13">
        <v>219</v>
      </c>
      <c r="BX6" s="13" t="s">
        <v>616</v>
      </c>
      <c r="BY6" s="13" t="s">
        <v>10</v>
      </c>
      <c r="BZ6" s="13" t="s">
        <v>11</v>
      </c>
      <c r="CA6" s="13">
        <v>2020</v>
      </c>
      <c r="CB6" s="13" t="s">
        <v>12</v>
      </c>
      <c r="CC6" s="13" t="s">
        <v>13</v>
      </c>
      <c r="CD6" s="13">
        <v>267</v>
      </c>
      <c r="CE6" s="13">
        <v>6</v>
      </c>
      <c r="CF6" s="13" t="s">
        <v>14</v>
      </c>
      <c r="CG6" s="13" t="s">
        <v>15</v>
      </c>
    </row>
    <row r="7" spans="1:85">
      <c r="A7" s="13" t="s">
        <v>1661</v>
      </c>
      <c r="B7" s="13" t="s">
        <v>1769</v>
      </c>
      <c r="C7" s="13" t="s">
        <v>16</v>
      </c>
      <c r="D7" s="13" t="s">
        <v>817</v>
      </c>
      <c r="E7" s="13" t="s">
        <v>600</v>
      </c>
      <c r="F7" s="13" t="s">
        <v>655</v>
      </c>
      <c r="G7" s="13" t="s">
        <v>672</v>
      </c>
      <c r="H7" s="13" t="s">
        <v>4141</v>
      </c>
      <c r="J7" s="13" t="s">
        <v>598</v>
      </c>
      <c r="K7" s="14" t="s">
        <v>3080</v>
      </c>
      <c r="L7" s="13" t="s">
        <v>597</v>
      </c>
      <c r="M7" s="13" t="s">
        <v>4145</v>
      </c>
      <c r="N7" s="14">
        <v>38</v>
      </c>
      <c r="O7" s="2">
        <f t="shared" si="0"/>
        <v>0.47499999999999998</v>
      </c>
      <c r="P7" s="13">
        <v>31</v>
      </c>
      <c r="Q7" s="2">
        <f t="shared" si="1"/>
        <v>0.67391304347826086</v>
      </c>
      <c r="R7" s="13">
        <v>80</v>
      </c>
      <c r="S7" s="13">
        <v>46</v>
      </c>
      <c r="T7" s="13">
        <v>19</v>
      </c>
      <c r="U7" s="15">
        <v>0.23749999999999999</v>
      </c>
      <c r="V7" s="13">
        <v>14</v>
      </c>
      <c r="W7" s="13">
        <v>62.21</v>
      </c>
      <c r="X7" s="13">
        <v>12.41</v>
      </c>
      <c r="Y7" s="16"/>
      <c r="Z7" s="16"/>
      <c r="AA7" s="16"/>
      <c r="AB7" s="16">
        <v>62.37</v>
      </c>
      <c r="AC7" s="16">
        <v>11.93</v>
      </c>
      <c r="AD7" s="16"/>
      <c r="AE7" s="16"/>
      <c r="AF7" s="16"/>
      <c r="AG7" s="13" t="s">
        <v>639</v>
      </c>
      <c r="BG7" s="13">
        <v>39</v>
      </c>
      <c r="BI7" s="13">
        <v>28</v>
      </c>
      <c r="BJ7" s="13">
        <v>49</v>
      </c>
      <c r="BR7" s="13">
        <v>39</v>
      </c>
      <c r="BT7" s="13">
        <v>32</v>
      </c>
      <c r="BU7" s="13">
        <v>46</v>
      </c>
      <c r="BX7" s="13">
        <v>0.67500000000000004</v>
      </c>
      <c r="BY7" s="13" t="s">
        <v>10</v>
      </c>
      <c r="BZ7" s="13" t="s">
        <v>11</v>
      </c>
      <c r="CA7" s="13">
        <v>2020</v>
      </c>
      <c r="CB7" s="13" t="s">
        <v>12</v>
      </c>
      <c r="CC7" s="13" t="s">
        <v>13</v>
      </c>
      <c r="CD7" s="13">
        <v>267</v>
      </c>
      <c r="CE7" s="13">
        <v>6</v>
      </c>
      <c r="CF7" s="13" t="s">
        <v>14</v>
      </c>
      <c r="CG7" s="13" t="s">
        <v>15</v>
      </c>
    </row>
    <row r="8" spans="1:85">
      <c r="A8" s="13" t="s">
        <v>1661</v>
      </c>
      <c r="B8" s="13" t="s">
        <v>1769</v>
      </c>
      <c r="C8" s="13" t="s">
        <v>16</v>
      </c>
      <c r="D8" s="13" t="s">
        <v>817</v>
      </c>
      <c r="E8" s="13" t="s">
        <v>599</v>
      </c>
      <c r="F8" s="13" t="s">
        <v>619</v>
      </c>
      <c r="G8" s="13" t="s">
        <v>672</v>
      </c>
      <c r="H8" s="16" t="s">
        <v>4141</v>
      </c>
      <c r="J8" s="13" t="s">
        <v>598</v>
      </c>
      <c r="K8" s="14" t="s">
        <v>3080</v>
      </c>
      <c r="L8" s="13" t="s">
        <v>597</v>
      </c>
      <c r="M8" s="13" t="s">
        <v>4145</v>
      </c>
      <c r="N8" s="14">
        <v>38</v>
      </c>
      <c r="O8" s="2">
        <f t="shared" si="0"/>
        <v>0.47499999999999998</v>
      </c>
      <c r="P8" s="13">
        <v>22</v>
      </c>
      <c r="Q8" s="2">
        <f t="shared" si="1"/>
        <v>0.51162790697674421</v>
      </c>
      <c r="R8" s="13">
        <v>80</v>
      </c>
      <c r="S8" s="13">
        <v>43</v>
      </c>
      <c r="T8" s="13">
        <v>19</v>
      </c>
      <c r="U8" s="15">
        <v>0.23749999999999999</v>
      </c>
      <c r="V8" s="13">
        <v>14</v>
      </c>
      <c r="W8" s="13">
        <v>62.21</v>
      </c>
      <c r="X8" s="13">
        <v>12.41</v>
      </c>
      <c r="Y8" s="16"/>
      <c r="Z8" s="16"/>
      <c r="AA8" s="16"/>
      <c r="AB8" s="16">
        <v>63.93</v>
      </c>
      <c r="AC8" s="16">
        <v>10.6</v>
      </c>
      <c r="AD8" s="16"/>
      <c r="AE8" s="16"/>
      <c r="AF8" s="16"/>
      <c r="AG8" s="13" t="s">
        <v>639</v>
      </c>
      <c r="BG8" s="13">
        <v>39</v>
      </c>
      <c r="BI8" s="13">
        <v>28</v>
      </c>
      <c r="BJ8" s="13">
        <v>49</v>
      </c>
      <c r="BR8" s="13">
        <v>39</v>
      </c>
      <c r="BT8" s="13">
        <v>27</v>
      </c>
      <c r="BU8" s="13">
        <v>44</v>
      </c>
      <c r="BX8" s="13">
        <v>0.67500000000000004</v>
      </c>
      <c r="BY8" s="13" t="s">
        <v>10</v>
      </c>
      <c r="BZ8" s="13" t="s">
        <v>11</v>
      </c>
      <c r="CA8" s="13">
        <v>2020</v>
      </c>
      <c r="CB8" s="13" t="s">
        <v>12</v>
      </c>
      <c r="CC8" s="13" t="s">
        <v>13</v>
      </c>
      <c r="CD8" s="13">
        <v>267</v>
      </c>
      <c r="CE8" s="13">
        <v>6</v>
      </c>
      <c r="CF8" s="13" t="s">
        <v>14</v>
      </c>
      <c r="CG8" s="13" t="s">
        <v>15</v>
      </c>
    </row>
    <row r="9" spans="1:85">
      <c r="A9" s="13" t="s">
        <v>1661</v>
      </c>
      <c r="B9" s="13" t="s">
        <v>1769</v>
      </c>
      <c r="C9" s="13" t="s">
        <v>16</v>
      </c>
      <c r="D9" s="13" t="s">
        <v>817</v>
      </c>
      <c r="E9" s="13" t="s">
        <v>600</v>
      </c>
      <c r="F9" s="13" t="s">
        <v>655</v>
      </c>
      <c r="G9" s="13" t="s">
        <v>672</v>
      </c>
      <c r="H9" s="13" t="s">
        <v>678</v>
      </c>
      <c r="J9" s="13" t="s">
        <v>598</v>
      </c>
      <c r="K9" s="14" t="s">
        <v>3080</v>
      </c>
      <c r="L9" s="13" t="s">
        <v>597</v>
      </c>
      <c r="N9" s="14">
        <v>38</v>
      </c>
      <c r="O9" s="2">
        <f t="shared" si="0"/>
        <v>0.47499999999999998</v>
      </c>
      <c r="P9" s="13">
        <v>31</v>
      </c>
      <c r="Q9" s="2">
        <f t="shared" si="1"/>
        <v>0.67391304347826086</v>
      </c>
      <c r="R9" s="13">
        <v>80</v>
      </c>
      <c r="S9" s="13">
        <v>46</v>
      </c>
      <c r="T9" s="13">
        <v>19</v>
      </c>
      <c r="U9" s="15">
        <v>0.23749999999999999</v>
      </c>
      <c r="V9" s="13">
        <v>14</v>
      </c>
      <c r="W9" s="13">
        <v>62.21</v>
      </c>
      <c r="X9" s="13">
        <v>12.41</v>
      </c>
      <c r="Y9" s="16"/>
      <c r="Z9" s="16"/>
      <c r="AA9" s="16"/>
      <c r="AB9" s="16">
        <v>62.37</v>
      </c>
      <c r="AC9" s="16">
        <v>11.93</v>
      </c>
      <c r="AD9" s="16"/>
      <c r="AE9" s="16"/>
      <c r="AF9" s="16"/>
      <c r="AG9" s="13" t="s">
        <v>639</v>
      </c>
      <c r="AH9" s="13">
        <v>0.17</v>
      </c>
      <c r="AJ9" s="13">
        <v>69.599999999999994</v>
      </c>
      <c r="AM9" s="13">
        <v>71.2</v>
      </c>
      <c r="AP9" s="13">
        <v>0.75</v>
      </c>
      <c r="AQ9" s="13">
        <v>4.5999999999999999E-2</v>
      </c>
      <c r="AR9" s="13">
        <v>0.70399999999999996</v>
      </c>
      <c r="AS9" s="13">
        <v>0.79600000000000004</v>
      </c>
      <c r="BG9" s="13">
        <v>0.14399999999999999</v>
      </c>
      <c r="BI9" s="13">
        <v>0.11700000000000001</v>
      </c>
      <c r="BJ9" s="13">
        <v>0.18</v>
      </c>
      <c r="BR9" s="13">
        <v>0.189</v>
      </c>
      <c r="BT9" s="13">
        <v>0.16</v>
      </c>
      <c r="BU9" s="13">
        <v>0.217</v>
      </c>
      <c r="BX9" s="13" t="s">
        <v>616</v>
      </c>
      <c r="BY9" s="13" t="s">
        <v>10</v>
      </c>
      <c r="BZ9" s="13" t="s">
        <v>11</v>
      </c>
      <c r="CA9" s="13">
        <v>2020</v>
      </c>
      <c r="CB9" s="13" t="s">
        <v>12</v>
      </c>
      <c r="CC9" s="13" t="s">
        <v>13</v>
      </c>
      <c r="CD9" s="13">
        <v>267</v>
      </c>
      <c r="CE9" s="13">
        <v>6</v>
      </c>
      <c r="CF9" s="13" t="s">
        <v>14</v>
      </c>
      <c r="CG9" s="13" t="s">
        <v>15</v>
      </c>
    </row>
    <row r="10" spans="1:85">
      <c r="A10" s="13" t="s">
        <v>1661</v>
      </c>
      <c r="B10" s="13" t="s">
        <v>1769</v>
      </c>
      <c r="C10" s="13" t="s">
        <v>16</v>
      </c>
      <c r="D10" s="13" t="s">
        <v>817</v>
      </c>
      <c r="E10" s="13" t="s">
        <v>599</v>
      </c>
      <c r="F10" s="13" t="s">
        <v>619</v>
      </c>
      <c r="G10" s="13" t="s">
        <v>672</v>
      </c>
      <c r="H10" s="13" t="s">
        <v>678</v>
      </c>
      <c r="J10" s="13" t="s">
        <v>598</v>
      </c>
      <c r="K10" s="14" t="s">
        <v>3080</v>
      </c>
      <c r="L10" s="13" t="s">
        <v>597</v>
      </c>
      <c r="N10" s="14">
        <v>38</v>
      </c>
      <c r="O10" s="2">
        <f t="shared" si="0"/>
        <v>0.47499999999999998</v>
      </c>
      <c r="P10" s="13">
        <v>22</v>
      </c>
      <c r="Q10" s="2">
        <f t="shared" si="1"/>
        <v>0.51162790697674421</v>
      </c>
      <c r="R10" s="13">
        <v>80</v>
      </c>
      <c r="S10" s="13">
        <v>43</v>
      </c>
      <c r="T10" s="13">
        <v>19</v>
      </c>
      <c r="U10" s="15">
        <v>0.23749999999999999</v>
      </c>
      <c r="V10" s="13">
        <v>14</v>
      </c>
      <c r="W10" s="13">
        <v>62.21</v>
      </c>
      <c r="X10" s="13">
        <v>12.41</v>
      </c>
      <c r="Y10" s="16"/>
      <c r="Z10" s="16"/>
      <c r="AA10" s="16"/>
      <c r="AB10" s="16">
        <v>63.93</v>
      </c>
      <c r="AC10" s="16">
        <v>10.6</v>
      </c>
      <c r="AD10" s="16"/>
      <c r="AE10" s="16"/>
      <c r="AF10" s="16"/>
      <c r="AG10" s="13" t="s">
        <v>639</v>
      </c>
      <c r="AH10" s="13">
        <v>0.16600000000000001</v>
      </c>
      <c r="AJ10" s="13">
        <v>76.7</v>
      </c>
      <c r="AM10" s="13">
        <v>68.7</v>
      </c>
      <c r="AP10" s="13">
        <v>0.81299999999999994</v>
      </c>
      <c r="AQ10" s="13">
        <v>3.9E-2</v>
      </c>
      <c r="AR10" s="13">
        <v>0.77399999999999991</v>
      </c>
      <c r="AS10" s="13">
        <v>0.85199999999999998</v>
      </c>
      <c r="BG10" s="13">
        <v>0.14399999999999999</v>
      </c>
      <c r="BI10" s="13">
        <v>0.11700000000000001</v>
      </c>
      <c r="BJ10" s="13">
        <v>0.18</v>
      </c>
      <c r="BR10" s="13">
        <v>0.20100000000000001</v>
      </c>
      <c r="BT10" s="13">
        <v>0.16600000000000001</v>
      </c>
      <c r="BU10" s="13">
        <v>0.23100000000000001</v>
      </c>
      <c r="BX10" s="13" t="s">
        <v>616</v>
      </c>
      <c r="BY10" s="13" t="s">
        <v>10</v>
      </c>
      <c r="BZ10" s="13" t="s">
        <v>11</v>
      </c>
      <c r="CA10" s="13">
        <v>2020</v>
      </c>
      <c r="CB10" s="13" t="s">
        <v>12</v>
      </c>
      <c r="CC10" s="13" t="s">
        <v>13</v>
      </c>
      <c r="CD10" s="13">
        <v>267</v>
      </c>
      <c r="CE10" s="13">
        <v>6</v>
      </c>
      <c r="CF10" s="13" t="s">
        <v>14</v>
      </c>
      <c r="CG10" s="13" t="s">
        <v>15</v>
      </c>
    </row>
    <row r="11" spans="1:85">
      <c r="A11" s="13" t="s">
        <v>1661</v>
      </c>
      <c r="B11" s="13" t="s">
        <v>1769</v>
      </c>
      <c r="C11" s="13" t="s">
        <v>16</v>
      </c>
      <c r="D11" s="13" t="s">
        <v>817</v>
      </c>
      <c r="E11" s="13" t="s">
        <v>600</v>
      </c>
      <c r="F11" s="13" t="s">
        <v>655</v>
      </c>
      <c r="G11" s="13" t="s">
        <v>672</v>
      </c>
      <c r="H11" s="13" t="s">
        <v>679</v>
      </c>
      <c r="J11" s="13" t="s">
        <v>598</v>
      </c>
      <c r="K11" s="14" t="s">
        <v>3080</v>
      </c>
      <c r="L11" s="13" t="s">
        <v>597</v>
      </c>
      <c r="N11" s="14">
        <v>38</v>
      </c>
      <c r="O11" s="2">
        <f t="shared" si="0"/>
        <v>0.47499999999999998</v>
      </c>
      <c r="P11" s="13">
        <v>31</v>
      </c>
      <c r="Q11" s="2">
        <f t="shared" si="1"/>
        <v>0.67391304347826086</v>
      </c>
      <c r="R11" s="13">
        <v>80</v>
      </c>
      <c r="S11" s="13">
        <v>46</v>
      </c>
      <c r="T11" s="13">
        <v>19</v>
      </c>
      <c r="U11" s="15">
        <v>0.23749999999999999</v>
      </c>
      <c r="V11" s="13">
        <v>14</v>
      </c>
      <c r="W11" s="13">
        <v>62.21</v>
      </c>
      <c r="X11" s="13">
        <v>12.41</v>
      </c>
      <c r="Y11" s="16"/>
      <c r="Z11" s="16"/>
      <c r="AA11" s="16"/>
      <c r="AB11" s="16">
        <v>62.37</v>
      </c>
      <c r="AC11" s="16">
        <v>11.93</v>
      </c>
      <c r="AD11" s="16"/>
      <c r="AE11" s="16"/>
      <c r="AF11" s="16"/>
      <c r="AG11" s="13" t="s">
        <v>639</v>
      </c>
      <c r="AH11" s="13">
        <v>199</v>
      </c>
      <c r="AJ11" s="13">
        <v>72.5</v>
      </c>
      <c r="AM11" s="13">
        <v>63</v>
      </c>
      <c r="AP11" s="13">
        <v>0.74</v>
      </c>
      <c r="AQ11" s="13">
        <v>4.8000000000000001E-2</v>
      </c>
      <c r="AR11" s="13">
        <v>0.69199999999999995</v>
      </c>
      <c r="AS11" s="13">
        <v>0.78800000000000003</v>
      </c>
      <c r="AU11" s="16"/>
      <c r="AV11" s="16"/>
      <c r="AW11" s="16"/>
      <c r="AX11" s="16"/>
      <c r="AY11" s="16"/>
      <c r="AZ11" s="16"/>
      <c r="BA11" s="16"/>
      <c r="BG11" s="13">
        <v>253</v>
      </c>
      <c r="BI11" s="13">
        <v>193</v>
      </c>
      <c r="BJ11" s="13">
        <v>327</v>
      </c>
      <c r="BR11" s="13">
        <v>154</v>
      </c>
      <c r="BT11" s="13">
        <v>119</v>
      </c>
      <c r="BU11" s="13">
        <v>228</v>
      </c>
      <c r="BX11" s="13" t="s">
        <v>616</v>
      </c>
      <c r="BY11" s="13" t="s">
        <v>10</v>
      </c>
      <c r="BZ11" s="13" t="s">
        <v>11</v>
      </c>
      <c r="CA11" s="13">
        <v>2020</v>
      </c>
      <c r="CB11" s="13" t="s">
        <v>12</v>
      </c>
      <c r="CC11" s="13" t="s">
        <v>13</v>
      </c>
      <c r="CD11" s="13">
        <v>267</v>
      </c>
      <c r="CE11" s="13">
        <v>6</v>
      </c>
      <c r="CF11" s="13" t="s">
        <v>14</v>
      </c>
      <c r="CG11" s="13" t="s">
        <v>15</v>
      </c>
    </row>
    <row r="12" spans="1:85">
      <c r="A12" s="13" t="s">
        <v>1661</v>
      </c>
      <c r="B12" s="13" t="s">
        <v>1769</v>
      </c>
      <c r="C12" s="13" t="s">
        <v>16</v>
      </c>
      <c r="D12" s="13" t="s">
        <v>817</v>
      </c>
      <c r="E12" s="13" t="s">
        <v>599</v>
      </c>
      <c r="F12" s="13" t="s">
        <v>619</v>
      </c>
      <c r="G12" s="13" t="s">
        <v>672</v>
      </c>
      <c r="H12" s="13" t="s">
        <v>679</v>
      </c>
      <c r="J12" s="13" t="s">
        <v>598</v>
      </c>
      <c r="K12" s="14" t="s">
        <v>3080</v>
      </c>
      <c r="L12" s="13" t="s">
        <v>597</v>
      </c>
      <c r="N12" s="14">
        <v>38</v>
      </c>
      <c r="O12" s="2">
        <f t="shared" si="0"/>
        <v>0.47499999999999998</v>
      </c>
      <c r="P12" s="13">
        <v>22</v>
      </c>
      <c r="Q12" s="2">
        <f t="shared" si="1"/>
        <v>0.51162790697674421</v>
      </c>
      <c r="R12" s="13">
        <v>80</v>
      </c>
      <c r="S12" s="13">
        <v>43</v>
      </c>
      <c r="T12" s="13">
        <v>19</v>
      </c>
      <c r="U12" s="15">
        <v>0.23749999999999999</v>
      </c>
      <c r="V12" s="13">
        <v>14</v>
      </c>
      <c r="W12" s="13">
        <v>62.21</v>
      </c>
      <c r="X12" s="13">
        <v>12.41</v>
      </c>
      <c r="Y12" s="16"/>
      <c r="Z12" s="16"/>
      <c r="AA12" s="16"/>
      <c r="AB12" s="16">
        <v>63.93</v>
      </c>
      <c r="AC12" s="16">
        <v>10.6</v>
      </c>
      <c r="AD12" s="16"/>
      <c r="AE12" s="16"/>
      <c r="AF12" s="16"/>
      <c r="AG12" s="13" t="s">
        <v>639</v>
      </c>
      <c r="AH12" s="13">
        <v>184</v>
      </c>
      <c r="AJ12" s="13">
        <v>81.3</v>
      </c>
      <c r="AM12" s="13">
        <v>90.7</v>
      </c>
      <c r="AP12" s="13">
        <v>0.879</v>
      </c>
      <c r="AQ12" s="13">
        <v>3.4000000000000002E-2</v>
      </c>
      <c r="AR12" s="13">
        <v>0.84499999999999997</v>
      </c>
      <c r="AS12" s="13">
        <v>0.91300000000000003</v>
      </c>
      <c r="AU12" s="16"/>
      <c r="AV12" s="16"/>
      <c r="AW12" s="16"/>
      <c r="AX12" s="16"/>
      <c r="AY12" s="16"/>
      <c r="AZ12" s="16"/>
      <c r="BA12" s="16"/>
      <c r="BG12" s="13">
        <v>253</v>
      </c>
      <c r="BI12" s="13">
        <v>193</v>
      </c>
      <c r="BJ12" s="13">
        <v>327</v>
      </c>
      <c r="BR12" s="13">
        <v>136</v>
      </c>
      <c r="BT12" s="13">
        <v>104</v>
      </c>
      <c r="BU12" s="13">
        <v>162</v>
      </c>
      <c r="BX12" s="13" t="s">
        <v>616</v>
      </c>
      <c r="BY12" s="13" t="s">
        <v>10</v>
      </c>
      <c r="BZ12" s="13" t="s">
        <v>11</v>
      </c>
      <c r="CA12" s="13">
        <v>2020</v>
      </c>
      <c r="CB12" s="13" t="s">
        <v>12</v>
      </c>
      <c r="CC12" s="13" t="s">
        <v>13</v>
      </c>
      <c r="CD12" s="13">
        <v>267</v>
      </c>
      <c r="CE12" s="13">
        <v>6</v>
      </c>
      <c r="CF12" s="13" t="s">
        <v>14</v>
      </c>
      <c r="CG12" s="13" t="s">
        <v>15</v>
      </c>
    </row>
    <row r="13" spans="1:85">
      <c r="A13" s="13" t="s">
        <v>1661</v>
      </c>
      <c r="B13" s="13" t="s">
        <v>1769</v>
      </c>
      <c r="C13" s="13" t="s">
        <v>16</v>
      </c>
      <c r="D13" s="13" t="s">
        <v>817</v>
      </c>
      <c r="E13" s="13" t="s">
        <v>600</v>
      </c>
      <c r="F13" s="13" t="s">
        <v>655</v>
      </c>
      <c r="G13" s="13" t="s">
        <v>672</v>
      </c>
      <c r="H13" s="13" t="s">
        <v>680</v>
      </c>
      <c r="J13" s="13" t="s">
        <v>598</v>
      </c>
      <c r="K13" s="14" t="s">
        <v>3080</v>
      </c>
      <c r="L13" s="13" t="s">
        <v>597</v>
      </c>
      <c r="N13" s="14">
        <v>38</v>
      </c>
      <c r="O13" s="2">
        <f t="shared" si="0"/>
        <v>0.47499999999999998</v>
      </c>
      <c r="P13" s="13">
        <v>31</v>
      </c>
      <c r="Q13" s="2">
        <f t="shared" si="1"/>
        <v>0.67391304347826086</v>
      </c>
      <c r="R13" s="13">
        <v>80</v>
      </c>
      <c r="S13" s="13">
        <v>46</v>
      </c>
      <c r="T13" s="13">
        <v>19</v>
      </c>
      <c r="U13" s="15">
        <v>0.23749999999999999</v>
      </c>
      <c r="V13" s="13">
        <v>14</v>
      </c>
      <c r="W13" s="13">
        <v>62.21</v>
      </c>
      <c r="X13" s="13">
        <v>12.41</v>
      </c>
      <c r="Y13" s="16"/>
      <c r="Z13" s="16"/>
      <c r="AA13" s="16"/>
      <c r="AB13" s="16">
        <v>62.37</v>
      </c>
      <c r="AC13" s="16">
        <v>11.93</v>
      </c>
      <c r="AD13" s="16"/>
      <c r="AE13" s="16"/>
      <c r="AF13" s="16"/>
      <c r="AG13" s="13" t="s">
        <v>639</v>
      </c>
      <c r="AH13" s="13">
        <v>1719</v>
      </c>
      <c r="AJ13" s="13">
        <v>83.8</v>
      </c>
      <c r="AM13" s="13">
        <v>65.2</v>
      </c>
      <c r="AP13" s="13">
        <v>0.79600000000000004</v>
      </c>
      <c r="AQ13" s="13">
        <v>0.04</v>
      </c>
      <c r="AR13" s="13">
        <v>0.75600000000000001</v>
      </c>
      <c r="AS13" s="13">
        <v>0.83600000000000008</v>
      </c>
      <c r="AU13" s="16"/>
      <c r="AV13" s="16"/>
      <c r="AW13" s="16"/>
      <c r="AX13" s="16"/>
      <c r="AY13" s="16"/>
      <c r="AZ13" s="16"/>
      <c r="BA13" s="16"/>
      <c r="BG13" s="13">
        <v>6572</v>
      </c>
      <c r="BI13" s="13">
        <v>2508</v>
      </c>
      <c r="BJ13" s="13">
        <v>19050</v>
      </c>
      <c r="BR13" s="13">
        <v>1387</v>
      </c>
      <c r="BT13" s="13">
        <v>902</v>
      </c>
      <c r="BU13" s="13">
        <v>2959</v>
      </c>
      <c r="BX13" s="13" t="s">
        <v>616</v>
      </c>
      <c r="BY13" s="13" t="s">
        <v>10</v>
      </c>
      <c r="BZ13" s="13" t="s">
        <v>11</v>
      </c>
      <c r="CA13" s="13">
        <v>2020</v>
      </c>
      <c r="CB13" s="13" t="s">
        <v>12</v>
      </c>
      <c r="CC13" s="13" t="s">
        <v>13</v>
      </c>
      <c r="CD13" s="13">
        <v>267</v>
      </c>
      <c r="CE13" s="13">
        <v>6</v>
      </c>
      <c r="CF13" s="13" t="s">
        <v>14</v>
      </c>
      <c r="CG13" s="13" t="s">
        <v>15</v>
      </c>
    </row>
    <row r="14" spans="1:85">
      <c r="A14" s="13" t="s">
        <v>1661</v>
      </c>
      <c r="B14" s="13" t="s">
        <v>1769</v>
      </c>
      <c r="C14" s="13" t="s">
        <v>16</v>
      </c>
      <c r="D14" s="13" t="s">
        <v>817</v>
      </c>
      <c r="E14" s="13" t="s">
        <v>599</v>
      </c>
      <c r="F14" s="13" t="s">
        <v>619</v>
      </c>
      <c r="G14" s="13" t="s">
        <v>672</v>
      </c>
      <c r="H14" s="13" t="s">
        <v>680</v>
      </c>
      <c r="J14" s="13" t="s">
        <v>598</v>
      </c>
      <c r="K14" s="14" t="s">
        <v>3080</v>
      </c>
      <c r="L14" s="13" t="s">
        <v>597</v>
      </c>
      <c r="N14" s="14">
        <v>38</v>
      </c>
      <c r="O14" s="2">
        <f t="shared" si="0"/>
        <v>0.47499999999999998</v>
      </c>
      <c r="P14" s="13">
        <v>22</v>
      </c>
      <c r="Q14" s="2">
        <f t="shared" si="1"/>
        <v>0.51162790697674421</v>
      </c>
      <c r="R14" s="13">
        <v>80</v>
      </c>
      <c r="S14" s="13">
        <v>43</v>
      </c>
      <c r="T14" s="13">
        <v>19</v>
      </c>
      <c r="U14" s="15">
        <v>0.23749999999999999</v>
      </c>
      <c r="V14" s="13">
        <v>14</v>
      </c>
      <c r="W14" s="13">
        <v>62.21</v>
      </c>
      <c r="X14" s="13">
        <v>12.41</v>
      </c>
      <c r="Y14" s="16"/>
      <c r="Z14" s="16"/>
      <c r="AA14" s="16"/>
      <c r="AB14" s="16">
        <v>63.93</v>
      </c>
      <c r="AC14" s="16">
        <v>10.6</v>
      </c>
      <c r="AD14" s="16"/>
      <c r="AE14" s="16"/>
      <c r="AF14" s="16"/>
      <c r="AG14" s="13" t="s">
        <v>639</v>
      </c>
      <c r="AH14" s="13">
        <v>2411</v>
      </c>
      <c r="AJ14" s="13">
        <v>80</v>
      </c>
      <c r="AM14" s="13">
        <v>76.2</v>
      </c>
      <c r="AP14" s="13">
        <v>0.81699999999999995</v>
      </c>
      <c r="AQ14" s="13">
        <v>3.9E-2</v>
      </c>
      <c r="AR14" s="13">
        <v>0.77799999999999991</v>
      </c>
      <c r="AS14" s="13">
        <v>0.85599999999999998</v>
      </c>
      <c r="AU14" s="16"/>
      <c r="AV14" s="16"/>
      <c r="AW14" s="16"/>
      <c r="AX14" s="16"/>
      <c r="AY14" s="16"/>
      <c r="AZ14" s="16"/>
      <c r="BA14" s="16"/>
      <c r="BG14" s="13">
        <v>6572</v>
      </c>
      <c r="BI14" s="13">
        <v>2508</v>
      </c>
      <c r="BJ14" s="13">
        <v>19050</v>
      </c>
      <c r="BR14" s="13">
        <v>1374</v>
      </c>
      <c r="BT14" s="13">
        <v>753</v>
      </c>
      <c r="BU14" s="13">
        <v>2440</v>
      </c>
      <c r="BX14" s="13" t="s">
        <v>616</v>
      </c>
      <c r="BY14" s="13" t="s">
        <v>10</v>
      </c>
      <c r="BZ14" s="13" t="s">
        <v>11</v>
      </c>
      <c r="CA14" s="13">
        <v>2020</v>
      </c>
      <c r="CB14" s="13" t="s">
        <v>12</v>
      </c>
      <c r="CC14" s="13" t="s">
        <v>13</v>
      </c>
      <c r="CD14" s="13">
        <v>267</v>
      </c>
      <c r="CE14" s="13">
        <v>6</v>
      </c>
      <c r="CF14" s="13" t="s">
        <v>14</v>
      </c>
      <c r="CG14" s="13" t="s">
        <v>15</v>
      </c>
    </row>
    <row r="15" spans="1:85">
      <c r="A15" s="13" t="s">
        <v>1661</v>
      </c>
      <c r="B15" s="13" t="s">
        <v>1769</v>
      </c>
      <c r="C15" s="13" t="s">
        <v>16</v>
      </c>
      <c r="D15" s="13" t="s">
        <v>817</v>
      </c>
      <c r="E15" s="13" t="s">
        <v>600</v>
      </c>
      <c r="F15" s="13" t="s">
        <v>655</v>
      </c>
      <c r="G15" s="13" t="s">
        <v>672</v>
      </c>
      <c r="H15" s="13" t="s">
        <v>681</v>
      </c>
      <c r="J15" s="13" t="s">
        <v>598</v>
      </c>
      <c r="K15" s="14" t="s">
        <v>3080</v>
      </c>
      <c r="L15" s="13" t="s">
        <v>597</v>
      </c>
      <c r="R15" s="13">
        <v>73</v>
      </c>
      <c r="S15" s="13">
        <v>45</v>
      </c>
      <c r="V15" s="16"/>
      <c r="W15" s="16"/>
      <c r="X15" s="16"/>
      <c r="Y15" s="16"/>
      <c r="Z15" s="16"/>
      <c r="AA15" s="16"/>
      <c r="AB15" s="16">
        <v>62.37</v>
      </c>
      <c r="AC15" s="16">
        <v>11.93</v>
      </c>
      <c r="AD15" s="16"/>
      <c r="AE15" s="16"/>
      <c r="AF15" s="16"/>
      <c r="AG15" s="13" t="s">
        <v>639</v>
      </c>
      <c r="AH15" s="13">
        <v>2311</v>
      </c>
      <c r="AJ15" s="13">
        <v>87.7</v>
      </c>
      <c r="AM15" s="13">
        <v>68.2</v>
      </c>
      <c r="AP15" s="13">
        <v>0.86199999999999999</v>
      </c>
      <c r="AQ15" s="13">
        <v>3.4000000000000002E-2</v>
      </c>
      <c r="AR15" s="13">
        <v>0.82799999999999996</v>
      </c>
      <c r="AS15" s="13">
        <v>0.89600000000000002</v>
      </c>
      <c r="AU15" s="16"/>
      <c r="AV15" s="16"/>
      <c r="AW15" s="16"/>
      <c r="AX15" s="16"/>
      <c r="AY15" s="16"/>
      <c r="AZ15" s="16"/>
      <c r="BA15" s="16"/>
      <c r="BG15" s="13">
        <v>8088</v>
      </c>
      <c r="BI15" s="13">
        <v>3526</v>
      </c>
      <c r="BJ15" s="13">
        <v>21200</v>
      </c>
      <c r="BR15" s="13">
        <v>1504</v>
      </c>
      <c r="BT15" s="13">
        <v>990</v>
      </c>
      <c r="BU15" s="13">
        <v>2998</v>
      </c>
      <c r="BX15" s="13" t="s">
        <v>616</v>
      </c>
      <c r="BY15" s="13" t="s">
        <v>10</v>
      </c>
      <c r="BZ15" s="13" t="s">
        <v>11</v>
      </c>
      <c r="CA15" s="13">
        <v>2020</v>
      </c>
      <c r="CB15" s="13" t="s">
        <v>12</v>
      </c>
      <c r="CC15" s="13" t="s">
        <v>13</v>
      </c>
      <c r="CD15" s="13">
        <v>267</v>
      </c>
      <c r="CE15" s="13">
        <v>6</v>
      </c>
      <c r="CF15" s="13" t="s">
        <v>14</v>
      </c>
      <c r="CG15" s="13" t="s">
        <v>15</v>
      </c>
    </row>
    <row r="16" spans="1:85">
      <c r="A16" s="13" t="s">
        <v>1661</v>
      </c>
      <c r="B16" s="13" t="s">
        <v>1769</v>
      </c>
      <c r="C16" s="13" t="s">
        <v>16</v>
      </c>
      <c r="D16" s="13" t="s">
        <v>817</v>
      </c>
      <c r="E16" s="13" t="s">
        <v>599</v>
      </c>
      <c r="F16" s="13" t="s">
        <v>4184</v>
      </c>
      <c r="G16" s="13" t="s">
        <v>672</v>
      </c>
      <c r="H16" s="13" t="s">
        <v>681</v>
      </c>
      <c r="J16" s="13" t="s">
        <v>598</v>
      </c>
      <c r="K16" s="14" t="s">
        <v>3080</v>
      </c>
      <c r="L16" s="13" t="s">
        <v>597</v>
      </c>
      <c r="R16" s="13">
        <v>73</v>
      </c>
      <c r="S16" s="13">
        <v>41</v>
      </c>
      <c r="T16" s="16"/>
      <c r="U16" s="18"/>
      <c r="V16" s="16"/>
      <c r="W16" s="16"/>
      <c r="X16" s="16"/>
      <c r="Y16" s="16"/>
      <c r="Z16" s="16"/>
      <c r="AA16" s="16"/>
      <c r="AB16" s="16">
        <v>63.93</v>
      </c>
      <c r="AC16" s="16">
        <v>10.6</v>
      </c>
      <c r="AD16" s="16"/>
      <c r="AE16" s="16"/>
      <c r="AF16" s="16"/>
      <c r="AG16" s="13" t="s">
        <v>639</v>
      </c>
      <c r="AH16" s="13">
        <v>2411</v>
      </c>
      <c r="AJ16" s="13">
        <v>87.7</v>
      </c>
      <c r="AM16" s="13">
        <v>75.599999999999994</v>
      </c>
      <c r="AP16" s="13">
        <v>0.89300000000000002</v>
      </c>
      <c r="AQ16" s="13">
        <v>0.03</v>
      </c>
      <c r="AR16" s="13">
        <v>0.86299999999999999</v>
      </c>
      <c r="AS16" s="13">
        <v>0.92300000000000004</v>
      </c>
      <c r="AU16" s="16"/>
      <c r="AV16" s="16"/>
      <c r="AW16" s="16"/>
      <c r="AX16" s="16"/>
      <c r="AY16" s="16"/>
      <c r="AZ16" s="16"/>
      <c r="BA16" s="16"/>
      <c r="BG16" s="13">
        <v>8088</v>
      </c>
      <c r="BI16" s="13">
        <v>3526</v>
      </c>
      <c r="BJ16" s="13">
        <v>21200</v>
      </c>
      <c r="BR16" s="13">
        <v>1382</v>
      </c>
      <c r="BT16" s="13">
        <v>762</v>
      </c>
      <c r="BU16" s="13">
        <v>2472</v>
      </c>
      <c r="BX16" s="13" t="s">
        <v>616</v>
      </c>
      <c r="BY16" s="16" t="s">
        <v>10</v>
      </c>
      <c r="BZ16" s="13" t="s">
        <v>11</v>
      </c>
      <c r="CA16" s="13">
        <v>2020</v>
      </c>
      <c r="CB16" s="13" t="s">
        <v>12</v>
      </c>
      <c r="CC16" s="13" t="s">
        <v>13</v>
      </c>
      <c r="CD16" s="13">
        <v>267</v>
      </c>
      <c r="CE16" s="13">
        <v>6</v>
      </c>
      <c r="CF16" s="13" t="s">
        <v>14</v>
      </c>
      <c r="CG16" s="13" t="s">
        <v>15</v>
      </c>
    </row>
    <row r="17" spans="1:85">
      <c r="A17" s="13" t="s">
        <v>3359</v>
      </c>
      <c r="C17" s="13" t="s">
        <v>3289</v>
      </c>
      <c r="D17" s="14" t="s">
        <v>898</v>
      </c>
      <c r="E17" s="13" t="s">
        <v>799</v>
      </c>
      <c r="F17" s="13" t="s">
        <v>3662</v>
      </c>
      <c r="G17" s="13" t="s">
        <v>673</v>
      </c>
      <c r="H17" s="13" t="s">
        <v>721</v>
      </c>
      <c r="J17" s="14" t="s">
        <v>3659</v>
      </c>
      <c r="K17" s="13" t="s">
        <v>3658</v>
      </c>
      <c r="L17" s="14" t="s">
        <v>652</v>
      </c>
      <c r="M17" s="14" t="s">
        <v>3660</v>
      </c>
      <c r="N17" s="13">
        <v>102</v>
      </c>
      <c r="O17" s="2">
        <f>N17/R17</f>
        <v>0.67105263157894735</v>
      </c>
      <c r="P17" s="13">
        <v>49</v>
      </c>
      <c r="Q17" s="17">
        <f t="shared" ref="Q17:Q22" si="2">P17/S17</f>
        <v>0.49494949494949497</v>
      </c>
      <c r="R17" s="13">
        <v>152</v>
      </c>
      <c r="S17" s="13">
        <v>99</v>
      </c>
      <c r="V17" s="13">
        <v>11</v>
      </c>
      <c r="W17" s="13">
        <v>62.34</v>
      </c>
      <c r="X17" s="13">
        <v>11.63</v>
      </c>
      <c r="AB17" s="13">
        <v>61.11</v>
      </c>
      <c r="AC17" s="13">
        <v>13.84</v>
      </c>
      <c r="AG17" s="13" t="s">
        <v>639</v>
      </c>
      <c r="AP17" s="13">
        <v>0.80700000000000005</v>
      </c>
      <c r="AR17" s="13">
        <f>-0.027+AP17</f>
        <v>0.78</v>
      </c>
      <c r="AS17" s="13">
        <f>0.027+AP17</f>
        <v>0.83400000000000007</v>
      </c>
      <c r="BG17" s="13">
        <v>3</v>
      </c>
      <c r="BI17" s="13">
        <v>1.6</v>
      </c>
      <c r="BJ17" s="13">
        <v>4.7</v>
      </c>
      <c r="BR17" s="13">
        <v>1.1000000000000001</v>
      </c>
      <c r="BT17" s="13">
        <v>0.8</v>
      </c>
      <c r="BU17" s="13">
        <v>1.7</v>
      </c>
      <c r="BY17" s="13" t="s">
        <v>3436</v>
      </c>
      <c r="BZ17" s="13" t="s">
        <v>3437</v>
      </c>
      <c r="CA17" s="13">
        <v>2025</v>
      </c>
      <c r="CB17" s="21">
        <v>45721</v>
      </c>
      <c r="CC17" s="13" t="s">
        <v>50</v>
      </c>
      <c r="CD17" s="13">
        <v>16</v>
      </c>
      <c r="CE17" s="13">
        <v>1</v>
      </c>
      <c r="CF17" s="13">
        <v>2019</v>
      </c>
      <c r="CG17" s="13" t="s">
        <v>3214</v>
      </c>
    </row>
    <row r="18" spans="1:85">
      <c r="A18" s="13" t="s">
        <v>3359</v>
      </c>
      <c r="C18" s="13" t="s">
        <v>3289</v>
      </c>
      <c r="D18" s="14" t="s">
        <v>898</v>
      </c>
      <c r="E18" s="13" t="s">
        <v>799</v>
      </c>
      <c r="F18" s="13" t="s">
        <v>3662</v>
      </c>
      <c r="G18" s="13" t="s">
        <v>673</v>
      </c>
      <c r="H18" s="13" t="s">
        <v>3661</v>
      </c>
      <c r="J18" s="14" t="s">
        <v>3659</v>
      </c>
      <c r="K18" s="13" t="s">
        <v>3658</v>
      </c>
      <c r="L18" s="14" t="s">
        <v>652</v>
      </c>
      <c r="M18" s="14" t="s">
        <v>3660</v>
      </c>
      <c r="N18" s="13">
        <v>102</v>
      </c>
      <c r="O18" s="2">
        <f>N18/R18</f>
        <v>0.67105263157894735</v>
      </c>
      <c r="P18" s="13">
        <v>49</v>
      </c>
      <c r="Q18" s="17">
        <f t="shared" si="2"/>
        <v>0.49494949494949497</v>
      </c>
      <c r="R18" s="13">
        <v>152</v>
      </c>
      <c r="S18" s="13">
        <v>99</v>
      </c>
      <c r="V18" s="13">
        <v>11</v>
      </c>
      <c r="W18" s="13">
        <v>62.34</v>
      </c>
      <c r="X18" s="13">
        <v>11.63</v>
      </c>
      <c r="AB18" s="13">
        <v>61.11</v>
      </c>
      <c r="AC18" s="13">
        <v>13.84</v>
      </c>
      <c r="AG18" s="13" t="s">
        <v>639</v>
      </c>
      <c r="AP18" s="13">
        <v>0.81799999999999995</v>
      </c>
      <c r="AR18" s="13">
        <f>-0.026+AP18</f>
        <v>0.79199999999999993</v>
      </c>
      <c r="AS18" s="13">
        <f>0.026+AP18</f>
        <v>0.84399999999999997</v>
      </c>
      <c r="BG18" s="13">
        <v>0.37</v>
      </c>
      <c r="BI18" s="13">
        <v>0.19</v>
      </c>
      <c r="BJ18" s="13">
        <v>0.55000000000000004</v>
      </c>
      <c r="BR18" s="13">
        <v>0.14000000000000001</v>
      </c>
      <c r="BT18" s="13">
        <v>0.11</v>
      </c>
      <c r="BU18" s="13">
        <v>0.2</v>
      </c>
      <c r="BY18" s="13" t="s">
        <v>3436</v>
      </c>
      <c r="BZ18" s="13" t="s">
        <v>3437</v>
      </c>
      <c r="CA18" s="13">
        <v>2025</v>
      </c>
      <c r="CB18" s="21">
        <v>45721</v>
      </c>
      <c r="CC18" s="13" t="s">
        <v>50</v>
      </c>
      <c r="CD18" s="13">
        <v>16</v>
      </c>
      <c r="CE18" s="13">
        <v>1</v>
      </c>
      <c r="CF18" s="13">
        <v>2019</v>
      </c>
      <c r="CG18" s="13" t="s">
        <v>3214</v>
      </c>
    </row>
    <row r="19" spans="1:85">
      <c r="A19" s="13" t="s">
        <v>3359</v>
      </c>
      <c r="C19" s="13" t="s">
        <v>3289</v>
      </c>
      <c r="D19" s="14" t="s">
        <v>898</v>
      </c>
      <c r="E19" s="13" t="s">
        <v>799</v>
      </c>
      <c r="F19" s="13" t="s">
        <v>3662</v>
      </c>
      <c r="G19" s="13" t="s">
        <v>673</v>
      </c>
      <c r="H19" s="13" t="s">
        <v>676</v>
      </c>
      <c r="J19" s="14" t="s">
        <v>3659</v>
      </c>
      <c r="K19" s="13" t="s">
        <v>3658</v>
      </c>
      <c r="L19" s="14" t="s">
        <v>652</v>
      </c>
      <c r="M19" s="14" t="s">
        <v>3660</v>
      </c>
      <c r="N19" s="13">
        <v>102</v>
      </c>
      <c r="O19" s="2">
        <f>N19/R19</f>
        <v>0.67105263157894735</v>
      </c>
      <c r="P19" s="13">
        <v>49</v>
      </c>
      <c r="Q19" s="17">
        <f t="shared" si="2"/>
        <v>0.49494949494949497</v>
      </c>
      <c r="R19" s="13">
        <v>152</v>
      </c>
      <c r="S19" s="13">
        <v>99</v>
      </c>
      <c r="V19" s="13">
        <v>11</v>
      </c>
      <c r="W19" s="13">
        <v>62.34</v>
      </c>
      <c r="X19" s="13">
        <v>11.63</v>
      </c>
      <c r="AB19" s="13">
        <v>61.11</v>
      </c>
      <c r="AC19" s="13">
        <v>13.84</v>
      </c>
      <c r="AG19" s="13" t="s">
        <v>639</v>
      </c>
      <c r="AP19" s="13">
        <v>0.53100000000000003</v>
      </c>
      <c r="AR19" s="13">
        <f>-0.041+AP19</f>
        <v>0.49000000000000005</v>
      </c>
      <c r="AS19" s="13">
        <f>0.041+AP19</f>
        <v>0.57200000000000006</v>
      </c>
      <c r="BG19" s="13">
        <v>0.13900000000000001</v>
      </c>
      <c r="BI19" s="13">
        <v>7.8E-2</v>
      </c>
      <c r="BJ19" s="13">
        <v>0.20200000000000001</v>
      </c>
      <c r="BR19" s="13">
        <v>0.11600000000000001</v>
      </c>
      <c r="BT19" s="13">
        <v>5.8000000000000003E-2</v>
      </c>
      <c r="BU19" s="13">
        <v>0.20599999999999999</v>
      </c>
      <c r="BY19" s="13" t="s">
        <v>3436</v>
      </c>
      <c r="BZ19" s="13" t="s">
        <v>3437</v>
      </c>
      <c r="CA19" s="13">
        <v>2025</v>
      </c>
      <c r="CB19" s="21">
        <v>45721</v>
      </c>
      <c r="CC19" s="13" t="s">
        <v>50</v>
      </c>
      <c r="CD19" s="13">
        <v>16</v>
      </c>
      <c r="CE19" s="13">
        <v>1</v>
      </c>
      <c r="CF19" s="13">
        <v>2019</v>
      </c>
      <c r="CG19" s="13" t="s">
        <v>3214</v>
      </c>
    </row>
    <row r="20" spans="1:85">
      <c r="A20" s="13" t="s">
        <v>3359</v>
      </c>
      <c r="C20" s="13" t="s">
        <v>3289</v>
      </c>
      <c r="D20" s="14" t="s">
        <v>898</v>
      </c>
      <c r="E20" s="13" t="s">
        <v>799</v>
      </c>
      <c r="F20" s="13" t="s">
        <v>3662</v>
      </c>
      <c r="G20" s="13" t="s">
        <v>673</v>
      </c>
      <c r="H20" s="13" t="s">
        <v>675</v>
      </c>
      <c r="J20" s="14" t="s">
        <v>3659</v>
      </c>
      <c r="K20" s="13" t="s">
        <v>3658</v>
      </c>
      <c r="L20" s="14" t="s">
        <v>808</v>
      </c>
      <c r="M20" s="14" t="s">
        <v>3660</v>
      </c>
      <c r="N20" s="13">
        <v>102</v>
      </c>
      <c r="O20" s="2">
        <f>N20/R20</f>
        <v>0.67105263157894735</v>
      </c>
      <c r="P20" s="13">
        <v>49</v>
      </c>
      <c r="Q20" s="17">
        <f t="shared" si="2"/>
        <v>0.49494949494949497</v>
      </c>
      <c r="R20" s="13">
        <v>152</v>
      </c>
      <c r="S20" s="13">
        <v>99</v>
      </c>
      <c r="V20" s="13">
        <v>11</v>
      </c>
      <c r="W20" s="13">
        <v>62.34</v>
      </c>
      <c r="X20" s="13">
        <v>11.63</v>
      </c>
      <c r="AB20" s="13">
        <v>61.11</v>
      </c>
      <c r="AC20" s="13">
        <v>13.84</v>
      </c>
      <c r="AG20" s="13" t="s">
        <v>639</v>
      </c>
      <c r="BG20" s="13">
        <v>120</v>
      </c>
      <c r="BI20" s="13">
        <v>70.5</v>
      </c>
      <c r="BJ20" s="13">
        <v>184.3</v>
      </c>
      <c r="BR20" s="13">
        <v>22.2</v>
      </c>
      <c r="BT20" s="13">
        <v>13</v>
      </c>
      <c r="BU20" s="13">
        <v>34.799999999999997</v>
      </c>
      <c r="BY20" s="13" t="s">
        <v>3436</v>
      </c>
      <c r="BZ20" s="13" t="s">
        <v>3437</v>
      </c>
      <c r="CA20" s="13">
        <v>2025</v>
      </c>
      <c r="CB20" s="21">
        <v>45721</v>
      </c>
      <c r="CC20" s="13" t="s">
        <v>50</v>
      </c>
      <c r="CD20" s="13">
        <v>16</v>
      </c>
      <c r="CE20" s="13">
        <v>1</v>
      </c>
      <c r="CF20" s="13">
        <v>2019</v>
      </c>
      <c r="CG20" s="13" t="s">
        <v>3214</v>
      </c>
    </row>
    <row r="21" spans="1:85">
      <c r="A21" s="13" t="s">
        <v>3359</v>
      </c>
      <c r="C21" s="13" t="s">
        <v>3289</v>
      </c>
      <c r="D21" s="14" t="s">
        <v>898</v>
      </c>
      <c r="E21" s="13" t="s">
        <v>799</v>
      </c>
      <c r="F21" s="13" t="s">
        <v>3662</v>
      </c>
      <c r="G21" s="13" t="s">
        <v>672</v>
      </c>
      <c r="H21" s="13" t="s">
        <v>721</v>
      </c>
      <c r="J21" s="14" t="s">
        <v>3659</v>
      </c>
      <c r="K21" s="13" t="s">
        <v>3658</v>
      </c>
      <c r="L21" s="14" t="s">
        <v>652</v>
      </c>
      <c r="M21" s="14" t="s">
        <v>3660</v>
      </c>
      <c r="P21" s="13">
        <v>49</v>
      </c>
      <c r="Q21" s="17">
        <f t="shared" si="2"/>
        <v>0.49494949494949497</v>
      </c>
      <c r="R21" s="13">
        <v>127</v>
      </c>
      <c r="S21" s="13">
        <v>99</v>
      </c>
      <c r="V21" s="13">
        <v>11</v>
      </c>
      <c r="AB21" s="13">
        <v>61.11</v>
      </c>
      <c r="AC21" s="13">
        <v>13.84</v>
      </c>
      <c r="AG21" s="13" t="s">
        <v>639</v>
      </c>
      <c r="BG21" s="13">
        <v>29.5</v>
      </c>
      <c r="BI21" s="13">
        <v>20.8</v>
      </c>
      <c r="BJ21" s="13">
        <v>39.5</v>
      </c>
      <c r="BR21" s="13">
        <v>28.5</v>
      </c>
      <c r="BT21" s="13">
        <v>23</v>
      </c>
      <c r="BU21" s="13">
        <v>39.6</v>
      </c>
      <c r="BY21" s="13" t="s">
        <v>3436</v>
      </c>
      <c r="BZ21" s="13" t="s">
        <v>3437</v>
      </c>
      <c r="CA21" s="13">
        <v>2025</v>
      </c>
      <c r="CB21" s="21">
        <v>45721</v>
      </c>
      <c r="CC21" s="13" t="s">
        <v>50</v>
      </c>
      <c r="CD21" s="13">
        <v>16</v>
      </c>
      <c r="CE21" s="13">
        <v>1</v>
      </c>
      <c r="CF21" s="13">
        <v>2019</v>
      </c>
      <c r="CG21" s="13" t="s">
        <v>3214</v>
      </c>
    </row>
    <row r="22" spans="1:85">
      <c r="A22" s="13" t="s">
        <v>3359</v>
      </c>
      <c r="C22" s="13" t="s">
        <v>3289</v>
      </c>
      <c r="D22" s="14" t="s">
        <v>898</v>
      </c>
      <c r="E22" s="13" t="s">
        <v>799</v>
      </c>
      <c r="F22" s="13" t="s">
        <v>3662</v>
      </c>
      <c r="G22" s="13" t="s">
        <v>672</v>
      </c>
      <c r="H22" s="13" t="s">
        <v>807</v>
      </c>
      <c r="J22" s="14" t="s">
        <v>3659</v>
      </c>
      <c r="K22" s="13" t="s">
        <v>3658</v>
      </c>
      <c r="L22" s="14" t="s">
        <v>808</v>
      </c>
      <c r="M22" s="14" t="s">
        <v>3660</v>
      </c>
      <c r="P22" s="13">
        <v>49</v>
      </c>
      <c r="Q22" s="17">
        <f t="shared" si="2"/>
        <v>0.49494949494949497</v>
      </c>
      <c r="R22" s="13">
        <v>127</v>
      </c>
      <c r="S22" s="13">
        <v>99</v>
      </c>
      <c r="V22" s="13">
        <v>11</v>
      </c>
      <c r="AB22" s="13">
        <v>61.11</v>
      </c>
      <c r="AC22" s="13">
        <v>13.84</v>
      </c>
      <c r="AG22" s="13" t="s">
        <v>639</v>
      </c>
      <c r="BG22" s="13">
        <v>8504</v>
      </c>
      <c r="BI22" s="13">
        <v>4351</v>
      </c>
      <c r="BJ22" s="13">
        <v>13877</v>
      </c>
      <c r="BR22" s="13">
        <v>1048</v>
      </c>
      <c r="BT22" s="13">
        <v>754</v>
      </c>
      <c r="BU22" s="13">
        <v>1497</v>
      </c>
      <c r="BY22" s="13" t="s">
        <v>3436</v>
      </c>
      <c r="BZ22" s="13" t="s">
        <v>3437</v>
      </c>
      <c r="CA22" s="13">
        <v>2025</v>
      </c>
      <c r="CB22" s="21">
        <v>45721</v>
      </c>
      <c r="CC22" s="13" t="s">
        <v>50</v>
      </c>
      <c r="CD22" s="13">
        <v>16</v>
      </c>
      <c r="CE22" s="13">
        <v>1</v>
      </c>
      <c r="CF22" s="13">
        <v>2019</v>
      </c>
      <c r="CG22" s="13" t="s">
        <v>3214</v>
      </c>
    </row>
    <row r="23" spans="1:85">
      <c r="A23" s="13" t="s">
        <v>3360</v>
      </c>
      <c r="C23" s="13" t="s">
        <v>3290</v>
      </c>
      <c r="D23" s="16" t="s">
        <v>4179</v>
      </c>
      <c r="H23" s="13" t="s">
        <v>4176</v>
      </c>
      <c r="J23" s="14" t="s">
        <v>726</v>
      </c>
      <c r="L23" s="14"/>
      <c r="BY23" s="13" t="s">
        <v>3438</v>
      </c>
      <c r="BZ23" s="13" t="s">
        <v>3439</v>
      </c>
      <c r="CA23" s="13">
        <v>2024</v>
      </c>
      <c r="CC23" s="13" t="s">
        <v>3440</v>
      </c>
      <c r="CD23" s="13">
        <v>22</v>
      </c>
      <c r="CE23" s="13">
        <v>1</v>
      </c>
      <c r="CG23" s="13" t="s">
        <v>3215</v>
      </c>
    </row>
    <row r="24" spans="1:85">
      <c r="A24" s="13" t="s">
        <v>1662</v>
      </c>
      <c r="B24" s="13" t="s">
        <v>1770</v>
      </c>
      <c r="C24" s="13" t="s">
        <v>22</v>
      </c>
      <c r="D24" s="13" t="s">
        <v>818</v>
      </c>
      <c r="E24" s="13" t="s">
        <v>600</v>
      </c>
      <c r="F24" s="13" t="s">
        <v>656</v>
      </c>
      <c r="G24" s="13" t="s">
        <v>672</v>
      </c>
      <c r="H24" s="16" t="s">
        <v>4141</v>
      </c>
      <c r="J24" s="13" t="s">
        <v>598</v>
      </c>
      <c r="K24" s="14" t="s">
        <v>3081</v>
      </c>
      <c r="L24" s="13" t="s">
        <v>622</v>
      </c>
      <c r="M24" s="13" t="s">
        <v>4146</v>
      </c>
      <c r="N24" s="13">
        <v>108</v>
      </c>
      <c r="O24" s="2">
        <f t="shared" ref="O24:O33" si="3">N24/R24</f>
        <v>0.54822335025380708</v>
      </c>
      <c r="P24" s="13">
        <v>36</v>
      </c>
      <c r="Q24" s="2">
        <f t="shared" ref="Q24:Q33" si="4">P24/S24</f>
        <v>0.6428571428571429</v>
      </c>
      <c r="R24" s="13">
        <v>197</v>
      </c>
      <c r="S24" s="13">
        <v>56</v>
      </c>
      <c r="T24" s="16"/>
      <c r="U24" s="19">
        <v>0.05</v>
      </c>
      <c r="V24" s="16"/>
      <c r="W24" s="16"/>
      <c r="X24" s="16"/>
      <c r="Y24" s="13">
        <v>65</v>
      </c>
      <c r="Z24" s="16">
        <v>61</v>
      </c>
      <c r="AA24" s="16">
        <v>70</v>
      </c>
      <c r="AB24" s="16"/>
      <c r="AC24" s="16"/>
      <c r="AD24" s="16">
        <v>65</v>
      </c>
      <c r="AE24" s="16">
        <v>56</v>
      </c>
      <c r="AF24" s="16">
        <v>73</v>
      </c>
      <c r="AG24" s="13" t="s">
        <v>639</v>
      </c>
      <c r="AH24" s="13">
        <v>17.8</v>
      </c>
      <c r="AJ24" s="13">
        <v>86.8</v>
      </c>
      <c r="AK24" s="13">
        <v>81.3</v>
      </c>
      <c r="AL24" s="13">
        <v>91.2</v>
      </c>
      <c r="AM24" s="13">
        <v>30.4</v>
      </c>
      <c r="AN24" s="13">
        <v>17.7</v>
      </c>
      <c r="AO24" s="13">
        <v>45.8</v>
      </c>
      <c r="AP24" s="16">
        <v>0.56999999999999995</v>
      </c>
      <c r="AR24" s="16">
        <v>0.5</v>
      </c>
      <c r="AS24" s="16">
        <v>0.63</v>
      </c>
      <c r="AT24" s="16"/>
      <c r="AU24" s="16"/>
      <c r="AV24" s="16"/>
      <c r="AW24" s="16"/>
      <c r="AX24" s="16"/>
      <c r="AY24" s="16"/>
      <c r="AZ24" s="16"/>
      <c r="BA24" s="16"/>
      <c r="BG24" s="13">
        <v>27.3</v>
      </c>
      <c r="BI24" s="13">
        <v>20.9</v>
      </c>
      <c r="BJ24" s="13">
        <v>35.6</v>
      </c>
      <c r="BR24" s="13">
        <v>25</v>
      </c>
      <c r="BT24" s="13">
        <v>16.7</v>
      </c>
      <c r="BU24" s="13">
        <v>35.200000000000003</v>
      </c>
      <c r="BX24" s="13">
        <v>0.17199999999999999</v>
      </c>
      <c r="BY24" s="13" t="s">
        <v>17</v>
      </c>
      <c r="BZ24" s="13" t="s">
        <v>18</v>
      </c>
      <c r="CA24" s="13">
        <v>2021</v>
      </c>
      <c r="CB24" s="13" t="s">
        <v>12</v>
      </c>
      <c r="CC24" s="13" t="s">
        <v>19</v>
      </c>
      <c r="CD24" s="13">
        <v>28</v>
      </c>
      <c r="CE24" s="13">
        <v>6</v>
      </c>
      <c r="CF24" s="13" t="s">
        <v>20</v>
      </c>
      <c r="CG24" s="13" t="s">
        <v>21</v>
      </c>
    </row>
    <row r="25" spans="1:85">
      <c r="A25" s="13" t="s">
        <v>1662</v>
      </c>
      <c r="B25" s="13" t="s">
        <v>1770</v>
      </c>
      <c r="C25" s="13" t="s">
        <v>22</v>
      </c>
      <c r="D25" s="13" t="s">
        <v>818</v>
      </c>
      <c r="E25" s="13" t="s">
        <v>657</v>
      </c>
      <c r="F25" s="13" t="s">
        <v>628</v>
      </c>
      <c r="G25" s="13" t="s">
        <v>672</v>
      </c>
      <c r="H25" s="16" t="s">
        <v>4141</v>
      </c>
      <c r="J25" s="13" t="s">
        <v>598</v>
      </c>
      <c r="K25" s="14" t="s">
        <v>3081</v>
      </c>
      <c r="L25" s="13" t="s">
        <v>622</v>
      </c>
      <c r="M25" s="13" t="s">
        <v>4146</v>
      </c>
      <c r="N25" s="13">
        <v>108</v>
      </c>
      <c r="O25" s="2">
        <f t="shared" si="3"/>
        <v>0.54822335025380708</v>
      </c>
      <c r="P25" s="13">
        <v>19</v>
      </c>
      <c r="Q25" s="2">
        <f t="shared" si="4"/>
        <v>0.54285714285714282</v>
      </c>
      <c r="R25" s="13">
        <v>197</v>
      </c>
      <c r="S25" s="13">
        <v>35</v>
      </c>
      <c r="T25" s="16"/>
      <c r="U25" s="19">
        <v>0.05</v>
      </c>
      <c r="V25" s="16"/>
      <c r="W25" s="16"/>
      <c r="X25" s="16"/>
      <c r="Y25" s="13">
        <v>65</v>
      </c>
      <c r="Z25" s="16">
        <v>61</v>
      </c>
      <c r="AA25" s="16">
        <v>70</v>
      </c>
      <c r="AB25" s="16"/>
      <c r="AC25" s="16"/>
      <c r="AD25" s="16">
        <v>67</v>
      </c>
      <c r="AE25" s="16">
        <v>54</v>
      </c>
      <c r="AF25" s="16">
        <v>74</v>
      </c>
      <c r="AG25" s="13" t="s">
        <v>639</v>
      </c>
      <c r="AH25" s="13">
        <v>17.8</v>
      </c>
      <c r="AJ25" s="13">
        <v>79.7</v>
      </c>
      <c r="AK25" s="13">
        <v>73.400000000000006</v>
      </c>
      <c r="AL25" s="13">
        <v>85.1</v>
      </c>
      <c r="AM25" s="13">
        <v>41.4</v>
      </c>
      <c r="AN25" s="13">
        <v>23.5</v>
      </c>
      <c r="AO25" s="13">
        <v>61.1</v>
      </c>
      <c r="AP25" s="16">
        <v>0.59</v>
      </c>
      <c r="AR25" s="16">
        <v>0.53</v>
      </c>
      <c r="AS25" s="16">
        <v>0.63</v>
      </c>
      <c r="AT25" s="16"/>
      <c r="AU25" s="16"/>
      <c r="AV25" s="16"/>
      <c r="AW25" s="16"/>
      <c r="AX25" s="16"/>
      <c r="AY25" s="16"/>
      <c r="AZ25" s="16"/>
      <c r="BA25" s="16"/>
      <c r="BG25" s="13">
        <v>27.3</v>
      </c>
      <c r="BI25" s="13">
        <v>20.9</v>
      </c>
      <c r="BJ25" s="13">
        <v>35.6</v>
      </c>
      <c r="BR25" s="13">
        <v>23</v>
      </c>
      <c r="BT25" s="13">
        <v>17.5</v>
      </c>
      <c r="BU25" s="13">
        <v>31.5</v>
      </c>
      <c r="BX25" s="13">
        <v>0.17199999999999999</v>
      </c>
      <c r="BY25" s="13" t="s">
        <v>17</v>
      </c>
      <c r="BZ25" s="13" t="s">
        <v>18</v>
      </c>
      <c r="CA25" s="13">
        <v>2021</v>
      </c>
      <c r="CB25" s="13" t="s">
        <v>12</v>
      </c>
      <c r="CC25" s="13" t="s">
        <v>19</v>
      </c>
      <c r="CD25" s="13">
        <v>28</v>
      </c>
      <c r="CE25" s="13">
        <v>6</v>
      </c>
      <c r="CF25" s="13" t="s">
        <v>20</v>
      </c>
      <c r="CG25" s="13" t="s">
        <v>21</v>
      </c>
    </row>
    <row r="26" spans="1:85">
      <c r="A26" s="13" t="s">
        <v>1662</v>
      </c>
      <c r="B26" s="13" t="s">
        <v>1770</v>
      </c>
      <c r="C26" s="13" t="s">
        <v>22</v>
      </c>
      <c r="D26" s="13" t="s">
        <v>818</v>
      </c>
      <c r="E26" s="13" t="s">
        <v>600</v>
      </c>
      <c r="F26" s="13" t="s">
        <v>656</v>
      </c>
      <c r="G26" s="13" t="s">
        <v>672</v>
      </c>
      <c r="H26" s="13" t="s">
        <v>676</v>
      </c>
      <c r="J26" s="13" t="s">
        <v>598</v>
      </c>
      <c r="K26" s="14" t="s">
        <v>3081</v>
      </c>
      <c r="L26" s="13" t="s">
        <v>622</v>
      </c>
      <c r="N26" s="13">
        <v>108</v>
      </c>
      <c r="O26" s="2">
        <f t="shared" si="3"/>
        <v>0.54822335025380708</v>
      </c>
      <c r="P26" s="13">
        <v>36</v>
      </c>
      <c r="Q26" s="2">
        <f t="shared" si="4"/>
        <v>0.6428571428571429</v>
      </c>
      <c r="R26" s="13">
        <v>197</v>
      </c>
      <c r="S26" s="13">
        <v>56</v>
      </c>
      <c r="T26" s="16"/>
      <c r="U26" s="19">
        <v>0.05</v>
      </c>
      <c r="V26" s="16"/>
      <c r="W26" s="16"/>
      <c r="X26" s="16"/>
      <c r="Y26" s="13">
        <v>65</v>
      </c>
      <c r="Z26" s="16">
        <v>61</v>
      </c>
      <c r="AA26" s="16">
        <v>70</v>
      </c>
      <c r="AB26" s="16"/>
      <c r="AC26" s="16"/>
      <c r="AD26" s="16">
        <v>65</v>
      </c>
      <c r="AE26" s="16">
        <v>56</v>
      </c>
      <c r="AF26" s="16">
        <v>73</v>
      </c>
      <c r="AG26" s="13" t="s">
        <v>639</v>
      </c>
      <c r="AH26" s="13">
        <v>163</v>
      </c>
      <c r="AJ26" s="13">
        <v>76.599999999999994</v>
      </c>
      <c r="AK26" s="13">
        <v>70.099999999999994</v>
      </c>
      <c r="AL26" s="13">
        <v>82.4</v>
      </c>
      <c r="AM26" s="13">
        <v>52.7</v>
      </c>
      <c r="AN26" s="13">
        <v>38.799999999999997</v>
      </c>
      <c r="AO26" s="13">
        <v>66.3</v>
      </c>
      <c r="AP26" s="16">
        <v>0.65</v>
      </c>
      <c r="AQ26" s="16"/>
      <c r="AR26" s="16">
        <v>0.57999999999999996</v>
      </c>
      <c r="AS26" s="16">
        <v>0.71</v>
      </c>
      <c r="AT26" s="16"/>
      <c r="AU26" s="16"/>
      <c r="AV26" s="16"/>
      <c r="AW26" s="16"/>
      <c r="AX26" s="16"/>
      <c r="AY26" s="16"/>
      <c r="AZ26" s="16"/>
      <c r="BA26" s="16"/>
      <c r="BG26" s="13">
        <v>246</v>
      </c>
      <c r="BI26" s="13">
        <v>168</v>
      </c>
      <c r="BJ26" s="13">
        <v>335</v>
      </c>
      <c r="BR26" s="13">
        <v>157</v>
      </c>
      <c r="BT26" s="13">
        <v>116</v>
      </c>
      <c r="BU26" s="13">
        <v>260</v>
      </c>
      <c r="BX26" s="13" t="s">
        <v>616</v>
      </c>
      <c r="BY26" s="13" t="s">
        <v>17</v>
      </c>
      <c r="BZ26" s="13" t="s">
        <v>18</v>
      </c>
      <c r="CA26" s="13">
        <v>2021</v>
      </c>
      <c r="CB26" s="13" t="s">
        <v>12</v>
      </c>
      <c r="CC26" s="13" t="s">
        <v>19</v>
      </c>
      <c r="CD26" s="13">
        <v>28</v>
      </c>
      <c r="CE26" s="13">
        <v>6</v>
      </c>
      <c r="CF26" s="13" t="s">
        <v>20</v>
      </c>
      <c r="CG26" s="13" t="s">
        <v>21</v>
      </c>
    </row>
    <row r="27" spans="1:85">
      <c r="A27" s="13" t="s">
        <v>1662</v>
      </c>
      <c r="B27" s="13" t="s">
        <v>1770</v>
      </c>
      <c r="C27" s="13" t="s">
        <v>22</v>
      </c>
      <c r="D27" s="13" t="s">
        <v>818</v>
      </c>
      <c r="E27" s="13" t="s">
        <v>657</v>
      </c>
      <c r="F27" s="13" t="s">
        <v>628</v>
      </c>
      <c r="G27" s="13" t="s">
        <v>672</v>
      </c>
      <c r="H27" s="13" t="s">
        <v>676</v>
      </c>
      <c r="J27" s="13" t="s">
        <v>598</v>
      </c>
      <c r="K27" s="14" t="s">
        <v>3081</v>
      </c>
      <c r="L27" s="13" t="s">
        <v>622</v>
      </c>
      <c r="N27" s="13">
        <v>108</v>
      </c>
      <c r="O27" s="2">
        <f t="shared" si="3"/>
        <v>0.54822335025380708</v>
      </c>
      <c r="P27" s="13">
        <v>19</v>
      </c>
      <c r="Q27" s="2">
        <f t="shared" si="4"/>
        <v>0.54285714285714282</v>
      </c>
      <c r="R27" s="13">
        <v>197</v>
      </c>
      <c r="S27" s="13">
        <v>35</v>
      </c>
      <c r="T27" s="16"/>
      <c r="U27" s="19">
        <v>0.05</v>
      </c>
      <c r="V27" s="16"/>
      <c r="W27" s="16"/>
      <c r="X27" s="16"/>
      <c r="Y27" s="13">
        <v>65</v>
      </c>
      <c r="Z27" s="16">
        <v>61</v>
      </c>
      <c r="AA27" s="16">
        <v>70</v>
      </c>
      <c r="AB27" s="16"/>
      <c r="AC27" s="16"/>
      <c r="AD27" s="16">
        <v>67</v>
      </c>
      <c r="AE27" s="16">
        <v>54</v>
      </c>
      <c r="AF27" s="16">
        <v>74</v>
      </c>
      <c r="AG27" s="13" t="s">
        <v>639</v>
      </c>
      <c r="AH27" s="13">
        <v>171</v>
      </c>
      <c r="AJ27" s="13">
        <v>73.099999999999994</v>
      </c>
      <c r="AK27" s="13">
        <v>66.3</v>
      </c>
      <c r="AL27" s="13">
        <v>79.2</v>
      </c>
      <c r="AM27" s="13">
        <v>68.8</v>
      </c>
      <c r="AN27" s="13">
        <v>50</v>
      </c>
      <c r="AO27" s="13">
        <v>83.9</v>
      </c>
      <c r="AP27" s="16">
        <v>0.73</v>
      </c>
      <c r="AQ27" s="16"/>
      <c r="AR27" s="16">
        <v>0.67</v>
      </c>
      <c r="AS27" s="16">
        <v>0.79</v>
      </c>
      <c r="AT27" s="16"/>
      <c r="AU27" s="16"/>
      <c r="AV27" s="16"/>
      <c r="AW27" s="16"/>
      <c r="AX27" s="16"/>
      <c r="AY27" s="16"/>
      <c r="AZ27" s="16"/>
      <c r="BA27" s="16"/>
      <c r="BG27" s="13">
        <v>246</v>
      </c>
      <c r="BI27" s="13">
        <v>168</v>
      </c>
      <c r="BJ27" s="13">
        <v>335</v>
      </c>
      <c r="BR27" s="13">
        <v>119</v>
      </c>
      <c r="BT27" s="13">
        <v>65</v>
      </c>
      <c r="BU27" s="13">
        <v>219</v>
      </c>
      <c r="BX27" s="13" t="s">
        <v>616</v>
      </c>
      <c r="BY27" s="13" t="s">
        <v>17</v>
      </c>
      <c r="BZ27" s="13" t="s">
        <v>18</v>
      </c>
      <c r="CA27" s="13">
        <v>2021</v>
      </c>
      <c r="CB27" s="13" t="s">
        <v>12</v>
      </c>
      <c r="CC27" s="13" t="s">
        <v>19</v>
      </c>
      <c r="CD27" s="13">
        <v>28</v>
      </c>
      <c r="CE27" s="13">
        <v>6</v>
      </c>
      <c r="CF27" s="13" t="s">
        <v>20</v>
      </c>
      <c r="CG27" s="13" t="s">
        <v>21</v>
      </c>
    </row>
    <row r="28" spans="1:85">
      <c r="A28" s="13" t="s">
        <v>1662</v>
      </c>
      <c r="B28" s="13" t="s">
        <v>1770</v>
      </c>
      <c r="C28" s="13" t="s">
        <v>22</v>
      </c>
      <c r="D28" s="13" t="s">
        <v>818</v>
      </c>
      <c r="E28" s="13" t="s">
        <v>600</v>
      </c>
      <c r="F28" s="13" t="s">
        <v>656</v>
      </c>
      <c r="G28" s="13" t="s">
        <v>672</v>
      </c>
      <c r="H28" s="13" t="s">
        <v>678</v>
      </c>
      <c r="J28" s="13" t="s">
        <v>598</v>
      </c>
      <c r="K28" s="14" t="s">
        <v>3081</v>
      </c>
      <c r="L28" s="13" t="s">
        <v>622</v>
      </c>
      <c r="N28" s="13">
        <v>108</v>
      </c>
      <c r="O28" s="2">
        <f t="shared" si="3"/>
        <v>0.54822335025380708</v>
      </c>
      <c r="P28" s="13">
        <v>36</v>
      </c>
      <c r="Q28" s="2">
        <f t="shared" si="4"/>
        <v>0.6428571428571429</v>
      </c>
      <c r="R28" s="13">
        <v>197</v>
      </c>
      <c r="S28" s="13">
        <v>56</v>
      </c>
      <c r="T28" s="16"/>
      <c r="U28" s="19">
        <v>0.05</v>
      </c>
      <c r="V28" s="16"/>
      <c r="W28" s="16"/>
      <c r="X28" s="16"/>
      <c r="Y28" s="13">
        <v>65</v>
      </c>
      <c r="Z28" s="16">
        <v>61</v>
      </c>
      <c r="AA28" s="16">
        <v>70</v>
      </c>
      <c r="AB28" s="16"/>
      <c r="AC28" s="16"/>
      <c r="AD28" s="16">
        <v>65</v>
      </c>
      <c r="AE28" s="16">
        <v>56</v>
      </c>
      <c r="AF28" s="16">
        <v>73</v>
      </c>
      <c r="AG28" s="13" t="s">
        <v>639</v>
      </c>
      <c r="AH28" s="13">
        <v>0.14799999999999999</v>
      </c>
      <c r="AJ28" s="13">
        <v>80.2</v>
      </c>
      <c r="AK28" s="13">
        <v>73.900000000000006</v>
      </c>
      <c r="AL28" s="13">
        <v>85.5</v>
      </c>
      <c r="AM28" s="13">
        <v>76.7</v>
      </c>
      <c r="AN28" s="13">
        <v>57.7</v>
      </c>
      <c r="AO28" s="13">
        <v>90.1</v>
      </c>
      <c r="AP28" s="16">
        <v>0.78</v>
      </c>
      <c r="AQ28" s="16"/>
      <c r="AR28" s="16">
        <v>0.72</v>
      </c>
      <c r="AS28" s="16">
        <v>0.83</v>
      </c>
      <c r="AT28" s="16"/>
      <c r="AU28" s="16"/>
      <c r="AV28" s="16"/>
      <c r="AW28" s="16"/>
      <c r="AX28" s="16"/>
      <c r="AY28" s="16"/>
      <c r="AZ28" s="16"/>
      <c r="BA28" s="16"/>
      <c r="BG28" s="13">
        <v>0.11799999999999999</v>
      </c>
      <c r="BI28" s="13">
        <v>9.9000000000000005E-2</v>
      </c>
      <c r="BJ28" s="13">
        <v>0.14399999999999999</v>
      </c>
      <c r="BR28" s="13">
        <v>0.16900000000000001</v>
      </c>
      <c r="BT28" s="13">
        <v>0.128</v>
      </c>
      <c r="BU28" s="13">
        <v>0.22900000000000001</v>
      </c>
      <c r="BX28" s="13" t="s">
        <v>616</v>
      </c>
      <c r="BY28" s="13" t="s">
        <v>17</v>
      </c>
      <c r="BZ28" s="13" t="s">
        <v>18</v>
      </c>
      <c r="CA28" s="13">
        <v>2021</v>
      </c>
      <c r="CB28" s="13" t="s">
        <v>12</v>
      </c>
      <c r="CC28" s="13" t="s">
        <v>19</v>
      </c>
      <c r="CD28" s="13">
        <v>28</v>
      </c>
      <c r="CE28" s="13">
        <v>6</v>
      </c>
      <c r="CF28" s="13" t="s">
        <v>20</v>
      </c>
      <c r="CG28" s="13" t="s">
        <v>21</v>
      </c>
    </row>
    <row r="29" spans="1:85">
      <c r="A29" s="13" t="s">
        <v>1662</v>
      </c>
      <c r="B29" s="13" t="s">
        <v>1770</v>
      </c>
      <c r="C29" s="13" t="s">
        <v>22</v>
      </c>
      <c r="D29" s="13" t="s">
        <v>818</v>
      </c>
      <c r="E29" s="13" t="s">
        <v>657</v>
      </c>
      <c r="F29" s="13" t="s">
        <v>628</v>
      </c>
      <c r="G29" s="13" t="s">
        <v>672</v>
      </c>
      <c r="H29" s="13" t="s">
        <v>678</v>
      </c>
      <c r="J29" s="13" t="s">
        <v>598</v>
      </c>
      <c r="K29" s="14" t="s">
        <v>3081</v>
      </c>
      <c r="L29" s="13" t="s">
        <v>622</v>
      </c>
      <c r="N29" s="13">
        <v>108</v>
      </c>
      <c r="O29" s="2">
        <f t="shared" si="3"/>
        <v>0.54822335025380708</v>
      </c>
      <c r="P29" s="13">
        <v>19</v>
      </c>
      <c r="Q29" s="2">
        <f t="shared" si="4"/>
        <v>0.54285714285714282</v>
      </c>
      <c r="R29" s="13">
        <v>197</v>
      </c>
      <c r="S29" s="13">
        <v>35</v>
      </c>
      <c r="T29" s="16"/>
      <c r="U29" s="19">
        <v>0.05</v>
      </c>
      <c r="V29" s="16"/>
      <c r="W29" s="16"/>
      <c r="X29" s="16"/>
      <c r="Y29" s="13">
        <v>65</v>
      </c>
      <c r="Z29" s="16">
        <v>61</v>
      </c>
      <c r="AA29" s="16">
        <v>70</v>
      </c>
      <c r="AB29" s="16"/>
      <c r="AC29" s="16"/>
      <c r="AD29" s="16">
        <v>67</v>
      </c>
      <c r="AE29" s="16">
        <v>54</v>
      </c>
      <c r="AF29" s="16">
        <v>74</v>
      </c>
      <c r="AG29" s="13" t="s">
        <v>639</v>
      </c>
      <c r="AH29" s="13">
        <v>0.154</v>
      </c>
      <c r="AJ29" s="13">
        <v>82.7</v>
      </c>
      <c r="AK29" s="13">
        <v>76.7</v>
      </c>
      <c r="AL29" s="13">
        <v>87.7</v>
      </c>
      <c r="AM29" s="13">
        <v>85.7</v>
      </c>
      <c r="AN29" s="13">
        <v>67.3</v>
      </c>
      <c r="AO29" s="13">
        <v>96</v>
      </c>
      <c r="AP29" s="16">
        <v>0.86</v>
      </c>
      <c r="AQ29" s="16"/>
      <c r="AR29" s="16">
        <v>0.81</v>
      </c>
      <c r="AS29" s="16">
        <v>0.91</v>
      </c>
      <c r="AT29" s="16"/>
      <c r="AU29" s="16"/>
      <c r="AV29" s="16"/>
      <c r="AW29" s="16"/>
      <c r="AX29" s="16"/>
      <c r="AY29" s="16"/>
      <c r="AZ29" s="16"/>
      <c r="BA29" s="16"/>
      <c r="BG29" s="13">
        <v>0.11799999999999999</v>
      </c>
      <c r="BI29" s="13">
        <v>9.9000000000000005E-2</v>
      </c>
      <c r="BJ29" s="13">
        <v>0.14399999999999999</v>
      </c>
      <c r="BR29" s="13">
        <v>0.19900000000000001</v>
      </c>
      <c r="BT29" s="13">
        <v>0.155</v>
      </c>
      <c r="BU29" s="13">
        <v>0.28999999999999998</v>
      </c>
      <c r="BX29" s="13" t="s">
        <v>616</v>
      </c>
      <c r="BY29" s="13" t="s">
        <v>17</v>
      </c>
      <c r="BZ29" s="13" t="s">
        <v>18</v>
      </c>
      <c r="CA29" s="13">
        <v>2021</v>
      </c>
      <c r="CB29" s="13" t="s">
        <v>12</v>
      </c>
      <c r="CC29" s="13" t="s">
        <v>19</v>
      </c>
      <c r="CD29" s="13">
        <v>28</v>
      </c>
      <c r="CE29" s="13">
        <v>6</v>
      </c>
      <c r="CF29" s="13" t="s">
        <v>20</v>
      </c>
      <c r="CG29" s="13" t="s">
        <v>21</v>
      </c>
    </row>
    <row r="30" spans="1:85">
      <c r="A30" s="13" t="s">
        <v>1663</v>
      </c>
      <c r="B30" s="13" t="s">
        <v>1771</v>
      </c>
      <c r="C30" s="16" t="s">
        <v>29</v>
      </c>
      <c r="D30" s="16" t="s">
        <v>819</v>
      </c>
      <c r="E30" s="16" t="s">
        <v>630</v>
      </c>
      <c r="F30" s="13" t="s">
        <v>631</v>
      </c>
      <c r="G30" s="13" t="s">
        <v>673</v>
      </c>
      <c r="H30" s="16" t="s">
        <v>682</v>
      </c>
      <c r="I30" s="16"/>
      <c r="J30" s="16" t="s">
        <v>629</v>
      </c>
      <c r="K30" s="14" t="s">
        <v>3082</v>
      </c>
      <c r="L30" s="13" t="s">
        <v>585</v>
      </c>
      <c r="N30" s="13">
        <v>26</v>
      </c>
      <c r="O30" s="2">
        <f t="shared" si="3"/>
        <v>0.72222222222222221</v>
      </c>
      <c r="P30" s="13">
        <v>17</v>
      </c>
      <c r="Q30" s="17">
        <f t="shared" si="4"/>
        <v>0.56666666666666665</v>
      </c>
      <c r="R30" s="13">
        <v>36</v>
      </c>
      <c r="S30" s="13">
        <v>30</v>
      </c>
      <c r="T30" s="16"/>
      <c r="U30" s="16"/>
      <c r="V30" s="16"/>
      <c r="W30" s="13">
        <v>56.1</v>
      </c>
      <c r="X30" s="13">
        <v>11.5</v>
      </c>
      <c r="Y30" s="16"/>
      <c r="Z30" s="16"/>
      <c r="AA30" s="16"/>
      <c r="AB30" s="16">
        <v>66.5</v>
      </c>
      <c r="AC30" s="16">
        <v>13.8</v>
      </c>
      <c r="AD30" s="16"/>
      <c r="AE30" s="16"/>
      <c r="AF30" s="16"/>
      <c r="AG30" s="13" t="s">
        <v>639</v>
      </c>
      <c r="AU30" s="16"/>
      <c r="AV30" s="16"/>
      <c r="AW30" s="16"/>
      <c r="AX30" s="16"/>
      <c r="AY30" s="16"/>
      <c r="AZ30" s="16"/>
      <c r="BA30" s="16"/>
      <c r="BB30" s="13">
        <v>52.7</v>
      </c>
      <c r="BC30" s="13">
        <v>18.2</v>
      </c>
      <c r="BM30" s="13">
        <v>39.5</v>
      </c>
      <c r="BN30" s="13">
        <v>8.1999999999999993</v>
      </c>
      <c r="BX30" s="13">
        <v>2E-3</v>
      </c>
      <c r="BY30" s="16" t="s">
        <v>23</v>
      </c>
      <c r="BZ30" s="13" t="s">
        <v>24</v>
      </c>
      <c r="CA30" s="13">
        <v>2019</v>
      </c>
      <c r="CB30" s="13" t="s">
        <v>25</v>
      </c>
      <c r="CC30" s="13" t="s">
        <v>26</v>
      </c>
      <c r="CD30" s="13">
        <v>6</v>
      </c>
      <c r="CE30" s="13">
        <v>3</v>
      </c>
      <c r="CF30" s="13" t="s">
        <v>27</v>
      </c>
      <c r="CG30" s="13" t="s">
        <v>28</v>
      </c>
    </row>
    <row r="31" spans="1:85">
      <c r="A31" s="13" t="s">
        <v>1663</v>
      </c>
      <c r="B31" s="13" t="s">
        <v>1771</v>
      </c>
      <c r="C31" s="16" t="s">
        <v>29</v>
      </c>
      <c r="D31" s="16" t="s">
        <v>819</v>
      </c>
      <c r="E31" s="16" t="s">
        <v>632</v>
      </c>
      <c r="F31" s="13" t="s">
        <v>631</v>
      </c>
      <c r="G31" s="13" t="s">
        <v>673</v>
      </c>
      <c r="H31" s="16" t="s">
        <v>682</v>
      </c>
      <c r="I31" s="16"/>
      <c r="J31" s="16" t="s">
        <v>629</v>
      </c>
      <c r="K31" s="14" t="s">
        <v>3082</v>
      </c>
      <c r="L31" s="13" t="s">
        <v>585</v>
      </c>
      <c r="N31" s="13">
        <v>20</v>
      </c>
      <c r="O31" s="2">
        <f t="shared" si="3"/>
        <v>0.76923076923076927</v>
      </c>
      <c r="P31" s="13">
        <v>17</v>
      </c>
      <c r="Q31" s="17">
        <f t="shared" si="4"/>
        <v>0.56666666666666665</v>
      </c>
      <c r="R31" s="13">
        <v>26</v>
      </c>
      <c r="S31" s="13">
        <v>30</v>
      </c>
      <c r="T31" s="16"/>
      <c r="U31" s="16"/>
      <c r="V31" s="16"/>
      <c r="W31" s="13">
        <v>62.3</v>
      </c>
      <c r="X31" s="13">
        <v>10.3</v>
      </c>
      <c r="Y31" s="16"/>
      <c r="Z31" s="16"/>
      <c r="AA31" s="16"/>
      <c r="AB31" s="16">
        <v>66.5</v>
      </c>
      <c r="AC31" s="16">
        <v>13.8</v>
      </c>
      <c r="AD31" s="16"/>
      <c r="AE31" s="16"/>
      <c r="AF31" s="16"/>
      <c r="AG31" s="13" t="s">
        <v>639</v>
      </c>
      <c r="AU31" s="16"/>
      <c r="AV31" s="16"/>
      <c r="AW31" s="16"/>
      <c r="AX31" s="16"/>
      <c r="AY31" s="16"/>
      <c r="AZ31" s="16"/>
      <c r="BA31" s="16"/>
      <c r="BB31" s="13">
        <v>45.4</v>
      </c>
      <c r="BC31" s="13">
        <v>15.7</v>
      </c>
      <c r="BM31" s="13">
        <v>39.5</v>
      </c>
      <c r="BN31" s="13">
        <v>8.1999999999999993</v>
      </c>
      <c r="BX31" s="13">
        <v>2E-3</v>
      </c>
      <c r="BY31" s="16" t="s">
        <v>23</v>
      </c>
      <c r="BZ31" s="13" t="s">
        <v>24</v>
      </c>
      <c r="CA31" s="13">
        <v>2019</v>
      </c>
      <c r="CB31" s="13" t="s">
        <v>25</v>
      </c>
      <c r="CC31" s="13" t="s">
        <v>26</v>
      </c>
      <c r="CD31" s="13">
        <v>6</v>
      </c>
      <c r="CE31" s="13">
        <v>3</v>
      </c>
      <c r="CF31" s="13" t="s">
        <v>27</v>
      </c>
      <c r="CG31" s="13" t="s">
        <v>28</v>
      </c>
    </row>
    <row r="32" spans="1:85">
      <c r="A32" s="13" t="s">
        <v>1663</v>
      </c>
      <c r="B32" s="13" t="s">
        <v>1771</v>
      </c>
      <c r="C32" s="16" t="s">
        <v>29</v>
      </c>
      <c r="D32" s="16" t="s">
        <v>819</v>
      </c>
      <c r="E32" s="16" t="s">
        <v>630</v>
      </c>
      <c r="F32" s="13" t="s">
        <v>631</v>
      </c>
      <c r="G32" s="13" t="s">
        <v>673</v>
      </c>
      <c r="H32" s="16" t="s">
        <v>683</v>
      </c>
      <c r="I32" s="16"/>
      <c r="J32" s="16" t="s">
        <v>629</v>
      </c>
      <c r="K32" s="14" t="s">
        <v>3082</v>
      </c>
      <c r="L32" s="13" t="s">
        <v>585</v>
      </c>
      <c r="N32" s="13">
        <v>26</v>
      </c>
      <c r="O32" s="2">
        <f t="shared" si="3"/>
        <v>0.72222222222222221</v>
      </c>
      <c r="P32" s="13">
        <v>17</v>
      </c>
      <c r="Q32" s="17">
        <f t="shared" si="4"/>
        <v>0.56666666666666665</v>
      </c>
      <c r="R32" s="13">
        <v>36</v>
      </c>
      <c r="S32" s="13">
        <v>30</v>
      </c>
      <c r="T32" s="16"/>
      <c r="U32" s="16"/>
      <c r="V32" s="16"/>
      <c r="W32" s="13">
        <v>56.1</v>
      </c>
      <c r="X32" s="13">
        <v>11.5</v>
      </c>
      <c r="Y32" s="16"/>
      <c r="Z32" s="16"/>
      <c r="AA32" s="16"/>
      <c r="AB32" s="16">
        <v>66.5</v>
      </c>
      <c r="AC32" s="16">
        <v>13.8</v>
      </c>
      <c r="AD32" s="16"/>
      <c r="AE32" s="16"/>
      <c r="AF32" s="16"/>
      <c r="AG32" s="13" t="s">
        <v>641</v>
      </c>
      <c r="AU32" s="16"/>
      <c r="AV32" s="16"/>
      <c r="AW32" s="16"/>
      <c r="AX32" s="16"/>
      <c r="AY32" s="16"/>
      <c r="AZ32" s="16"/>
      <c r="BA32" s="16"/>
      <c r="BB32" s="13">
        <v>10.548</v>
      </c>
      <c r="BC32" s="13">
        <v>8.8190000000000008</v>
      </c>
      <c r="BM32" s="13">
        <v>5.9939999999999998</v>
      </c>
      <c r="BN32" s="13">
        <v>3.7229999999999999</v>
      </c>
      <c r="BX32" s="13">
        <v>0.01</v>
      </c>
      <c r="BY32" s="16" t="s">
        <v>23</v>
      </c>
      <c r="BZ32" s="13" t="s">
        <v>24</v>
      </c>
      <c r="CA32" s="13">
        <v>2019</v>
      </c>
      <c r="CB32" s="13" t="s">
        <v>25</v>
      </c>
      <c r="CC32" s="13" t="s">
        <v>26</v>
      </c>
      <c r="CD32" s="13">
        <v>6</v>
      </c>
      <c r="CE32" s="13">
        <v>3</v>
      </c>
      <c r="CF32" s="13" t="s">
        <v>27</v>
      </c>
      <c r="CG32" s="13" t="s">
        <v>28</v>
      </c>
    </row>
    <row r="33" spans="1:85">
      <c r="A33" s="13" t="s">
        <v>1663</v>
      </c>
      <c r="B33" s="13" t="s">
        <v>1771</v>
      </c>
      <c r="C33" s="16" t="s">
        <v>29</v>
      </c>
      <c r="D33" s="16" t="s">
        <v>819</v>
      </c>
      <c r="E33" s="16" t="s">
        <v>632</v>
      </c>
      <c r="F33" s="13" t="s">
        <v>631</v>
      </c>
      <c r="G33" s="13" t="s">
        <v>673</v>
      </c>
      <c r="H33" s="16" t="s">
        <v>683</v>
      </c>
      <c r="I33" s="16"/>
      <c r="J33" s="16" t="s">
        <v>629</v>
      </c>
      <c r="K33" s="14" t="s">
        <v>3082</v>
      </c>
      <c r="L33" s="13" t="s">
        <v>585</v>
      </c>
      <c r="N33" s="13">
        <v>20</v>
      </c>
      <c r="O33" s="2">
        <f t="shared" si="3"/>
        <v>0.76923076923076927</v>
      </c>
      <c r="P33" s="13">
        <v>17</v>
      </c>
      <c r="Q33" s="17">
        <f t="shared" si="4"/>
        <v>0.56666666666666665</v>
      </c>
      <c r="R33" s="13">
        <v>26</v>
      </c>
      <c r="S33" s="13">
        <v>30</v>
      </c>
      <c r="T33" s="16"/>
      <c r="U33" s="16"/>
      <c r="V33" s="16"/>
      <c r="W33" s="13">
        <v>62.3</v>
      </c>
      <c r="X33" s="13">
        <v>10.3</v>
      </c>
      <c r="Y33" s="16"/>
      <c r="Z33" s="16"/>
      <c r="AA33" s="16"/>
      <c r="AB33" s="16">
        <v>66.5</v>
      </c>
      <c r="AC33" s="16">
        <v>13.8</v>
      </c>
      <c r="AD33" s="16"/>
      <c r="AE33" s="16"/>
      <c r="AF33" s="16"/>
      <c r="AG33" s="13" t="s">
        <v>641</v>
      </c>
      <c r="AU33" s="16"/>
      <c r="AV33" s="16"/>
      <c r="AW33" s="16"/>
      <c r="AX33" s="16"/>
      <c r="AY33" s="16"/>
      <c r="AZ33" s="16"/>
      <c r="BA33" s="16"/>
      <c r="BB33" s="13">
        <v>13.311999999999999</v>
      </c>
      <c r="BC33" s="13">
        <v>15.032</v>
      </c>
      <c r="BM33" s="13">
        <v>5.9939999999999998</v>
      </c>
      <c r="BN33" s="13">
        <v>3.7229999999999999</v>
      </c>
      <c r="BX33" s="13" t="s">
        <v>635</v>
      </c>
      <c r="BY33" s="16" t="s">
        <v>23</v>
      </c>
      <c r="BZ33" s="13" t="s">
        <v>24</v>
      </c>
      <c r="CA33" s="13">
        <v>2019</v>
      </c>
      <c r="CB33" s="13" t="s">
        <v>25</v>
      </c>
      <c r="CC33" s="13" t="s">
        <v>26</v>
      </c>
      <c r="CD33" s="13">
        <v>6</v>
      </c>
      <c r="CE33" s="13">
        <v>3</v>
      </c>
      <c r="CF33" s="13" t="s">
        <v>27</v>
      </c>
      <c r="CG33" s="13" t="s">
        <v>28</v>
      </c>
    </row>
    <row r="34" spans="1:85">
      <c r="A34" s="13" t="s">
        <v>1772</v>
      </c>
      <c r="B34" s="13" t="s">
        <v>1772</v>
      </c>
      <c r="C34" s="13" t="s">
        <v>1082</v>
      </c>
      <c r="D34" s="13" t="s">
        <v>818</v>
      </c>
      <c r="E34" s="13" t="s">
        <v>657</v>
      </c>
      <c r="F34" s="13" t="s">
        <v>2243</v>
      </c>
      <c r="G34" s="13" t="s">
        <v>672</v>
      </c>
      <c r="H34" s="13" t="s">
        <v>2244</v>
      </c>
      <c r="J34" s="13" t="s">
        <v>637</v>
      </c>
      <c r="K34" s="13" t="s">
        <v>4056</v>
      </c>
      <c r="L34" s="13" t="s">
        <v>2245</v>
      </c>
      <c r="M34" s="13" t="s">
        <v>2246</v>
      </c>
      <c r="R34" s="13">
        <v>40</v>
      </c>
      <c r="S34" s="13">
        <v>42</v>
      </c>
      <c r="W34" s="13">
        <v>64.400000000000006</v>
      </c>
      <c r="X34" s="13">
        <v>12.5</v>
      </c>
      <c r="AB34" s="13">
        <v>68</v>
      </c>
      <c r="AC34" s="13">
        <v>12.43</v>
      </c>
      <c r="AG34" s="13" t="s">
        <v>2247</v>
      </c>
      <c r="BB34" s="13">
        <v>44.5</v>
      </c>
      <c r="BC34" s="13">
        <v>24</v>
      </c>
      <c r="BM34" s="13">
        <v>56.7</v>
      </c>
      <c r="BN34" s="13">
        <v>22.1</v>
      </c>
      <c r="BX34" s="13">
        <v>3.5999999999999997E-2</v>
      </c>
      <c r="BY34" s="13" t="s">
        <v>1078</v>
      </c>
      <c r="BZ34" s="13" t="s">
        <v>1079</v>
      </c>
      <c r="CA34" s="13">
        <v>2021</v>
      </c>
      <c r="CB34" s="13" t="s">
        <v>2206</v>
      </c>
      <c r="CC34" s="13" t="s">
        <v>1080</v>
      </c>
      <c r="CD34" s="13">
        <v>11</v>
      </c>
      <c r="CE34" s="13">
        <v>5</v>
      </c>
      <c r="CG34" s="13" t="s">
        <v>1081</v>
      </c>
    </row>
    <row r="35" spans="1:85">
      <c r="A35" s="13" t="s">
        <v>1772</v>
      </c>
      <c r="B35" s="13" t="s">
        <v>1772</v>
      </c>
      <c r="C35" s="13" t="s">
        <v>1082</v>
      </c>
      <c r="D35" s="13" t="s">
        <v>818</v>
      </c>
      <c r="E35" s="13" t="s">
        <v>657</v>
      </c>
      <c r="F35" s="13" t="s">
        <v>2243</v>
      </c>
      <c r="G35" s="13" t="s">
        <v>672</v>
      </c>
      <c r="H35" s="13" t="s">
        <v>2248</v>
      </c>
      <c r="J35" s="13" t="s">
        <v>637</v>
      </c>
      <c r="K35" s="13" t="s">
        <v>4056</v>
      </c>
      <c r="L35" s="13" t="s">
        <v>2245</v>
      </c>
      <c r="M35" s="13" t="s">
        <v>2246</v>
      </c>
      <c r="R35" s="13">
        <v>40</v>
      </c>
      <c r="S35" s="13">
        <v>42</v>
      </c>
      <c r="W35" s="13">
        <v>64.400000000000006</v>
      </c>
      <c r="X35" s="13">
        <v>12.5</v>
      </c>
      <c r="AB35" s="13">
        <v>68</v>
      </c>
      <c r="AC35" s="13">
        <v>12.43</v>
      </c>
      <c r="AG35" s="13" t="s">
        <v>2247</v>
      </c>
      <c r="BB35" s="13">
        <v>1.1000000000000001</v>
      </c>
      <c r="BC35" s="13">
        <v>1.4</v>
      </c>
      <c r="BM35" s="13">
        <v>1.7</v>
      </c>
      <c r="BN35" s="13">
        <v>1.7</v>
      </c>
      <c r="BX35" s="13">
        <v>2.9000000000000001E-2</v>
      </c>
      <c r="BY35" s="13" t="s">
        <v>1078</v>
      </c>
      <c r="BZ35" s="13" t="s">
        <v>1079</v>
      </c>
      <c r="CA35" s="13">
        <v>2021</v>
      </c>
      <c r="CB35" s="13" t="s">
        <v>2206</v>
      </c>
      <c r="CC35" s="13" t="s">
        <v>1080</v>
      </c>
      <c r="CD35" s="13">
        <v>11</v>
      </c>
      <c r="CE35" s="13">
        <v>5</v>
      </c>
      <c r="CG35" s="13" t="s">
        <v>1081</v>
      </c>
    </row>
    <row r="36" spans="1:85">
      <c r="A36" s="13" t="s">
        <v>1772</v>
      </c>
      <c r="B36" s="13" t="s">
        <v>1772</v>
      </c>
      <c r="C36" s="13" t="s">
        <v>1082</v>
      </c>
      <c r="D36" s="13" t="s">
        <v>818</v>
      </c>
      <c r="E36" s="13" t="s">
        <v>657</v>
      </c>
      <c r="F36" s="13" t="s">
        <v>2243</v>
      </c>
      <c r="G36" s="13" t="s">
        <v>672</v>
      </c>
      <c r="H36" s="13" t="s">
        <v>2248</v>
      </c>
      <c r="J36" s="13" t="s">
        <v>637</v>
      </c>
      <c r="K36" s="13" t="s">
        <v>4056</v>
      </c>
      <c r="L36" s="13" t="s">
        <v>2245</v>
      </c>
      <c r="M36" s="13" t="s">
        <v>2246</v>
      </c>
      <c r="R36" s="13">
        <v>40</v>
      </c>
      <c r="S36" s="13">
        <v>42</v>
      </c>
      <c r="W36" s="13">
        <v>64.400000000000006</v>
      </c>
      <c r="X36" s="13">
        <v>12.5</v>
      </c>
      <c r="AB36" s="13">
        <v>68</v>
      </c>
      <c r="AC36" s="13">
        <v>12.43</v>
      </c>
      <c r="AG36" s="13" t="s">
        <v>2247</v>
      </c>
      <c r="BB36" s="13">
        <v>27.1</v>
      </c>
      <c r="BC36" s="13">
        <v>18.899999999999999</v>
      </c>
      <c r="BM36" s="13">
        <v>34.6</v>
      </c>
      <c r="BN36" s="13">
        <v>20.100000000000001</v>
      </c>
      <c r="BX36" s="13">
        <v>4.3999999999999997E-2</v>
      </c>
      <c r="BY36" s="13" t="s">
        <v>1078</v>
      </c>
      <c r="BZ36" s="13" t="s">
        <v>1079</v>
      </c>
      <c r="CA36" s="13">
        <v>2021</v>
      </c>
      <c r="CB36" s="13" t="s">
        <v>2206</v>
      </c>
      <c r="CC36" s="13" t="s">
        <v>1080</v>
      </c>
      <c r="CD36" s="13">
        <v>11</v>
      </c>
      <c r="CE36" s="13">
        <v>5</v>
      </c>
      <c r="CG36" s="13" t="s">
        <v>1081</v>
      </c>
    </row>
    <row r="37" spans="1:85">
      <c r="A37" s="13" t="s">
        <v>1664</v>
      </c>
      <c r="C37" s="13" t="s">
        <v>36</v>
      </c>
      <c r="D37" s="13" t="s">
        <v>827</v>
      </c>
      <c r="E37" s="13" t="s">
        <v>657</v>
      </c>
      <c r="F37" s="13" t="s">
        <v>638</v>
      </c>
      <c r="G37" s="13" t="s">
        <v>673</v>
      </c>
      <c r="H37" s="13" t="s">
        <v>684</v>
      </c>
      <c r="I37" s="13" t="s">
        <v>666</v>
      </c>
      <c r="J37" s="13" t="s">
        <v>637</v>
      </c>
      <c r="K37" s="13" t="s">
        <v>3171</v>
      </c>
      <c r="L37" s="13" t="s">
        <v>1958</v>
      </c>
      <c r="M37" s="13" t="s">
        <v>636</v>
      </c>
      <c r="N37" s="13">
        <v>13</v>
      </c>
      <c r="O37" s="2">
        <f>N37/R37</f>
        <v>0.52</v>
      </c>
      <c r="P37" s="13">
        <v>10</v>
      </c>
      <c r="Q37" s="17">
        <f>P37/S37</f>
        <v>0.43478260869565216</v>
      </c>
      <c r="R37" s="13">
        <v>25</v>
      </c>
      <c r="S37" s="13">
        <v>23</v>
      </c>
      <c r="T37" s="16"/>
      <c r="U37" s="16"/>
      <c r="V37" s="16"/>
      <c r="W37" s="13">
        <v>68.5</v>
      </c>
      <c r="X37" s="13">
        <v>8.6999999999999993</v>
      </c>
      <c r="Y37" s="16"/>
      <c r="Z37" s="16"/>
      <c r="AA37" s="16"/>
      <c r="AB37" s="16">
        <v>72.8</v>
      </c>
      <c r="AC37" s="16">
        <v>12</v>
      </c>
      <c r="AD37" s="16"/>
      <c r="AE37" s="16"/>
      <c r="AF37" s="16"/>
      <c r="AJ37" s="13">
        <v>90</v>
      </c>
      <c r="AK37" s="13">
        <v>80</v>
      </c>
      <c r="AL37" s="13">
        <v>100</v>
      </c>
      <c r="AM37" s="13">
        <v>78</v>
      </c>
      <c r="AN37" s="13">
        <v>68</v>
      </c>
      <c r="AO37" s="13">
        <v>88</v>
      </c>
      <c r="AP37" s="13">
        <v>0.95099999999999996</v>
      </c>
      <c r="AR37" s="13">
        <v>0.82899999999999996</v>
      </c>
      <c r="AS37" s="13">
        <v>1</v>
      </c>
      <c r="AU37" s="20">
        <v>80</v>
      </c>
      <c r="AV37" s="20">
        <f>80-8.9</f>
        <v>71.099999999999994</v>
      </c>
      <c r="AW37" s="20">
        <f>80+8.9</f>
        <v>88.9</v>
      </c>
      <c r="AX37" s="20">
        <v>89</v>
      </c>
      <c r="AY37" s="20">
        <f>89+11.8</f>
        <v>100.8</v>
      </c>
      <c r="AZ37" s="20">
        <f>89-11.8</f>
        <v>77.2</v>
      </c>
      <c r="BA37" s="16"/>
      <c r="BB37" s="16"/>
      <c r="BC37" s="16"/>
      <c r="BD37" s="16"/>
      <c r="BE37" s="16"/>
      <c r="BF37" s="16"/>
      <c r="BG37" s="16"/>
      <c r="BH37" s="16"/>
      <c r="BI37" s="16"/>
      <c r="BJ37" s="16"/>
      <c r="BK37" s="16"/>
      <c r="BL37" s="16"/>
      <c r="BY37" s="13" t="s">
        <v>30</v>
      </c>
      <c r="BZ37" s="13" t="s">
        <v>31</v>
      </c>
      <c r="CA37" s="13">
        <v>2022</v>
      </c>
      <c r="CB37" s="13" t="s">
        <v>32</v>
      </c>
      <c r="CC37" s="13" t="s">
        <v>33</v>
      </c>
      <c r="CD37" s="13">
        <v>27</v>
      </c>
      <c r="CE37" s="13">
        <v>5</v>
      </c>
      <c r="CF37" s="13" t="s">
        <v>34</v>
      </c>
      <c r="CG37" s="13" t="s">
        <v>35</v>
      </c>
    </row>
    <row r="38" spans="1:85">
      <c r="A38" s="13" t="s">
        <v>1665</v>
      </c>
      <c r="C38" s="13" t="s">
        <v>41</v>
      </c>
      <c r="D38" s="16" t="s">
        <v>4179</v>
      </c>
      <c r="H38" s="13" t="s">
        <v>685</v>
      </c>
      <c r="J38" s="13" t="s">
        <v>586</v>
      </c>
      <c r="L38" s="13" t="s">
        <v>646</v>
      </c>
      <c r="O38" s="17"/>
      <c r="U38" s="13"/>
      <c r="BY38" s="13" t="s">
        <v>37</v>
      </c>
      <c r="BZ38" s="13" t="s">
        <v>38</v>
      </c>
      <c r="CA38" s="13">
        <v>2022</v>
      </c>
      <c r="CC38" s="13" t="s">
        <v>39</v>
      </c>
      <c r="CD38" s="13">
        <v>13</v>
      </c>
      <c r="CF38" s="13">
        <v>1032192</v>
      </c>
      <c r="CG38" s="13" t="s">
        <v>40</v>
      </c>
    </row>
    <row r="39" spans="1:85">
      <c r="A39" s="13" t="s">
        <v>3361</v>
      </c>
      <c r="C39" s="13" t="s">
        <v>3291</v>
      </c>
      <c r="E39" s="13" t="s">
        <v>630</v>
      </c>
      <c r="F39" s="13" t="s">
        <v>3665</v>
      </c>
      <c r="G39" s="13" t="s">
        <v>702</v>
      </c>
      <c r="H39" s="13" t="s">
        <v>3666</v>
      </c>
      <c r="J39" s="14" t="s">
        <v>647</v>
      </c>
      <c r="K39" s="13" t="s">
        <v>3663</v>
      </c>
      <c r="L39" s="14" t="s">
        <v>3664</v>
      </c>
      <c r="N39" s="13">
        <v>4</v>
      </c>
      <c r="O39" s="2">
        <f>N39/R39</f>
        <v>0.2857142857142857</v>
      </c>
      <c r="P39" s="13">
        <v>4</v>
      </c>
      <c r="Q39" s="17">
        <f>P39/S39</f>
        <v>0.2857142857142857</v>
      </c>
      <c r="R39" s="13">
        <v>14</v>
      </c>
      <c r="S39" s="13">
        <v>14</v>
      </c>
      <c r="T39" s="13">
        <v>0</v>
      </c>
      <c r="U39" s="15">
        <v>0</v>
      </c>
      <c r="V39" s="13">
        <v>0</v>
      </c>
      <c r="W39" s="13">
        <v>57.6</v>
      </c>
      <c r="X39" s="13">
        <v>5.3</v>
      </c>
      <c r="AB39" s="13">
        <v>59</v>
      </c>
      <c r="AC39" s="13">
        <v>8.3000000000000007</v>
      </c>
      <c r="BY39" s="13" t="s">
        <v>3441</v>
      </c>
      <c r="BZ39" s="13" t="s">
        <v>3442</v>
      </c>
      <c r="CA39" s="13">
        <v>2025</v>
      </c>
      <c r="CB39" s="21">
        <v>45680</v>
      </c>
      <c r="CC39" s="13" t="s">
        <v>1487</v>
      </c>
      <c r="CD39" s="13">
        <v>22</v>
      </c>
      <c r="CE39" s="13">
        <v>1</v>
      </c>
      <c r="CF39" s="13">
        <v>15</v>
      </c>
      <c r="CG39" s="13" t="s">
        <v>3216</v>
      </c>
    </row>
    <row r="40" spans="1:85">
      <c r="A40" s="13" t="s">
        <v>3361</v>
      </c>
      <c r="C40" s="13" t="s">
        <v>3291</v>
      </c>
      <c r="E40" s="13" t="s">
        <v>630</v>
      </c>
      <c r="F40" s="13" t="s">
        <v>3665</v>
      </c>
      <c r="G40" s="13" t="s">
        <v>674</v>
      </c>
      <c r="H40" s="13" t="s">
        <v>675</v>
      </c>
      <c r="J40" s="14" t="s">
        <v>647</v>
      </c>
      <c r="K40" s="13" t="s">
        <v>3663</v>
      </c>
      <c r="L40" s="14" t="s">
        <v>3664</v>
      </c>
      <c r="N40" s="13">
        <v>4</v>
      </c>
      <c r="O40" s="2">
        <f>N40/R40</f>
        <v>0.2857142857142857</v>
      </c>
      <c r="P40" s="13">
        <v>4</v>
      </c>
      <c r="Q40" s="17">
        <f>P40/S40</f>
        <v>0.2857142857142857</v>
      </c>
      <c r="R40" s="13">
        <v>14</v>
      </c>
      <c r="S40" s="13">
        <v>14</v>
      </c>
      <c r="T40" s="13">
        <v>0</v>
      </c>
      <c r="U40" s="15">
        <v>0</v>
      </c>
      <c r="V40" s="13">
        <v>0</v>
      </c>
      <c r="W40" s="13">
        <v>57.6</v>
      </c>
      <c r="X40" s="13">
        <v>5.3</v>
      </c>
      <c r="AB40" s="13">
        <v>59</v>
      </c>
      <c r="AC40" s="13">
        <v>8.3000000000000007</v>
      </c>
      <c r="AG40" s="13" t="s">
        <v>639</v>
      </c>
      <c r="BB40" s="13">
        <v>55.84</v>
      </c>
      <c r="BC40" s="13">
        <v>27.88</v>
      </c>
      <c r="BG40" s="13">
        <v>46.83</v>
      </c>
      <c r="BI40" s="13">
        <v>32.630000000000003</v>
      </c>
      <c r="BJ40" s="13">
        <v>73.790000000000006</v>
      </c>
      <c r="BM40" s="13">
        <v>7.54</v>
      </c>
      <c r="BN40" s="13">
        <v>3.09</v>
      </c>
      <c r="BR40" s="13">
        <v>7.4</v>
      </c>
      <c r="BT40" s="13">
        <v>5.24</v>
      </c>
      <c r="BU40" s="13">
        <v>8.35</v>
      </c>
      <c r="BY40" s="13" t="s">
        <v>3441</v>
      </c>
      <c r="BZ40" s="13" t="s">
        <v>3442</v>
      </c>
      <c r="CA40" s="13">
        <v>2025</v>
      </c>
      <c r="CB40" s="21">
        <v>45680</v>
      </c>
      <c r="CC40" s="13" t="s">
        <v>1487</v>
      </c>
      <c r="CD40" s="13">
        <v>22</v>
      </c>
      <c r="CE40" s="13">
        <v>1</v>
      </c>
      <c r="CF40" s="13">
        <v>15</v>
      </c>
      <c r="CG40" s="13" t="s">
        <v>3216</v>
      </c>
    </row>
    <row r="41" spans="1:85">
      <c r="A41" s="13" t="s">
        <v>3362</v>
      </c>
      <c r="C41" s="13" t="s">
        <v>3292</v>
      </c>
      <c r="D41" s="14" t="s">
        <v>830</v>
      </c>
      <c r="E41" s="13" t="s">
        <v>630</v>
      </c>
      <c r="F41" s="13" t="s">
        <v>3670</v>
      </c>
      <c r="G41" s="13" t="s">
        <v>674</v>
      </c>
      <c r="H41" s="13" t="s">
        <v>858</v>
      </c>
      <c r="J41" s="14" t="s">
        <v>584</v>
      </c>
      <c r="K41" s="13" t="s">
        <v>3667</v>
      </c>
      <c r="L41" s="14" t="s">
        <v>3669</v>
      </c>
      <c r="M41" s="13" t="s">
        <v>3668</v>
      </c>
      <c r="R41" s="13">
        <v>101</v>
      </c>
      <c r="S41" s="13">
        <v>115</v>
      </c>
      <c r="AG41" s="13" t="s">
        <v>639</v>
      </c>
      <c r="BB41" s="13">
        <v>404</v>
      </c>
      <c r="BC41" s="13">
        <f>BD41*SQRT(R41)</f>
        <v>243.5556591853277</v>
      </c>
      <c r="BD41" s="13">
        <f>(BE41-BF41)/(2*1.96)</f>
        <v>24.23469387755102</v>
      </c>
      <c r="BE41" s="13">
        <v>425</v>
      </c>
      <c r="BF41" s="13">
        <v>330</v>
      </c>
      <c r="BM41" s="13">
        <v>5131</v>
      </c>
      <c r="BN41" s="13">
        <f>BO41*SQRT(S41)</f>
        <v>3099.5080099406041</v>
      </c>
      <c r="BO41" s="13">
        <f>(BP41-BQ41)/(2*1.96)</f>
        <v>289.03061224489795</v>
      </c>
      <c r="BP41" s="13">
        <v>5512</v>
      </c>
      <c r="BQ41" s="13">
        <v>4379</v>
      </c>
      <c r="BX41" s="13">
        <v>1E-3</v>
      </c>
      <c r="BY41" s="13" t="s">
        <v>3443</v>
      </c>
      <c r="BZ41" s="13" t="s">
        <v>3444</v>
      </c>
      <c r="CA41" s="13">
        <v>2024</v>
      </c>
      <c r="CB41" s="21">
        <v>45989</v>
      </c>
      <c r="CC41" s="13" t="s">
        <v>3445</v>
      </c>
      <c r="CD41" s="13">
        <v>14</v>
      </c>
      <c r="CE41" s="13">
        <v>12</v>
      </c>
      <c r="CG41" s="13" t="s">
        <v>3217</v>
      </c>
    </row>
    <row r="42" spans="1:85">
      <c r="A42" s="13" t="s">
        <v>3362</v>
      </c>
      <c r="C42" s="13" t="s">
        <v>3292</v>
      </c>
      <c r="D42" s="14" t="s">
        <v>830</v>
      </c>
      <c r="E42" s="13" t="s">
        <v>630</v>
      </c>
      <c r="F42" s="13" t="s">
        <v>3670</v>
      </c>
      <c r="G42" s="13" t="s">
        <v>673</v>
      </c>
      <c r="H42" s="13" t="s">
        <v>858</v>
      </c>
      <c r="J42" s="14" t="s">
        <v>584</v>
      </c>
      <c r="K42" s="13" t="s">
        <v>3667</v>
      </c>
      <c r="L42" s="14" t="s">
        <v>3669</v>
      </c>
      <c r="M42" s="13" t="s">
        <v>3668</v>
      </c>
      <c r="R42" s="13">
        <v>101</v>
      </c>
      <c r="S42" s="13">
        <v>115</v>
      </c>
      <c r="AG42" s="13" t="s">
        <v>639</v>
      </c>
      <c r="BB42" s="13">
        <v>477</v>
      </c>
      <c r="BC42" s="13">
        <f>BD42*SQRT(R42)</f>
        <v>366.61536066844059</v>
      </c>
      <c r="BD42" s="13">
        <f>(BE42-BF42)/(2*1.96)</f>
        <v>36.479591836734691</v>
      </c>
      <c r="BE42" s="13">
        <v>573</v>
      </c>
      <c r="BF42" s="13">
        <v>430</v>
      </c>
      <c r="BM42" s="13">
        <v>948</v>
      </c>
      <c r="BN42" s="13">
        <f>BO42*SQRT(S42)</f>
        <v>938.33296329181564</v>
      </c>
      <c r="BO42" s="13">
        <f>(BP42-BQ42)/(2*1.96)</f>
        <v>87.5</v>
      </c>
      <c r="BP42" s="13">
        <v>1108</v>
      </c>
      <c r="BQ42" s="13">
        <v>765</v>
      </c>
      <c r="BX42" s="13">
        <v>1E-3</v>
      </c>
      <c r="BY42" s="13" t="s">
        <v>3443</v>
      </c>
      <c r="BZ42" s="13" t="s">
        <v>3444</v>
      </c>
      <c r="CA42" s="13">
        <v>2024</v>
      </c>
      <c r="CB42" s="21">
        <v>45989</v>
      </c>
      <c r="CC42" s="13" t="s">
        <v>3445</v>
      </c>
      <c r="CD42" s="13">
        <v>14</v>
      </c>
      <c r="CE42" s="13">
        <v>12</v>
      </c>
      <c r="CG42" s="13" t="s">
        <v>3217</v>
      </c>
    </row>
    <row r="43" spans="1:85">
      <c r="A43" s="13" t="s">
        <v>1666</v>
      </c>
      <c r="B43" s="13" t="s">
        <v>1995</v>
      </c>
      <c r="C43" s="13" t="s">
        <v>47</v>
      </c>
      <c r="D43" s="16" t="s">
        <v>820</v>
      </c>
      <c r="E43" s="13" t="s">
        <v>630</v>
      </c>
      <c r="F43" s="13" t="s">
        <v>649</v>
      </c>
      <c r="G43" s="13" t="s">
        <v>672</v>
      </c>
      <c r="H43" s="13" t="s">
        <v>648</v>
      </c>
      <c r="J43" s="13" t="s">
        <v>647</v>
      </c>
      <c r="K43" s="14" t="s">
        <v>3940</v>
      </c>
      <c r="L43" s="13" t="s">
        <v>585</v>
      </c>
      <c r="N43" s="13">
        <v>14</v>
      </c>
      <c r="O43" s="2">
        <f>N43/R43</f>
        <v>0.32558139534883723</v>
      </c>
      <c r="P43" s="13">
        <v>15</v>
      </c>
      <c r="Q43" s="17">
        <f>P43/S43</f>
        <v>0.41666666666666669</v>
      </c>
      <c r="R43" s="13">
        <v>43</v>
      </c>
      <c r="S43" s="13">
        <v>36</v>
      </c>
      <c r="T43" s="13">
        <v>0</v>
      </c>
      <c r="U43" s="13">
        <v>0</v>
      </c>
      <c r="W43" s="13">
        <v>61</v>
      </c>
      <c r="X43" s="13">
        <v>10.8</v>
      </c>
      <c r="Y43" s="16"/>
      <c r="Z43" s="16"/>
      <c r="AA43" s="16"/>
      <c r="AB43" s="16">
        <v>67</v>
      </c>
      <c r="AC43" s="16">
        <v>12.9</v>
      </c>
      <c r="AD43" s="16"/>
      <c r="AE43" s="16"/>
      <c r="AF43" s="16"/>
      <c r="AG43" s="13" t="s">
        <v>639</v>
      </c>
      <c r="AH43" s="13">
        <v>469.03</v>
      </c>
      <c r="AJ43" s="13">
        <v>76.92</v>
      </c>
      <c r="AM43" s="13">
        <v>93.55</v>
      </c>
      <c r="AP43" s="13">
        <v>0.89600000000000002</v>
      </c>
      <c r="AQ43" s="13">
        <v>3.6999999999999998E-2</v>
      </c>
      <c r="AR43" s="13">
        <v>0.82099999999999995</v>
      </c>
      <c r="AS43" s="13">
        <v>0.96799999999999997</v>
      </c>
      <c r="AU43" s="16"/>
      <c r="AV43" s="16"/>
      <c r="AW43" s="16"/>
      <c r="AX43" s="16"/>
      <c r="AY43" s="16"/>
      <c r="AZ43" s="16"/>
      <c r="BA43" s="16"/>
      <c r="BB43" s="13">
        <v>593</v>
      </c>
      <c r="BC43" s="13">
        <v>33.08</v>
      </c>
      <c r="BD43" s="16"/>
      <c r="BE43" s="16"/>
      <c r="BF43" s="16"/>
      <c r="BM43" s="13">
        <v>305</v>
      </c>
      <c r="BN43" s="13">
        <v>21.5</v>
      </c>
      <c r="BX43" s="13" t="s">
        <v>635</v>
      </c>
      <c r="BY43" s="13" t="s">
        <v>42</v>
      </c>
      <c r="BZ43" s="13" t="s">
        <v>43</v>
      </c>
      <c r="CA43" s="13">
        <v>2020</v>
      </c>
      <c r="CB43" s="13" t="s">
        <v>44</v>
      </c>
      <c r="CC43" s="13" t="s">
        <v>45</v>
      </c>
      <c r="CD43" s="13">
        <v>21</v>
      </c>
      <c r="CE43" s="13">
        <v>22</v>
      </c>
      <c r="CG43" s="13" t="s">
        <v>46</v>
      </c>
    </row>
    <row r="44" spans="1:85">
      <c r="A44" s="13" t="s">
        <v>1666</v>
      </c>
      <c r="B44" s="13" t="s">
        <v>1995</v>
      </c>
      <c r="C44" s="13" t="s">
        <v>47</v>
      </c>
      <c r="D44" s="16" t="s">
        <v>820</v>
      </c>
      <c r="E44" s="13" t="s">
        <v>630</v>
      </c>
      <c r="F44" s="13" t="s">
        <v>650</v>
      </c>
      <c r="G44" s="13" t="s">
        <v>672</v>
      </c>
      <c r="H44" s="13" t="s">
        <v>648</v>
      </c>
      <c r="J44" s="13" t="s">
        <v>647</v>
      </c>
      <c r="K44" s="14" t="s">
        <v>3940</v>
      </c>
      <c r="L44" s="13" t="s">
        <v>585</v>
      </c>
      <c r="N44" s="13">
        <v>38</v>
      </c>
      <c r="O44" s="2">
        <f>N44/R44</f>
        <v>0.58461538461538465</v>
      </c>
      <c r="P44" s="13">
        <v>18</v>
      </c>
      <c r="Q44" s="17">
        <f>P44/S44</f>
        <v>0.40909090909090912</v>
      </c>
      <c r="R44" s="13">
        <v>65</v>
      </c>
      <c r="S44" s="13">
        <v>44</v>
      </c>
      <c r="T44" s="13">
        <v>0</v>
      </c>
      <c r="U44" s="13">
        <v>0</v>
      </c>
      <c r="W44" s="13">
        <v>66</v>
      </c>
      <c r="X44" s="13">
        <v>12.3</v>
      </c>
      <c r="Y44" s="16"/>
      <c r="Z44" s="16"/>
      <c r="AA44" s="16"/>
      <c r="AB44" s="16">
        <v>68</v>
      </c>
      <c r="AC44" s="16">
        <v>9.6999999999999993</v>
      </c>
      <c r="AD44" s="16"/>
      <c r="AE44" s="16"/>
      <c r="AF44" s="16"/>
      <c r="AG44" s="13" t="s">
        <v>639</v>
      </c>
      <c r="AH44" s="13">
        <v>412.15</v>
      </c>
      <c r="AJ44" s="13">
        <v>90</v>
      </c>
      <c r="AM44" s="13">
        <v>77.5</v>
      </c>
      <c r="AP44" s="13">
        <v>0.92200000000000004</v>
      </c>
      <c r="AQ44" s="13">
        <v>2.47E-2</v>
      </c>
      <c r="AR44" s="13">
        <v>0.87380000000000002</v>
      </c>
      <c r="AS44" s="13">
        <v>0.9708</v>
      </c>
      <c r="AU44" s="16"/>
      <c r="AV44" s="16"/>
      <c r="AW44" s="16"/>
      <c r="AX44" s="16"/>
      <c r="AY44" s="16"/>
      <c r="AZ44" s="16"/>
      <c r="BA44" s="16"/>
      <c r="BB44" s="13">
        <v>662.6</v>
      </c>
      <c r="BC44" s="13">
        <v>24.85</v>
      </c>
      <c r="BD44" s="16"/>
      <c r="BE44" s="16"/>
      <c r="BF44" s="16"/>
      <c r="BM44" s="13">
        <v>307.39999999999998</v>
      </c>
      <c r="BN44" s="13">
        <v>22.91</v>
      </c>
      <c r="BX44" s="13" t="s">
        <v>635</v>
      </c>
      <c r="BY44" s="13" t="s">
        <v>42</v>
      </c>
      <c r="BZ44" s="13" t="s">
        <v>43</v>
      </c>
      <c r="CA44" s="13">
        <v>2020</v>
      </c>
      <c r="CB44" s="13" t="s">
        <v>44</v>
      </c>
      <c r="CC44" s="13" t="s">
        <v>45</v>
      </c>
      <c r="CD44" s="13">
        <v>21</v>
      </c>
      <c r="CE44" s="13">
        <v>22</v>
      </c>
      <c r="CG44" s="13" t="s">
        <v>46</v>
      </c>
    </row>
    <row r="45" spans="1:85">
      <c r="A45" s="13" t="s">
        <v>3363</v>
      </c>
      <c r="C45" s="13" t="s">
        <v>3293</v>
      </c>
      <c r="D45" s="14" t="s">
        <v>827</v>
      </c>
      <c r="E45" s="13" t="s">
        <v>630</v>
      </c>
      <c r="F45" s="13" t="s">
        <v>3671</v>
      </c>
      <c r="G45" s="13" t="s">
        <v>673</v>
      </c>
      <c r="H45" s="13" t="s">
        <v>3672</v>
      </c>
      <c r="J45" s="14" t="s">
        <v>703</v>
      </c>
      <c r="K45" s="13" t="s">
        <v>3673</v>
      </c>
      <c r="L45" s="14" t="s">
        <v>585</v>
      </c>
      <c r="M45" s="13" t="s">
        <v>3674</v>
      </c>
      <c r="N45" s="13">
        <v>40</v>
      </c>
      <c r="O45" s="2">
        <f>N45/R45</f>
        <v>0.61538461538461542</v>
      </c>
      <c r="R45" s="13">
        <v>65</v>
      </c>
      <c r="S45" s="13">
        <v>27</v>
      </c>
      <c r="V45" s="13">
        <v>17</v>
      </c>
      <c r="Y45" s="13">
        <v>64.69</v>
      </c>
      <c r="Z45" s="13">
        <v>53.64</v>
      </c>
      <c r="AA45" s="13">
        <v>70.790000000000006</v>
      </c>
      <c r="AG45" s="13" t="s">
        <v>641</v>
      </c>
      <c r="BG45" s="13">
        <v>12.54</v>
      </c>
      <c r="BI45" s="13">
        <v>10.82</v>
      </c>
      <c r="BJ45" s="13">
        <v>15.82</v>
      </c>
      <c r="BY45" s="13" t="s">
        <v>3446</v>
      </c>
      <c r="BZ45" s="13" t="s">
        <v>3447</v>
      </c>
      <c r="CA45" s="13">
        <v>2025</v>
      </c>
      <c r="CB45" s="21">
        <v>45663</v>
      </c>
      <c r="CC45" s="13" t="s">
        <v>120</v>
      </c>
      <c r="CG45" s="13" t="s">
        <v>3218</v>
      </c>
    </row>
    <row r="46" spans="1:85">
      <c r="A46" s="13" t="s">
        <v>3364</v>
      </c>
      <c r="C46" s="13" t="s">
        <v>3294</v>
      </c>
      <c r="D46" s="14" t="s">
        <v>830</v>
      </c>
      <c r="E46" s="13" t="s">
        <v>2020</v>
      </c>
      <c r="F46" s="13" t="s">
        <v>3677</v>
      </c>
      <c r="G46" s="13" t="s">
        <v>674</v>
      </c>
      <c r="H46" s="13" t="s">
        <v>675</v>
      </c>
      <c r="J46" s="14" t="s">
        <v>584</v>
      </c>
      <c r="K46" s="13" t="s">
        <v>3676</v>
      </c>
      <c r="L46" s="14" t="s">
        <v>652</v>
      </c>
      <c r="R46" s="13">
        <v>18</v>
      </c>
      <c r="S46" s="13">
        <v>39</v>
      </c>
      <c r="Y46" s="13">
        <v>57</v>
      </c>
      <c r="Z46" s="13">
        <v>47</v>
      </c>
      <c r="AA46" s="13">
        <v>67</v>
      </c>
      <c r="AG46" s="13" t="s">
        <v>639</v>
      </c>
      <c r="BB46" s="13">
        <v>94.5</v>
      </c>
      <c r="BC46" s="13">
        <f>BD46*SQRT(R46)</f>
        <v>59.743307634945033</v>
      </c>
      <c r="BD46" s="13">
        <f>(BE46-BF46)/(2*1.96)</f>
        <v>14.081632653061225</v>
      </c>
      <c r="BE46" s="13">
        <v>121</v>
      </c>
      <c r="BF46" s="13">
        <v>65.8</v>
      </c>
      <c r="BM46" s="13">
        <v>12.2</v>
      </c>
      <c r="BN46" s="13">
        <f>BO46*SQRT(S46)</f>
        <v>10.833159793140076</v>
      </c>
      <c r="BO46" s="13">
        <f>(BP46-BQ46)/(2*1.96)</f>
        <v>1.7346938775510201</v>
      </c>
      <c r="BP46" s="13">
        <v>15.6</v>
      </c>
      <c r="BQ46" s="13">
        <v>8.8000000000000007</v>
      </c>
      <c r="BY46" s="13" t="s">
        <v>3448</v>
      </c>
      <c r="BZ46" s="13" t="s">
        <v>3449</v>
      </c>
      <c r="CA46" s="13">
        <v>2024</v>
      </c>
      <c r="CB46" s="21">
        <v>45853</v>
      </c>
      <c r="CC46" s="13" t="s">
        <v>3450</v>
      </c>
      <c r="CD46" s="13">
        <v>561</v>
      </c>
      <c r="CF46" s="13">
        <v>119817</v>
      </c>
      <c r="CG46" s="13" t="s">
        <v>3219</v>
      </c>
    </row>
    <row r="47" spans="1:85">
      <c r="A47" s="13" t="s">
        <v>3364</v>
      </c>
      <c r="C47" s="13" t="s">
        <v>3294</v>
      </c>
      <c r="D47" s="14" t="s">
        <v>830</v>
      </c>
      <c r="E47" s="13" t="s">
        <v>2020</v>
      </c>
      <c r="F47" s="13" t="s">
        <v>3677</v>
      </c>
      <c r="G47" s="13" t="s">
        <v>674</v>
      </c>
      <c r="H47" s="13" t="s">
        <v>675</v>
      </c>
      <c r="J47" s="14" t="s">
        <v>584</v>
      </c>
      <c r="K47" s="13" t="s">
        <v>3676</v>
      </c>
      <c r="L47" s="14" t="s">
        <v>3678</v>
      </c>
      <c r="R47" s="13">
        <v>18</v>
      </c>
      <c r="S47" s="13">
        <v>39</v>
      </c>
      <c r="Y47" s="13">
        <v>57</v>
      </c>
      <c r="Z47" s="13">
        <v>47</v>
      </c>
      <c r="AA47" s="13">
        <v>67</v>
      </c>
      <c r="AG47" s="13" t="s">
        <v>639</v>
      </c>
      <c r="BB47" s="13">
        <v>14.7</v>
      </c>
      <c r="BC47" s="13">
        <f>BD47*SQRT(R47)</f>
        <v>12.879444943040689</v>
      </c>
      <c r="BD47" s="13">
        <f>(BE47-BF47)/(2*1.96)</f>
        <v>3.0357142857142865</v>
      </c>
      <c r="BE47" s="13">
        <v>23.1</v>
      </c>
      <c r="BF47" s="13">
        <v>11.2</v>
      </c>
      <c r="BM47" s="13">
        <v>1.95</v>
      </c>
      <c r="BN47" s="13">
        <f>BO47*SQRT(S47)</f>
        <v>1.115178213999714</v>
      </c>
      <c r="BO47" s="13">
        <f>(BP47-BQ47)/(2*1.96)</f>
        <v>0.17857142857142858</v>
      </c>
      <c r="BP47" s="13">
        <v>2.4</v>
      </c>
      <c r="BQ47" s="13">
        <v>1.7</v>
      </c>
      <c r="BY47" s="13" t="s">
        <v>3448</v>
      </c>
      <c r="BZ47" s="13" t="s">
        <v>3449</v>
      </c>
      <c r="CA47" s="13">
        <v>2024</v>
      </c>
      <c r="CB47" s="21">
        <v>45853</v>
      </c>
      <c r="CC47" s="13" t="s">
        <v>3450</v>
      </c>
      <c r="CD47" s="13">
        <v>561</v>
      </c>
      <c r="CF47" s="13">
        <v>119817</v>
      </c>
      <c r="CG47" s="13" t="s">
        <v>3219</v>
      </c>
    </row>
    <row r="48" spans="1:85">
      <c r="A48" s="13" t="s">
        <v>3364</v>
      </c>
      <c r="C48" s="13" t="s">
        <v>3294</v>
      </c>
      <c r="D48" s="14" t="s">
        <v>830</v>
      </c>
      <c r="E48" s="13" t="s">
        <v>2020</v>
      </c>
      <c r="F48" s="13" t="s">
        <v>3677</v>
      </c>
      <c r="G48" s="13" t="s">
        <v>674</v>
      </c>
      <c r="H48" s="13" t="s">
        <v>675</v>
      </c>
      <c r="J48" s="14" t="s">
        <v>584</v>
      </c>
      <c r="K48" s="13" t="s">
        <v>3676</v>
      </c>
      <c r="L48" s="14" t="s">
        <v>3679</v>
      </c>
      <c r="R48" s="13">
        <v>18</v>
      </c>
      <c r="S48" s="13">
        <v>39</v>
      </c>
      <c r="Y48" s="13">
        <v>57</v>
      </c>
      <c r="Z48" s="13">
        <v>47</v>
      </c>
      <c r="AA48" s="13">
        <v>67</v>
      </c>
      <c r="AG48" s="13" t="s">
        <v>639</v>
      </c>
      <c r="BB48" s="13">
        <v>87.4</v>
      </c>
      <c r="BC48" s="13">
        <f>BD48*SQRT(R48)</f>
        <v>63.206687787695458</v>
      </c>
      <c r="BD48" s="13">
        <f>(BE48-BF48)/(2*1.96)</f>
        <v>14.897959183673468</v>
      </c>
      <c r="BE48" s="13">
        <v>114.1</v>
      </c>
      <c r="BF48" s="13">
        <v>55.7</v>
      </c>
      <c r="BM48" s="13">
        <v>13.3</v>
      </c>
      <c r="BN48" s="13">
        <f>BO48*SQRT(S48)</f>
        <v>8.1248698448550609</v>
      </c>
      <c r="BO48" s="13">
        <f>(BP48-BQ48)/(2*1.96)</f>
        <v>1.3010204081632657</v>
      </c>
      <c r="BP48" s="13">
        <v>15.3</v>
      </c>
      <c r="BQ48" s="13">
        <v>10.199999999999999</v>
      </c>
      <c r="BY48" s="13" t="s">
        <v>3448</v>
      </c>
      <c r="BZ48" s="13" t="s">
        <v>3449</v>
      </c>
      <c r="CA48" s="13">
        <v>2024</v>
      </c>
      <c r="CB48" s="21">
        <v>45853</v>
      </c>
      <c r="CC48" s="13" t="s">
        <v>3450</v>
      </c>
      <c r="CD48" s="13">
        <v>561</v>
      </c>
      <c r="CF48" s="13">
        <v>119817</v>
      </c>
      <c r="CG48" s="13" t="s">
        <v>3219</v>
      </c>
    </row>
    <row r="49" spans="1:85">
      <c r="A49" s="13" t="s">
        <v>3364</v>
      </c>
      <c r="C49" s="13" t="s">
        <v>3294</v>
      </c>
      <c r="D49" s="14" t="s">
        <v>830</v>
      </c>
      <c r="E49" s="13" t="s">
        <v>2020</v>
      </c>
      <c r="F49" s="13" t="s">
        <v>3677</v>
      </c>
      <c r="G49" s="13" t="s">
        <v>674</v>
      </c>
      <c r="H49" s="13" t="s">
        <v>675</v>
      </c>
      <c r="J49" s="14" t="s">
        <v>584</v>
      </c>
      <c r="K49" s="13" t="s">
        <v>3676</v>
      </c>
      <c r="L49" s="14" t="s">
        <v>3680</v>
      </c>
      <c r="R49" s="13">
        <v>18</v>
      </c>
      <c r="S49" s="13">
        <v>39</v>
      </c>
      <c r="Y49" s="13">
        <v>57</v>
      </c>
      <c r="Z49" s="13">
        <v>47</v>
      </c>
      <c r="AA49" s="13">
        <v>67</v>
      </c>
      <c r="AG49" s="13" t="s">
        <v>639</v>
      </c>
      <c r="BB49" s="13">
        <v>99.9</v>
      </c>
      <c r="BC49" s="13">
        <f>BD49*SQRT(R49)</f>
        <v>83.878738074424618</v>
      </c>
      <c r="BD49" s="13">
        <f>(BE49-BF49)/(2*1.96)</f>
        <v>19.770408163265301</v>
      </c>
      <c r="BE49" s="13">
        <v>140.19999999999999</v>
      </c>
      <c r="BF49" s="13">
        <v>62.7</v>
      </c>
      <c r="BM49" s="13">
        <v>14.2</v>
      </c>
      <c r="BN49" s="13">
        <f>BO49*SQRT(S49)</f>
        <v>8.1248698448550609</v>
      </c>
      <c r="BO49" s="13">
        <f>(BP49-BQ49)/(2*1.96)</f>
        <v>1.3010204081632657</v>
      </c>
      <c r="BP49" s="13">
        <v>16.100000000000001</v>
      </c>
      <c r="BQ49" s="13">
        <v>11</v>
      </c>
      <c r="BY49" s="13" t="s">
        <v>3448</v>
      </c>
      <c r="BZ49" s="13" t="s">
        <v>3449</v>
      </c>
      <c r="CA49" s="13">
        <v>2024</v>
      </c>
      <c r="CB49" s="21">
        <v>45853</v>
      </c>
      <c r="CC49" s="13" t="s">
        <v>3450</v>
      </c>
      <c r="CD49" s="13">
        <v>561</v>
      </c>
      <c r="CF49" s="13">
        <v>119817</v>
      </c>
      <c r="CG49" s="13" t="s">
        <v>3219</v>
      </c>
    </row>
    <row r="50" spans="1:85">
      <c r="A50" s="13" t="s">
        <v>1667</v>
      </c>
      <c r="C50" s="13" t="s">
        <v>52</v>
      </c>
      <c r="D50" s="13" t="s">
        <v>830</v>
      </c>
      <c r="E50" s="13" t="s">
        <v>630</v>
      </c>
      <c r="F50" s="13" t="s">
        <v>651</v>
      </c>
      <c r="G50" s="13" t="s">
        <v>674</v>
      </c>
      <c r="H50" s="13" t="s">
        <v>675</v>
      </c>
      <c r="J50" s="13" t="s">
        <v>586</v>
      </c>
      <c r="K50" s="13" t="s">
        <v>3172</v>
      </c>
      <c r="L50" s="13" t="s">
        <v>652</v>
      </c>
      <c r="N50" s="13">
        <v>37</v>
      </c>
      <c r="O50" s="2">
        <f>N50/R50</f>
        <v>0.74</v>
      </c>
      <c r="R50" s="13">
        <v>50</v>
      </c>
      <c r="S50" s="16"/>
      <c r="T50" s="16"/>
      <c r="U50" s="16"/>
      <c r="V50" s="16"/>
      <c r="W50" s="13">
        <v>62.2</v>
      </c>
      <c r="X50" s="13">
        <v>12.5</v>
      </c>
      <c r="Y50" s="16"/>
      <c r="Z50" s="16"/>
      <c r="AA50" s="16"/>
      <c r="AB50" s="16"/>
      <c r="AC50" s="16"/>
      <c r="AD50" s="16"/>
      <c r="AE50" s="16"/>
      <c r="AF50" s="16"/>
      <c r="AG50" s="13" t="s">
        <v>639</v>
      </c>
      <c r="AH50" s="13">
        <v>38.04</v>
      </c>
      <c r="AP50" s="13">
        <v>0.99</v>
      </c>
      <c r="AR50" s="13">
        <v>0.98</v>
      </c>
      <c r="AS50" s="13">
        <v>0.99</v>
      </c>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3" t="s">
        <v>48</v>
      </c>
      <c r="BZ50" s="13" t="s">
        <v>49</v>
      </c>
      <c r="CA50" s="13">
        <v>2021</v>
      </c>
      <c r="CB50" s="21">
        <v>45450</v>
      </c>
      <c r="CC50" s="13" t="s">
        <v>50</v>
      </c>
      <c r="CD50" s="13">
        <v>12</v>
      </c>
      <c r="CE50" s="13">
        <v>1</v>
      </c>
      <c r="CF50" s="13">
        <v>3400</v>
      </c>
      <c r="CG50" s="13" t="s">
        <v>51</v>
      </c>
    </row>
    <row r="51" spans="1:85">
      <c r="A51" s="13" t="s">
        <v>3365</v>
      </c>
      <c r="C51" s="13" t="s">
        <v>3295</v>
      </c>
      <c r="E51" s="13" t="s">
        <v>630</v>
      </c>
      <c r="F51" s="13" t="s">
        <v>3683</v>
      </c>
      <c r="G51" s="13" t="s">
        <v>674</v>
      </c>
      <c r="H51" s="13" t="s">
        <v>684</v>
      </c>
      <c r="I51" s="13" t="s">
        <v>3685</v>
      </c>
      <c r="J51" s="14" t="s">
        <v>584</v>
      </c>
      <c r="K51" s="13" t="s">
        <v>3681</v>
      </c>
      <c r="L51" s="14" t="s">
        <v>3684</v>
      </c>
      <c r="M51" s="14" t="s">
        <v>3682</v>
      </c>
      <c r="N51" s="13">
        <v>72</v>
      </c>
      <c r="O51" s="2">
        <f>N51/R51</f>
        <v>0.60504201680672265</v>
      </c>
      <c r="P51" s="13">
        <v>110</v>
      </c>
      <c r="Q51" s="17">
        <f>P51/S51</f>
        <v>0.73333333333333328</v>
      </c>
      <c r="R51" s="13">
        <v>119</v>
      </c>
      <c r="S51" s="13">
        <v>150</v>
      </c>
      <c r="T51" s="13">
        <v>3</v>
      </c>
      <c r="U51" s="15">
        <f>T51/R51</f>
        <v>2.5210084033613446E-2</v>
      </c>
      <c r="AJ51" s="13">
        <v>96</v>
      </c>
      <c r="AM51" s="13">
        <v>97</v>
      </c>
      <c r="AP51" s="13">
        <v>0.98</v>
      </c>
      <c r="BY51" s="13" t="s">
        <v>3451</v>
      </c>
      <c r="BZ51" s="13" t="s">
        <v>3452</v>
      </c>
      <c r="CA51" s="13">
        <v>2024</v>
      </c>
      <c r="CC51" s="13" t="s">
        <v>135</v>
      </c>
      <c r="CD51" s="13">
        <v>6</v>
      </c>
      <c r="CE51" s="13">
        <v>5</v>
      </c>
      <c r="CF51" s="13" t="s">
        <v>3453</v>
      </c>
      <c r="CG51" s="13" t="s">
        <v>3220</v>
      </c>
    </row>
    <row r="52" spans="1:85">
      <c r="A52" s="13" t="s">
        <v>1668</v>
      </c>
      <c r="B52" s="13" t="s">
        <v>1996</v>
      </c>
      <c r="C52" s="13" t="s">
        <v>58</v>
      </c>
      <c r="D52" s="16" t="s">
        <v>821</v>
      </c>
      <c r="E52" s="13" t="s">
        <v>658</v>
      </c>
      <c r="F52" s="13" t="s">
        <v>662</v>
      </c>
      <c r="G52" s="13" t="s">
        <v>672</v>
      </c>
      <c r="H52" s="13" t="s">
        <v>686</v>
      </c>
      <c r="J52" s="13" t="s">
        <v>654</v>
      </c>
      <c r="K52" s="13" t="s">
        <v>3085</v>
      </c>
      <c r="L52" s="13" t="s">
        <v>585</v>
      </c>
      <c r="N52" s="13">
        <v>37</v>
      </c>
      <c r="O52" s="2">
        <f>N52/R52</f>
        <v>0.52112676056338025</v>
      </c>
      <c r="P52" s="13">
        <v>57</v>
      </c>
      <c r="Q52" s="2">
        <f>P52/S52</f>
        <v>0.61290322580645162</v>
      </c>
      <c r="R52" s="13">
        <v>71</v>
      </c>
      <c r="S52" s="13">
        <v>93</v>
      </c>
      <c r="Y52" s="13">
        <v>59</v>
      </c>
      <c r="Z52" s="13">
        <v>27</v>
      </c>
      <c r="AA52" s="13">
        <v>81</v>
      </c>
      <c r="AD52" s="16"/>
      <c r="AE52" s="16"/>
      <c r="AF52" s="16"/>
      <c r="AG52" s="13" t="s">
        <v>639</v>
      </c>
      <c r="AH52" s="13">
        <v>1205</v>
      </c>
      <c r="AJ52" s="13">
        <v>81.7</v>
      </c>
      <c r="AK52" s="13">
        <v>73.2</v>
      </c>
      <c r="AL52" s="13">
        <v>90.1</v>
      </c>
      <c r="AM52" s="13">
        <v>86</v>
      </c>
      <c r="AN52" s="13">
        <v>78.5</v>
      </c>
      <c r="AO52" s="13">
        <v>92.5</v>
      </c>
      <c r="AP52" s="13">
        <v>0.88500000000000001</v>
      </c>
      <c r="AR52" s="13">
        <v>0.83199999999999996</v>
      </c>
      <c r="AS52" s="13">
        <v>0.93799999999999994</v>
      </c>
      <c r="AU52" s="20">
        <v>81.7</v>
      </c>
      <c r="AV52" s="20">
        <v>78.5</v>
      </c>
      <c r="AW52" s="20">
        <v>92.5</v>
      </c>
      <c r="AX52" s="20">
        <v>86</v>
      </c>
      <c r="AY52" s="20">
        <v>76.900000000000006</v>
      </c>
      <c r="AZ52" s="20">
        <v>92.3</v>
      </c>
      <c r="BA52" s="16"/>
      <c r="BB52" s="16"/>
      <c r="BC52" s="16"/>
      <c r="BD52" s="16"/>
      <c r="BE52" s="16"/>
      <c r="BF52" s="16"/>
      <c r="BG52" s="13">
        <v>2660</v>
      </c>
      <c r="BK52" s="13">
        <v>270</v>
      </c>
      <c r="BL52" s="13">
        <v>40000</v>
      </c>
      <c r="BM52" s="16"/>
      <c r="BN52" s="16"/>
      <c r="BO52" s="16"/>
      <c r="BP52" s="16"/>
      <c r="BQ52" s="16"/>
      <c r="BR52" s="16"/>
      <c r="BS52" s="16"/>
      <c r="BT52" s="16"/>
      <c r="BU52" s="16"/>
      <c r="BV52" s="16"/>
      <c r="BW52" s="16"/>
      <c r="BX52" s="16"/>
      <c r="BY52" s="13" t="s">
        <v>54</v>
      </c>
      <c r="BZ52" s="13" t="s">
        <v>55</v>
      </c>
      <c r="CA52" s="13">
        <v>2023</v>
      </c>
      <c r="CB52" s="13" t="s">
        <v>25</v>
      </c>
      <c r="CC52" s="13" t="s">
        <v>13</v>
      </c>
      <c r="CD52" s="13">
        <v>270</v>
      </c>
      <c r="CE52" s="13">
        <v>3</v>
      </c>
      <c r="CF52" s="13" t="s">
        <v>56</v>
      </c>
      <c r="CG52" s="13" t="s">
        <v>57</v>
      </c>
    </row>
    <row r="53" spans="1:85">
      <c r="A53" s="13" t="s">
        <v>1668</v>
      </c>
      <c r="B53" s="13" t="s">
        <v>1996</v>
      </c>
      <c r="C53" s="13" t="s">
        <v>58</v>
      </c>
      <c r="D53" s="16" t="s">
        <v>821</v>
      </c>
      <c r="E53" s="13" t="s">
        <v>4169</v>
      </c>
      <c r="F53" s="13" t="s">
        <v>662</v>
      </c>
      <c r="G53" s="13" t="s">
        <v>673</v>
      </c>
      <c r="H53" s="13" t="s">
        <v>686</v>
      </c>
      <c r="J53" s="13" t="s">
        <v>654</v>
      </c>
      <c r="K53" s="13" t="s">
        <v>3085</v>
      </c>
      <c r="L53" s="13" t="s">
        <v>585</v>
      </c>
      <c r="R53" s="13">
        <v>62</v>
      </c>
      <c r="S53" s="13">
        <v>62</v>
      </c>
      <c r="Y53" s="13">
        <v>59</v>
      </c>
      <c r="Z53" s="13">
        <v>27</v>
      </c>
      <c r="AA53" s="13">
        <v>81</v>
      </c>
      <c r="AD53" s="16"/>
      <c r="AE53" s="16"/>
      <c r="AF53" s="16"/>
      <c r="AG53" s="13" t="s">
        <v>639</v>
      </c>
      <c r="AH53" s="13">
        <v>41.75</v>
      </c>
      <c r="AJ53" s="13">
        <v>61.3</v>
      </c>
      <c r="AK53" s="13">
        <v>48.4</v>
      </c>
      <c r="AL53" s="13">
        <v>72.599999999999994</v>
      </c>
      <c r="AM53" s="13">
        <v>64.5</v>
      </c>
      <c r="AN53" s="13">
        <v>53.2</v>
      </c>
      <c r="AO53" s="13">
        <v>75.8</v>
      </c>
      <c r="AP53" s="13">
        <v>0.65</v>
      </c>
      <c r="AR53" s="13">
        <v>0.55300000000000005</v>
      </c>
      <c r="AS53" s="13">
        <v>0.746</v>
      </c>
      <c r="AU53" s="20">
        <v>63.3</v>
      </c>
      <c r="AV53" s="20">
        <v>49.8</v>
      </c>
      <c r="AW53" s="20">
        <v>75.099999999999994</v>
      </c>
      <c r="AX53" s="20">
        <v>62.5</v>
      </c>
      <c r="AY53" s="20">
        <v>49.5</v>
      </c>
      <c r="AZ53" s="20">
        <v>74</v>
      </c>
      <c r="BA53" s="16"/>
      <c r="BB53" s="16"/>
      <c r="BC53" s="16"/>
      <c r="BD53" s="16"/>
      <c r="BE53" s="16"/>
      <c r="BF53" s="16"/>
      <c r="BG53" s="13">
        <v>59</v>
      </c>
      <c r="BK53" s="13">
        <v>8</v>
      </c>
      <c r="BL53" s="13">
        <v>1555</v>
      </c>
      <c r="BM53" s="16"/>
      <c r="BN53" s="16"/>
      <c r="BO53" s="16"/>
      <c r="BP53" s="16"/>
      <c r="BQ53" s="16"/>
      <c r="BR53" s="16"/>
      <c r="BS53" s="16"/>
      <c r="BT53" s="16"/>
      <c r="BU53" s="16"/>
      <c r="BV53" s="16"/>
      <c r="BW53" s="16"/>
      <c r="BX53" s="16"/>
      <c r="BY53" s="13" t="s">
        <v>54</v>
      </c>
      <c r="BZ53" s="13" t="s">
        <v>55</v>
      </c>
      <c r="CA53" s="13">
        <v>2023</v>
      </c>
      <c r="CB53" s="13" t="s">
        <v>25</v>
      </c>
      <c r="CC53" s="13" t="s">
        <v>13</v>
      </c>
      <c r="CD53" s="13">
        <v>270</v>
      </c>
      <c r="CE53" s="13">
        <v>3</v>
      </c>
      <c r="CF53" s="13" t="s">
        <v>56</v>
      </c>
      <c r="CG53" s="13" t="s">
        <v>57</v>
      </c>
    </row>
    <row r="54" spans="1:85">
      <c r="A54" s="13" t="s">
        <v>1668</v>
      </c>
      <c r="B54" s="13" t="s">
        <v>1996</v>
      </c>
      <c r="C54" s="13" t="s">
        <v>58</v>
      </c>
      <c r="D54" s="16" t="s">
        <v>821</v>
      </c>
      <c r="E54" s="13" t="s">
        <v>658</v>
      </c>
      <c r="F54" s="13" t="s">
        <v>663</v>
      </c>
      <c r="G54" s="13" t="s">
        <v>672</v>
      </c>
      <c r="H54" s="13" t="s">
        <v>675</v>
      </c>
      <c r="J54" s="13" t="s">
        <v>654</v>
      </c>
      <c r="K54" s="13" t="s">
        <v>3085</v>
      </c>
      <c r="L54" s="13" t="s">
        <v>585</v>
      </c>
      <c r="N54" s="13">
        <v>37</v>
      </c>
      <c r="O54" s="2">
        <f>N54/R54</f>
        <v>0.52112676056338025</v>
      </c>
      <c r="P54" s="13">
        <v>57</v>
      </c>
      <c r="Q54" s="2">
        <f>P54/S54</f>
        <v>0.61290322580645162</v>
      </c>
      <c r="R54" s="13">
        <v>71</v>
      </c>
      <c r="S54" s="13">
        <v>93</v>
      </c>
      <c r="Y54" s="13">
        <v>59</v>
      </c>
      <c r="Z54" s="13">
        <v>27</v>
      </c>
      <c r="AA54" s="13">
        <v>81</v>
      </c>
      <c r="AD54" s="16"/>
      <c r="AE54" s="16"/>
      <c r="AF54" s="16"/>
      <c r="AG54" s="13" t="s">
        <v>639</v>
      </c>
      <c r="AH54" s="13">
        <v>2180</v>
      </c>
      <c r="AJ54" s="13">
        <v>83.1</v>
      </c>
      <c r="AK54" s="13">
        <v>74.7</v>
      </c>
      <c r="AL54" s="13">
        <v>90.1</v>
      </c>
      <c r="AM54" s="13">
        <v>90.3</v>
      </c>
      <c r="AN54" s="13">
        <v>83.9</v>
      </c>
      <c r="AO54" s="13">
        <v>95.7</v>
      </c>
      <c r="AP54" s="13">
        <v>0.89200000000000002</v>
      </c>
      <c r="AR54" s="13">
        <v>0.83899999999999997</v>
      </c>
      <c r="AS54" s="13">
        <v>0.94599999999999995</v>
      </c>
      <c r="AU54" s="20">
        <v>86.8</v>
      </c>
      <c r="AV54" s="20">
        <v>77</v>
      </c>
      <c r="AW54" s="20">
        <v>93.4</v>
      </c>
      <c r="AX54" s="20">
        <v>87.5</v>
      </c>
      <c r="AY54" s="20">
        <v>79.900000000000006</v>
      </c>
      <c r="AZ54" s="20">
        <v>94.5</v>
      </c>
      <c r="BA54" s="16"/>
      <c r="BB54" s="16"/>
      <c r="BC54" s="16"/>
      <c r="BD54" s="16"/>
      <c r="BE54" s="16"/>
      <c r="BF54" s="16"/>
      <c r="BG54" s="13">
        <v>4730</v>
      </c>
      <c r="BK54" s="13">
        <v>446</v>
      </c>
      <c r="BL54" s="13">
        <v>36300</v>
      </c>
      <c r="BM54" s="16"/>
      <c r="BN54" s="16"/>
      <c r="BO54" s="16"/>
      <c r="BP54" s="16"/>
      <c r="BQ54" s="16"/>
      <c r="BR54" s="16"/>
      <c r="BS54" s="16"/>
      <c r="BT54" s="16"/>
      <c r="BU54" s="16"/>
      <c r="BV54" s="16"/>
      <c r="BW54" s="16"/>
      <c r="BX54" s="16"/>
      <c r="BY54" s="13" t="s">
        <v>54</v>
      </c>
      <c r="BZ54" s="13" t="s">
        <v>55</v>
      </c>
      <c r="CA54" s="13">
        <v>2023</v>
      </c>
      <c r="CB54" s="13" t="s">
        <v>25</v>
      </c>
      <c r="CC54" s="13" t="s">
        <v>13</v>
      </c>
      <c r="CD54" s="13">
        <v>270</v>
      </c>
      <c r="CE54" s="13">
        <v>3</v>
      </c>
      <c r="CF54" s="13" t="s">
        <v>56</v>
      </c>
      <c r="CG54" s="13" t="s">
        <v>57</v>
      </c>
    </row>
    <row r="55" spans="1:85">
      <c r="A55" s="13" t="s">
        <v>1668</v>
      </c>
      <c r="B55" s="13" t="s">
        <v>1996</v>
      </c>
      <c r="C55" s="13" t="s">
        <v>58</v>
      </c>
      <c r="D55" s="16" t="s">
        <v>821</v>
      </c>
      <c r="E55" s="13" t="s">
        <v>658</v>
      </c>
      <c r="F55" s="13" t="s">
        <v>663</v>
      </c>
      <c r="G55" s="13" t="s">
        <v>672</v>
      </c>
      <c r="H55" s="13" t="s">
        <v>4164</v>
      </c>
      <c r="J55" s="13" t="s">
        <v>654</v>
      </c>
      <c r="K55" s="13" t="s">
        <v>3085</v>
      </c>
      <c r="L55" s="13" t="s">
        <v>585</v>
      </c>
      <c r="N55" s="13">
        <v>37</v>
      </c>
      <c r="O55" s="2">
        <f>N55/R55</f>
        <v>0.52112676056338025</v>
      </c>
      <c r="P55" s="13">
        <v>57</v>
      </c>
      <c r="Q55" s="2">
        <f>P55/S55</f>
        <v>0.61290322580645162</v>
      </c>
      <c r="R55" s="13">
        <v>71</v>
      </c>
      <c r="S55" s="13">
        <v>93</v>
      </c>
      <c r="Y55" s="13">
        <v>59</v>
      </c>
      <c r="Z55" s="13">
        <v>27</v>
      </c>
      <c r="AA55" s="13">
        <v>81</v>
      </c>
      <c r="AD55" s="16"/>
      <c r="AE55" s="16"/>
      <c r="AF55" s="16"/>
      <c r="AG55" s="13" t="s">
        <v>639</v>
      </c>
      <c r="AU55" s="20">
        <v>86.8</v>
      </c>
      <c r="AV55" s="20">
        <v>77</v>
      </c>
      <c r="AW55" s="20">
        <v>93.4</v>
      </c>
      <c r="AX55" s="20">
        <v>87.5</v>
      </c>
      <c r="AY55" s="20">
        <v>79.900000000000006</v>
      </c>
      <c r="AZ55" s="20">
        <v>94.5</v>
      </c>
      <c r="BA55" s="16"/>
      <c r="BB55" s="16"/>
      <c r="BC55" s="16"/>
      <c r="BD55" s="16"/>
      <c r="BE55" s="16"/>
      <c r="BF55" s="16"/>
      <c r="BG55" s="13">
        <v>5.8</v>
      </c>
      <c r="BK55" s="13">
        <v>3</v>
      </c>
      <c r="BL55" s="13">
        <v>27.3</v>
      </c>
      <c r="BM55" s="16"/>
      <c r="BN55" s="16"/>
      <c r="BO55" s="16"/>
      <c r="BP55" s="16"/>
      <c r="BQ55" s="16"/>
      <c r="BR55" s="16"/>
      <c r="BS55" s="16"/>
      <c r="BT55" s="16"/>
      <c r="BU55" s="16"/>
      <c r="BV55" s="16"/>
      <c r="BW55" s="16"/>
      <c r="BX55" s="16"/>
      <c r="BY55" s="13" t="s">
        <v>54</v>
      </c>
      <c r="BZ55" s="13" t="s">
        <v>55</v>
      </c>
      <c r="CA55" s="13">
        <v>2023</v>
      </c>
      <c r="CB55" s="13" t="s">
        <v>25</v>
      </c>
      <c r="CC55" s="13" t="s">
        <v>13</v>
      </c>
      <c r="CD55" s="13">
        <v>270</v>
      </c>
      <c r="CE55" s="13">
        <v>3</v>
      </c>
      <c r="CF55" s="13" t="s">
        <v>56</v>
      </c>
      <c r="CG55" s="13" t="s">
        <v>57</v>
      </c>
    </row>
    <row r="56" spans="1:85">
      <c r="A56" s="13" t="s">
        <v>1669</v>
      </c>
      <c r="B56" s="13" t="s">
        <v>1776</v>
      </c>
      <c r="C56" s="13" t="s">
        <v>63</v>
      </c>
      <c r="D56" s="16" t="s">
        <v>820</v>
      </c>
      <c r="E56" s="13" t="s">
        <v>633</v>
      </c>
      <c r="F56" s="13" t="s">
        <v>664</v>
      </c>
      <c r="G56" s="13" t="s">
        <v>672</v>
      </c>
      <c r="H56" s="13" t="s">
        <v>675</v>
      </c>
      <c r="J56" s="13" t="s">
        <v>868</v>
      </c>
      <c r="K56" s="14" t="s">
        <v>3076</v>
      </c>
      <c r="L56" s="13" t="s">
        <v>585</v>
      </c>
      <c r="M56" s="14" t="s">
        <v>2275</v>
      </c>
      <c r="N56" s="13">
        <v>124</v>
      </c>
      <c r="O56" s="2">
        <f>N56/R56</f>
        <v>0.52991452991452992</v>
      </c>
      <c r="Q56" s="2"/>
      <c r="R56" s="13">
        <v>234</v>
      </c>
      <c r="S56" s="13">
        <v>44</v>
      </c>
      <c r="V56" s="13">
        <v>59</v>
      </c>
      <c r="W56" s="13">
        <v>63.7</v>
      </c>
      <c r="X56" s="13">
        <v>13</v>
      </c>
      <c r="Y56" s="16"/>
      <c r="Z56" s="16"/>
      <c r="AA56" s="16"/>
      <c r="AB56" s="16">
        <v>64.099999999999994</v>
      </c>
      <c r="AC56" s="16">
        <v>12.1</v>
      </c>
      <c r="AD56" s="16"/>
      <c r="AE56" s="16"/>
      <c r="AF56" s="16"/>
      <c r="AG56" s="13" t="s">
        <v>639</v>
      </c>
      <c r="AH56" s="13">
        <v>2532.5</v>
      </c>
      <c r="AJ56" s="13">
        <v>80.3</v>
      </c>
      <c r="AK56" s="16"/>
      <c r="AL56" s="16"/>
      <c r="AM56" s="13">
        <v>81.8</v>
      </c>
      <c r="AP56" s="13">
        <v>0.80500000000000005</v>
      </c>
      <c r="AR56" s="13">
        <v>0.71899999999999997</v>
      </c>
      <c r="AS56" s="13">
        <v>0.89100000000000001</v>
      </c>
      <c r="BB56" s="16"/>
      <c r="BC56" s="16"/>
      <c r="BG56" s="13">
        <v>4363</v>
      </c>
      <c r="BI56" s="13">
        <v>2813</v>
      </c>
      <c r="BJ56" s="13">
        <v>7135</v>
      </c>
      <c r="BM56" s="16"/>
      <c r="BN56" s="16"/>
      <c r="BR56" s="13">
        <v>1205</v>
      </c>
      <c r="BT56" s="13">
        <v>758</v>
      </c>
      <c r="BU56" s="13">
        <v>2234</v>
      </c>
      <c r="BX56" s="16"/>
      <c r="BY56" s="13" t="s">
        <v>59</v>
      </c>
      <c r="BZ56" s="13" t="s">
        <v>60</v>
      </c>
      <c r="CA56" s="13">
        <v>2021</v>
      </c>
      <c r="CB56" s="21">
        <v>45607</v>
      </c>
      <c r="CC56" s="13" t="s">
        <v>61</v>
      </c>
      <c r="CD56" s="13">
        <v>11</v>
      </c>
      <c r="CE56" s="13">
        <v>1</v>
      </c>
      <c r="CF56" s="13">
        <v>22128</v>
      </c>
      <c r="CG56" s="13" t="s">
        <v>62</v>
      </c>
    </row>
    <row r="57" spans="1:85">
      <c r="A57" s="13" t="s">
        <v>1669</v>
      </c>
      <c r="B57" s="13" t="s">
        <v>1776</v>
      </c>
      <c r="C57" s="13" t="s">
        <v>63</v>
      </c>
      <c r="D57" s="16" t="s">
        <v>820</v>
      </c>
      <c r="E57" s="13" t="s">
        <v>633</v>
      </c>
      <c r="F57" s="13" t="s">
        <v>664</v>
      </c>
      <c r="G57" s="13" t="s">
        <v>672</v>
      </c>
      <c r="H57" s="13" t="s">
        <v>686</v>
      </c>
      <c r="J57" s="13" t="s">
        <v>868</v>
      </c>
      <c r="K57" s="14" t="s">
        <v>3076</v>
      </c>
      <c r="L57" s="13" t="s">
        <v>585</v>
      </c>
      <c r="M57" s="14" t="s">
        <v>2276</v>
      </c>
      <c r="N57" s="13">
        <v>124</v>
      </c>
      <c r="O57" s="2">
        <f>N57/R57</f>
        <v>0.52991452991452992</v>
      </c>
      <c r="Q57" s="2"/>
      <c r="R57" s="13">
        <v>234</v>
      </c>
      <c r="S57" s="13">
        <v>44</v>
      </c>
      <c r="V57" s="13">
        <v>59</v>
      </c>
      <c r="W57" s="13">
        <v>63.7</v>
      </c>
      <c r="X57" s="13">
        <v>13</v>
      </c>
      <c r="Y57" s="16"/>
      <c r="Z57" s="16"/>
      <c r="AA57" s="16"/>
      <c r="AB57" s="16">
        <v>64.099999999999994</v>
      </c>
      <c r="AC57" s="16">
        <v>12.1</v>
      </c>
      <c r="AD57" s="16"/>
      <c r="AE57" s="16"/>
      <c r="AF57" s="16"/>
      <c r="AG57" s="13" t="s">
        <v>639</v>
      </c>
      <c r="AH57" s="13">
        <v>7623</v>
      </c>
      <c r="AJ57" s="13">
        <v>82.7</v>
      </c>
      <c r="AK57" s="16"/>
      <c r="AL57" s="16"/>
      <c r="AM57" s="13">
        <v>83.3</v>
      </c>
      <c r="AP57" s="13">
        <v>0.874</v>
      </c>
      <c r="AR57" s="13">
        <v>0.80300000000000005</v>
      </c>
      <c r="AS57" s="13">
        <v>0.94399999999999995</v>
      </c>
      <c r="BB57" s="16"/>
      <c r="BC57" s="16"/>
      <c r="BG57" s="13">
        <v>16955</v>
      </c>
      <c r="BI57" s="13">
        <v>9313</v>
      </c>
      <c r="BJ57" s="13">
        <v>25707</v>
      </c>
      <c r="BM57" s="16"/>
      <c r="BN57" s="16"/>
      <c r="BR57" s="13">
        <v>3651</v>
      </c>
      <c r="BT57" s="13">
        <v>2695</v>
      </c>
      <c r="BU57" s="13">
        <v>5993</v>
      </c>
      <c r="BX57" s="16"/>
      <c r="BY57" s="13" t="s">
        <v>59</v>
      </c>
      <c r="BZ57" s="13" t="s">
        <v>60</v>
      </c>
      <c r="CA57" s="13">
        <v>2021</v>
      </c>
      <c r="CB57" s="21">
        <v>45607</v>
      </c>
      <c r="CC57" s="13" t="s">
        <v>61</v>
      </c>
      <c r="CD57" s="13">
        <v>11</v>
      </c>
      <c r="CE57" s="13">
        <v>1</v>
      </c>
      <c r="CF57" s="13">
        <v>22128</v>
      </c>
      <c r="CG57" s="13" t="s">
        <v>62</v>
      </c>
    </row>
    <row r="58" spans="1:85">
      <c r="A58" s="13" t="s">
        <v>1669</v>
      </c>
      <c r="B58" s="13" t="s">
        <v>1776</v>
      </c>
      <c r="C58" s="13" t="s">
        <v>63</v>
      </c>
      <c r="D58" s="16" t="s">
        <v>820</v>
      </c>
      <c r="E58" s="13" t="s">
        <v>633</v>
      </c>
      <c r="F58" s="13" t="s">
        <v>664</v>
      </c>
      <c r="G58" s="13" t="s">
        <v>674</v>
      </c>
      <c r="H58" s="13" t="s">
        <v>675</v>
      </c>
      <c r="J58" s="13" t="s">
        <v>868</v>
      </c>
      <c r="K58" s="14" t="s">
        <v>3076</v>
      </c>
      <c r="L58" s="13" t="s">
        <v>652</v>
      </c>
      <c r="M58" s="14" t="s">
        <v>2277</v>
      </c>
      <c r="N58" s="13">
        <v>124</v>
      </c>
      <c r="O58" s="2">
        <f>N58/R58</f>
        <v>0.52991452991452992</v>
      </c>
      <c r="Q58" s="2"/>
      <c r="R58" s="13">
        <v>234</v>
      </c>
      <c r="S58" s="13">
        <v>44</v>
      </c>
      <c r="V58" s="13">
        <v>59</v>
      </c>
      <c r="W58" s="13">
        <v>63.7</v>
      </c>
      <c r="X58" s="13">
        <v>13</v>
      </c>
      <c r="Y58" s="16"/>
      <c r="Z58" s="16"/>
      <c r="AA58" s="16"/>
      <c r="AB58" s="16">
        <v>64.099999999999994</v>
      </c>
      <c r="AC58" s="16">
        <v>12.1</v>
      </c>
      <c r="AD58" s="16"/>
      <c r="AE58" s="16"/>
      <c r="AF58" s="16"/>
      <c r="AG58" s="13" t="s">
        <v>639</v>
      </c>
      <c r="AH58" s="13">
        <v>95.42</v>
      </c>
      <c r="AJ58" s="13">
        <v>76.400000000000006</v>
      </c>
      <c r="AK58" s="16"/>
      <c r="AL58" s="16"/>
      <c r="AM58" s="13">
        <v>83.3</v>
      </c>
      <c r="AP58" s="13">
        <v>0.83299999999999996</v>
      </c>
      <c r="AR58" s="13">
        <v>0.75600000000000001</v>
      </c>
      <c r="AS58" s="13">
        <v>0.91</v>
      </c>
      <c r="BB58" s="16"/>
      <c r="BC58" s="16"/>
      <c r="BG58" s="13">
        <v>156</v>
      </c>
      <c r="BI58" s="13">
        <v>99</v>
      </c>
      <c r="BJ58" s="13">
        <v>236</v>
      </c>
      <c r="BM58" s="16"/>
      <c r="BN58" s="16"/>
      <c r="BR58" s="13">
        <v>43</v>
      </c>
      <c r="BT58" s="13">
        <v>25</v>
      </c>
      <c r="BU58" s="13">
        <v>80</v>
      </c>
      <c r="BX58" s="16"/>
      <c r="BY58" s="13" t="s">
        <v>59</v>
      </c>
      <c r="BZ58" s="13" t="s">
        <v>60</v>
      </c>
      <c r="CA58" s="13">
        <v>2021</v>
      </c>
      <c r="CB58" s="21">
        <v>45607</v>
      </c>
      <c r="CC58" s="13" t="s">
        <v>61</v>
      </c>
      <c r="CD58" s="13">
        <v>11</v>
      </c>
      <c r="CE58" s="13">
        <v>1</v>
      </c>
      <c r="CF58" s="13">
        <v>22128</v>
      </c>
      <c r="CG58" s="13" t="s">
        <v>62</v>
      </c>
    </row>
    <row r="59" spans="1:85">
      <c r="A59" s="13" t="s">
        <v>1777</v>
      </c>
      <c r="B59" s="13" t="s">
        <v>1777</v>
      </c>
      <c r="C59" s="14" t="s">
        <v>1099</v>
      </c>
      <c r="D59" s="13" t="s">
        <v>827</v>
      </c>
      <c r="E59" s="13" t="s">
        <v>775</v>
      </c>
      <c r="G59" s="13" t="s">
        <v>673</v>
      </c>
      <c r="H59" s="13" t="s">
        <v>675</v>
      </c>
      <c r="J59" s="13" t="s">
        <v>584</v>
      </c>
      <c r="K59" s="13" t="s">
        <v>2280</v>
      </c>
      <c r="L59" s="13" t="s">
        <v>652</v>
      </c>
      <c r="N59" s="13">
        <v>134</v>
      </c>
      <c r="O59" s="2">
        <v>0.59</v>
      </c>
      <c r="P59" s="13">
        <v>8</v>
      </c>
      <c r="Q59" s="17">
        <v>0.73</v>
      </c>
      <c r="R59" s="13">
        <v>229</v>
      </c>
      <c r="S59" s="13">
        <v>11</v>
      </c>
      <c r="V59" s="13">
        <v>37</v>
      </c>
      <c r="W59" s="13">
        <v>60.1</v>
      </c>
      <c r="X59" s="13">
        <v>11.8</v>
      </c>
      <c r="AB59" s="13">
        <v>56.8</v>
      </c>
      <c r="AC59" s="13">
        <v>11.6</v>
      </c>
      <c r="AG59" s="13" t="s">
        <v>639</v>
      </c>
      <c r="BG59" s="13">
        <v>17</v>
      </c>
      <c r="BR59" s="13">
        <v>7</v>
      </c>
      <c r="BY59" s="13" t="s">
        <v>1094</v>
      </c>
      <c r="BZ59" s="13" t="s">
        <v>1095</v>
      </c>
      <c r="CA59" s="13">
        <v>2020</v>
      </c>
      <c r="CB59" s="13" t="s">
        <v>2203</v>
      </c>
      <c r="CC59" s="13" t="s">
        <v>1096</v>
      </c>
      <c r="CD59" s="13">
        <v>95</v>
      </c>
      <c r="CE59" s="13">
        <v>1</v>
      </c>
      <c r="CF59" s="13" t="s">
        <v>1097</v>
      </c>
      <c r="CG59" s="13" t="s">
        <v>1098</v>
      </c>
    </row>
    <row r="60" spans="1:85">
      <c r="A60" s="13" t="s">
        <v>1777</v>
      </c>
      <c r="B60" s="13" t="s">
        <v>1777</v>
      </c>
      <c r="C60" s="14" t="s">
        <v>1099</v>
      </c>
      <c r="D60" s="13" t="s">
        <v>827</v>
      </c>
      <c r="E60" s="13" t="s">
        <v>775</v>
      </c>
      <c r="G60" s="13" t="s">
        <v>673</v>
      </c>
      <c r="H60" s="13" t="s">
        <v>686</v>
      </c>
      <c r="J60" s="13" t="s">
        <v>584</v>
      </c>
      <c r="K60" s="13" t="s">
        <v>2280</v>
      </c>
      <c r="L60" s="13" t="s">
        <v>652</v>
      </c>
      <c r="N60" s="13">
        <v>134</v>
      </c>
      <c r="O60" s="2">
        <v>0.59</v>
      </c>
      <c r="P60" s="13">
        <v>8</v>
      </c>
      <c r="Q60" s="17">
        <v>0.73</v>
      </c>
      <c r="R60" s="13">
        <v>229</v>
      </c>
      <c r="S60" s="13">
        <v>11</v>
      </c>
      <c r="V60" s="13">
        <v>37</v>
      </c>
      <c r="W60" s="13">
        <v>60.1</v>
      </c>
      <c r="X60" s="13">
        <v>11.8</v>
      </c>
      <c r="AB60" s="13">
        <v>56.8</v>
      </c>
      <c r="AC60" s="13">
        <v>11.6</v>
      </c>
      <c r="AG60" s="13" t="s">
        <v>639</v>
      </c>
      <c r="BG60" s="13">
        <v>67</v>
      </c>
      <c r="BR60" s="13">
        <v>27</v>
      </c>
      <c r="BY60" s="13" t="s">
        <v>1094</v>
      </c>
      <c r="BZ60" s="13" t="s">
        <v>1095</v>
      </c>
      <c r="CA60" s="13">
        <v>2020</v>
      </c>
      <c r="CB60" s="13" t="s">
        <v>2203</v>
      </c>
      <c r="CC60" s="13" t="s">
        <v>1096</v>
      </c>
      <c r="CD60" s="13">
        <v>95</v>
      </c>
      <c r="CE60" s="13">
        <v>1</v>
      </c>
      <c r="CF60" s="13" t="s">
        <v>1097</v>
      </c>
      <c r="CG60" s="13" t="s">
        <v>1098</v>
      </c>
    </row>
    <row r="61" spans="1:85">
      <c r="A61" s="13" t="s">
        <v>1777</v>
      </c>
      <c r="B61" s="13" t="s">
        <v>1777</v>
      </c>
      <c r="C61" s="14" t="s">
        <v>1099</v>
      </c>
      <c r="D61" s="13" t="s">
        <v>827</v>
      </c>
      <c r="E61" s="13" t="s">
        <v>774</v>
      </c>
      <c r="G61" s="13" t="s">
        <v>673</v>
      </c>
      <c r="H61" s="13" t="s">
        <v>675</v>
      </c>
      <c r="J61" s="13" t="s">
        <v>584</v>
      </c>
      <c r="K61" s="13" t="s">
        <v>2280</v>
      </c>
      <c r="L61" s="13" t="s">
        <v>652</v>
      </c>
      <c r="N61" s="13">
        <v>134</v>
      </c>
      <c r="O61" s="2">
        <v>0.59</v>
      </c>
      <c r="P61" s="13">
        <v>8</v>
      </c>
      <c r="Q61" s="17">
        <v>0.73</v>
      </c>
      <c r="R61" s="13">
        <v>229</v>
      </c>
      <c r="S61" s="13">
        <v>20</v>
      </c>
      <c r="V61" s="13">
        <v>37</v>
      </c>
      <c r="W61" s="13">
        <v>60.1</v>
      </c>
      <c r="X61" s="13">
        <v>11.8</v>
      </c>
      <c r="AB61" s="13">
        <v>56.8</v>
      </c>
      <c r="AC61" s="13">
        <v>11.6</v>
      </c>
      <c r="AG61" s="13" t="s">
        <v>639</v>
      </c>
      <c r="BG61" s="13">
        <v>17</v>
      </c>
      <c r="BR61" s="13">
        <v>10</v>
      </c>
      <c r="BY61" s="13" t="s">
        <v>1094</v>
      </c>
      <c r="BZ61" s="13" t="s">
        <v>1095</v>
      </c>
      <c r="CA61" s="13">
        <v>2020</v>
      </c>
      <c r="CB61" s="13" t="s">
        <v>2203</v>
      </c>
      <c r="CC61" s="13" t="s">
        <v>1096</v>
      </c>
      <c r="CD61" s="13">
        <v>95</v>
      </c>
      <c r="CE61" s="13">
        <v>1</v>
      </c>
      <c r="CF61" s="13" t="s">
        <v>1097</v>
      </c>
      <c r="CG61" s="13" t="s">
        <v>1098</v>
      </c>
    </row>
    <row r="62" spans="1:85">
      <c r="A62" s="13" t="s">
        <v>1777</v>
      </c>
      <c r="B62" s="13" t="s">
        <v>1777</v>
      </c>
      <c r="C62" s="14" t="s">
        <v>1099</v>
      </c>
      <c r="D62" s="13" t="s">
        <v>827</v>
      </c>
      <c r="E62" s="13" t="s">
        <v>774</v>
      </c>
      <c r="G62" s="13" t="s">
        <v>673</v>
      </c>
      <c r="H62" s="13" t="s">
        <v>686</v>
      </c>
      <c r="J62" s="13" t="s">
        <v>584</v>
      </c>
      <c r="K62" s="13" t="s">
        <v>2280</v>
      </c>
      <c r="L62" s="13" t="s">
        <v>652</v>
      </c>
      <c r="N62" s="13">
        <v>134</v>
      </c>
      <c r="O62" s="2">
        <v>0.59</v>
      </c>
      <c r="P62" s="13">
        <v>8</v>
      </c>
      <c r="Q62" s="17">
        <v>0.73</v>
      </c>
      <c r="R62" s="13">
        <v>229</v>
      </c>
      <c r="S62" s="13">
        <v>20</v>
      </c>
      <c r="V62" s="13">
        <v>37</v>
      </c>
      <c r="W62" s="13">
        <v>60.1</v>
      </c>
      <c r="X62" s="13">
        <v>11.8</v>
      </c>
      <c r="AB62" s="13">
        <v>56.8</v>
      </c>
      <c r="AC62" s="13">
        <v>11.6</v>
      </c>
      <c r="AG62" s="13" t="s">
        <v>639</v>
      </c>
      <c r="BG62" s="13">
        <v>67</v>
      </c>
      <c r="BR62" s="13">
        <v>30</v>
      </c>
      <c r="BY62" s="13" t="s">
        <v>1094</v>
      </c>
      <c r="BZ62" s="13" t="s">
        <v>1095</v>
      </c>
      <c r="CA62" s="13">
        <v>2020</v>
      </c>
      <c r="CB62" s="13" t="s">
        <v>2203</v>
      </c>
      <c r="CC62" s="13" t="s">
        <v>1096</v>
      </c>
      <c r="CD62" s="13">
        <v>95</v>
      </c>
      <c r="CE62" s="13">
        <v>1</v>
      </c>
      <c r="CF62" s="13" t="s">
        <v>1097</v>
      </c>
      <c r="CG62" s="13" t="s">
        <v>1098</v>
      </c>
    </row>
    <row r="63" spans="1:85">
      <c r="A63" s="13" t="s">
        <v>3366</v>
      </c>
      <c r="C63" s="13" t="s">
        <v>3296</v>
      </c>
      <c r="D63" s="14" t="s">
        <v>2481</v>
      </c>
      <c r="G63" s="13" t="s">
        <v>673</v>
      </c>
      <c r="H63" s="13" t="s">
        <v>675</v>
      </c>
      <c r="J63" s="14" t="s">
        <v>584</v>
      </c>
      <c r="K63" s="13" t="s">
        <v>3687</v>
      </c>
      <c r="L63" s="14" t="s">
        <v>652</v>
      </c>
      <c r="M63" s="13" t="s">
        <v>3686</v>
      </c>
      <c r="N63" s="13">
        <v>112</v>
      </c>
      <c r="O63" s="2">
        <f t="shared" ref="O63:O75" si="5">N63/R63</f>
        <v>0.55172413793103448</v>
      </c>
      <c r="R63" s="13">
        <v>203</v>
      </c>
      <c r="V63" s="13">
        <v>24</v>
      </c>
      <c r="W63" s="13">
        <v>57.1</v>
      </c>
      <c r="X63" s="13">
        <v>12</v>
      </c>
      <c r="AG63" s="13" t="s">
        <v>639</v>
      </c>
      <c r="BY63" s="13" t="s">
        <v>3454</v>
      </c>
      <c r="BZ63" s="13" t="s">
        <v>3455</v>
      </c>
      <c r="CA63" s="13">
        <v>2024</v>
      </c>
      <c r="CB63" s="13" t="s">
        <v>32</v>
      </c>
      <c r="CC63" s="13" t="s">
        <v>1514</v>
      </c>
      <c r="CD63" s="13">
        <v>108</v>
      </c>
      <c r="CF63" s="13">
        <v>105323</v>
      </c>
      <c r="CG63" s="13" t="s">
        <v>3221</v>
      </c>
    </row>
    <row r="64" spans="1:85">
      <c r="A64" s="13" t="s">
        <v>3366</v>
      </c>
      <c r="C64" s="13" t="s">
        <v>3296</v>
      </c>
      <c r="D64" s="14" t="s">
        <v>2481</v>
      </c>
      <c r="G64" s="13" t="s">
        <v>673</v>
      </c>
      <c r="H64" s="13" t="s">
        <v>686</v>
      </c>
      <c r="J64" s="14" t="s">
        <v>584</v>
      </c>
      <c r="K64" s="13" t="s">
        <v>3687</v>
      </c>
      <c r="L64" s="14" t="s">
        <v>652</v>
      </c>
      <c r="M64" s="13" t="s">
        <v>3686</v>
      </c>
      <c r="N64" s="13">
        <v>112</v>
      </c>
      <c r="O64" s="2">
        <f t="shared" si="5"/>
        <v>0.55172413793103448</v>
      </c>
      <c r="R64" s="13">
        <v>203</v>
      </c>
      <c r="V64" s="13">
        <v>24</v>
      </c>
      <c r="W64" s="13">
        <v>57.1</v>
      </c>
      <c r="X64" s="13">
        <v>12</v>
      </c>
      <c r="AG64" s="13" t="s">
        <v>639</v>
      </c>
      <c r="BY64" s="13" t="s">
        <v>3454</v>
      </c>
      <c r="BZ64" s="13" t="s">
        <v>3455</v>
      </c>
      <c r="CA64" s="13">
        <v>2024</v>
      </c>
      <c r="CB64" s="13" t="s">
        <v>32</v>
      </c>
      <c r="CC64" s="13" t="s">
        <v>1514</v>
      </c>
      <c r="CD64" s="13">
        <v>108</v>
      </c>
      <c r="CF64" s="13">
        <v>105323</v>
      </c>
      <c r="CG64" s="13" t="s">
        <v>3221</v>
      </c>
    </row>
    <row r="65" spans="1:85">
      <c r="A65" s="13" t="s">
        <v>3366</v>
      </c>
      <c r="C65" s="13" t="s">
        <v>3296</v>
      </c>
      <c r="D65" s="14" t="s">
        <v>2481</v>
      </c>
      <c r="G65" s="13" t="s">
        <v>673</v>
      </c>
      <c r="H65" s="13" t="s">
        <v>2377</v>
      </c>
      <c r="J65" s="14" t="s">
        <v>584</v>
      </c>
      <c r="K65" s="13" t="s">
        <v>3687</v>
      </c>
      <c r="L65" s="14" t="s">
        <v>4035</v>
      </c>
      <c r="M65" s="13" t="s">
        <v>4034</v>
      </c>
      <c r="N65" s="13">
        <v>112</v>
      </c>
      <c r="O65" s="2">
        <f t="shared" si="5"/>
        <v>0.55172413793103448</v>
      </c>
      <c r="R65" s="13">
        <v>203</v>
      </c>
      <c r="V65" s="13">
        <v>24</v>
      </c>
      <c r="W65" s="13">
        <v>57.1</v>
      </c>
      <c r="X65" s="13">
        <v>12</v>
      </c>
      <c r="AG65" s="13" t="s">
        <v>2455</v>
      </c>
      <c r="BY65" s="13" t="s">
        <v>3454</v>
      </c>
      <c r="BZ65" s="13" t="s">
        <v>3455</v>
      </c>
      <c r="CA65" s="13">
        <v>2024</v>
      </c>
      <c r="CB65" s="13" t="s">
        <v>32</v>
      </c>
      <c r="CC65" s="13" t="s">
        <v>1514</v>
      </c>
      <c r="CD65" s="13">
        <v>108</v>
      </c>
      <c r="CF65" s="13">
        <v>105323</v>
      </c>
      <c r="CG65" s="13" t="s">
        <v>3221</v>
      </c>
    </row>
    <row r="66" spans="1:85">
      <c r="A66" s="13" t="s">
        <v>3366</v>
      </c>
      <c r="C66" s="13" t="s">
        <v>3296</v>
      </c>
      <c r="D66" s="14" t="s">
        <v>2481</v>
      </c>
      <c r="G66" s="13" t="s">
        <v>673</v>
      </c>
      <c r="H66" s="13" t="s">
        <v>2337</v>
      </c>
      <c r="J66" s="14" t="s">
        <v>584</v>
      </c>
      <c r="K66" s="13" t="s">
        <v>3687</v>
      </c>
      <c r="L66" s="14" t="s">
        <v>4035</v>
      </c>
      <c r="M66" s="13" t="s">
        <v>4034</v>
      </c>
      <c r="N66" s="13">
        <v>112</v>
      </c>
      <c r="O66" s="2">
        <f t="shared" si="5"/>
        <v>0.55172413793103448</v>
      </c>
      <c r="R66" s="13">
        <v>203</v>
      </c>
      <c r="V66" s="13">
        <v>24</v>
      </c>
      <c r="W66" s="13">
        <v>57.1</v>
      </c>
      <c r="X66" s="13">
        <v>12</v>
      </c>
      <c r="AG66" s="13" t="s">
        <v>2455</v>
      </c>
      <c r="BY66" s="13" t="s">
        <v>3454</v>
      </c>
      <c r="BZ66" s="13" t="s">
        <v>3455</v>
      </c>
      <c r="CA66" s="13">
        <v>2024</v>
      </c>
      <c r="CB66" s="13" t="s">
        <v>32</v>
      </c>
      <c r="CC66" s="13" t="s">
        <v>1514</v>
      </c>
      <c r="CD66" s="13">
        <v>108</v>
      </c>
      <c r="CF66" s="13">
        <v>105323</v>
      </c>
      <c r="CG66" s="13" t="s">
        <v>3221</v>
      </c>
    </row>
    <row r="67" spans="1:85">
      <c r="A67" s="13" t="s">
        <v>3366</v>
      </c>
      <c r="C67" s="13" t="s">
        <v>3296</v>
      </c>
      <c r="D67" s="14" t="s">
        <v>2481</v>
      </c>
      <c r="G67" s="13" t="s">
        <v>673</v>
      </c>
      <c r="H67" s="13" t="s">
        <v>2378</v>
      </c>
      <c r="J67" s="14" t="s">
        <v>584</v>
      </c>
      <c r="K67" s="13" t="s">
        <v>3687</v>
      </c>
      <c r="L67" s="14" t="s">
        <v>4035</v>
      </c>
      <c r="M67" s="13" t="s">
        <v>4034</v>
      </c>
      <c r="N67" s="13">
        <v>112</v>
      </c>
      <c r="O67" s="2">
        <f t="shared" si="5"/>
        <v>0.55172413793103448</v>
      </c>
      <c r="R67" s="13">
        <v>203</v>
      </c>
      <c r="V67" s="13">
        <v>24</v>
      </c>
      <c r="W67" s="13">
        <v>57.1</v>
      </c>
      <c r="X67" s="13">
        <v>12</v>
      </c>
      <c r="AG67" s="13" t="s">
        <v>3704</v>
      </c>
      <c r="BY67" s="13" t="s">
        <v>3454</v>
      </c>
      <c r="BZ67" s="13" t="s">
        <v>3455</v>
      </c>
      <c r="CA67" s="13">
        <v>2024</v>
      </c>
      <c r="CB67" s="13" t="s">
        <v>32</v>
      </c>
      <c r="CC67" s="13" t="s">
        <v>1514</v>
      </c>
      <c r="CD67" s="13">
        <v>108</v>
      </c>
      <c r="CF67" s="13">
        <v>105323</v>
      </c>
      <c r="CG67" s="13" t="s">
        <v>3221</v>
      </c>
    </row>
    <row r="68" spans="1:85">
      <c r="A68" s="13" t="s">
        <v>3366</v>
      </c>
      <c r="C68" s="13" t="s">
        <v>3296</v>
      </c>
      <c r="D68" s="14" t="s">
        <v>2481</v>
      </c>
      <c r="G68" s="13" t="s">
        <v>673</v>
      </c>
      <c r="H68" s="13" t="s">
        <v>2273</v>
      </c>
      <c r="J68" s="14" t="s">
        <v>584</v>
      </c>
      <c r="K68" s="13" t="s">
        <v>3687</v>
      </c>
      <c r="L68" s="14" t="s">
        <v>4035</v>
      </c>
      <c r="M68" s="13" t="s">
        <v>4034</v>
      </c>
      <c r="N68" s="13">
        <v>112</v>
      </c>
      <c r="O68" s="2">
        <f t="shared" si="5"/>
        <v>0.55172413793103448</v>
      </c>
      <c r="R68" s="13">
        <v>203</v>
      </c>
      <c r="V68" s="13">
        <v>24</v>
      </c>
      <c r="W68" s="13">
        <v>57.1</v>
      </c>
      <c r="X68" s="13">
        <v>12</v>
      </c>
      <c r="AG68" s="13" t="s">
        <v>2455</v>
      </c>
      <c r="BY68" s="13" t="s">
        <v>3454</v>
      </c>
      <c r="BZ68" s="13" t="s">
        <v>3455</v>
      </c>
      <c r="CA68" s="13">
        <v>2024</v>
      </c>
      <c r="CB68" s="13" t="s">
        <v>32</v>
      </c>
      <c r="CC68" s="13" t="s">
        <v>1514</v>
      </c>
      <c r="CD68" s="13">
        <v>108</v>
      </c>
      <c r="CF68" s="13">
        <v>105323</v>
      </c>
      <c r="CG68" s="13" t="s">
        <v>3221</v>
      </c>
    </row>
    <row r="69" spans="1:85">
      <c r="A69" s="13" t="s">
        <v>3366</v>
      </c>
      <c r="C69" s="13" t="s">
        <v>3296</v>
      </c>
      <c r="D69" s="14" t="s">
        <v>2481</v>
      </c>
      <c r="G69" s="13" t="s">
        <v>674</v>
      </c>
      <c r="H69" s="13" t="s">
        <v>3690</v>
      </c>
      <c r="J69" s="14" t="s">
        <v>584</v>
      </c>
      <c r="K69" s="13" t="s">
        <v>3687</v>
      </c>
      <c r="L69" s="14" t="s">
        <v>4037</v>
      </c>
      <c r="M69" s="13" t="s">
        <v>4036</v>
      </c>
      <c r="N69" s="13">
        <v>112</v>
      </c>
      <c r="O69" s="2">
        <f t="shared" si="5"/>
        <v>0.55172413793103448</v>
      </c>
      <c r="R69" s="13">
        <v>203</v>
      </c>
      <c r="V69" s="13">
        <v>24</v>
      </c>
      <c r="W69" s="13">
        <v>57.1</v>
      </c>
      <c r="X69" s="13">
        <v>12</v>
      </c>
      <c r="AG69" s="13" t="s">
        <v>3705</v>
      </c>
      <c r="BY69" s="13" t="s">
        <v>3454</v>
      </c>
      <c r="BZ69" s="13" t="s">
        <v>3455</v>
      </c>
      <c r="CA69" s="13">
        <v>2024</v>
      </c>
      <c r="CB69" s="13" t="s">
        <v>32</v>
      </c>
      <c r="CC69" s="13" t="s">
        <v>1514</v>
      </c>
      <c r="CD69" s="13">
        <v>108</v>
      </c>
      <c r="CF69" s="13">
        <v>105323</v>
      </c>
      <c r="CG69" s="13" t="s">
        <v>3221</v>
      </c>
    </row>
    <row r="70" spans="1:85">
      <c r="A70" s="13" t="s">
        <v>3366</v>
      </c>
      <c r="C70" s="13" t="s">
        <v>3691</v>
      </c>
      <c r="D70" s="14" t="s">
        <v>2481</v>
      </c>
      <c r="G70" s="13" t="s">
        <v>673</v>
      </c>
      <c r="H70" s="13" t="s">
        <v>686</v>
      </c>
      <c r="J70" s="14" t="s">
        <v>584</v>
      </c>
      <c r="K70" s="13" t="s">
        <v>3687</v>
      </c>
      <c r="L70" s="14" t="s">
        <v>652</v>
      </c>
      <c r="M70" s="13" t="s">
        <v>3686</v>
      </c>
      <c r="N70" s="13">
        <v>112</v>
      </c>
      <c r="O70" s="2">
        <f t="shared" si="5"/>
        <v>0.55172413793103448</v>
      </c>
      <c r="R70" s="13">
        <v>203</v>
      </c>
      <c r="V70" s="13">
        <v>24</v>
      </c>
      <c r="W70" s="13">
        <v>57.1</v>
      </c>
      <c r="X70" s="13">
        <v>12</v>
      </c>
      <c r="AG70" s="13" t="s">
        <v>639</v>
      </c>
      <c r="BY70" s="13" t="s">
        <v>3454</v>
      </c>
      <c r="BZ70" s="13" t="s">
        <v>3455</v>
      </c>
      <c r="CA70" s="13">
        <v>2024</v>
      </c>
      <c r="CB70" s="13" t="s">
        <v>32</v>
      </c>
      <c r="CC70" s="13" t="s">
        <v>1514</v>
      </c>
      <c r="CD70" s="13">
        <v>108</v>
      </c>
      <c r="CF70" s="13">
        <v>105323</v>
      </c>
      <c r="CG70" s="13" t="s">
        <v>3221</v>
      </c>
    </row>
    <row r="71" spans="1:85">
      <c r="A71" s="13" t="s">
        <v>3366</v>
      </c>
      <c r="C71" s="13" t="s">
        <v>3691</v>
      </c>
      <c r="D71" s="14" t="s">
        <v>2481</v>
      </c>
      <c r="G71" s="13" t="s">
        <v>673</v>
      </c>
      <c r="H71" s="13" t="s">
        <v>2377</v>
      </c>
      <c r="J71" s="14" t="s">
        <v>584</v>
      </c>
      <c r="K71" s="13" t="s">
        <v>3687</v>
      </c>
      <c r="L71" s="14" t="s">
        <v>4035</v>
      </c>
      <c r="M71" s="13" t="s">
        <v>4034</v>
      </c>
      <c r="N71" s="13">
        <v>112</v>
      </c>
      <c r="O71" s="2">
        <f t="shared" si="5"/>
        <v>0.55172413793103448</v>
      </c>
      <c r="R71" s="13">
        <v>203</v>
      </c>
      <c r="V71" s="13">
        <v>24</v>
      </c>
      <c r="W71" s="13">
        <v>57.1</v>
      </c>
      <c r="X71" s="13">
        <v>12</v>
      </c>
      <c r="AG71" s="13" t="s">
        <v>2455</v>
      </c>
      <c r="BY71" s="13" t="s">
        <v>3454</v>
      </c>
      <c r="BZ71" s="13" t="s">
        <v>3455</v>
      </c>
      <c r="CA71" s="13">
        <v>2024</v>
      </c>
      <c r="CB71" s="13" t="s">
        <v>32</v>
      </c>
      <c r="CC71" s="13" t="s">
        <v>1514</v>
      </c>
      <c r="CD71" s="13">
        <v>108</v>
      </c>
      <c r="CF71" s="13">
        <v>105323</v>
      </c>
      <c r="CG71" s="13" t="s">
        <v>3221</v>
      </c>
    </row>
    <row r="72" spans="1:85">
      <c r="A72" s="13" t="s">
        <v>3366</v>
      </c>
      <c r="C72" s="13" t="s">
        <v>3691</v>
      </c>
      <c r="D72" s="14" t="s">
        <v>2481</v>
      </c>
      <c r="G72" s="13" t="s">
        <v>673</v>
      </c>
      <c r="H72" s="13" t="s">
        <v>2337</v>
      </c>
      <c r="J72" s="14" t="s">
        <v>584</v>
      </c>
      <c r="K72" s="13" t="s">
        <v>3687</v>
      </c>
      <c r="L72" s="14" t="s">
        <v>4035</v>
      </c>
      <c r="M72" s="13" t="s">
        <v>4034</v>
      </c>
      <c r="N72" s="13">
        <v>112</v>
      </c>
      <c r="O72" s="2">
        <f t="shared" si="5"/>
        <v>0.55172413793103448</v>
      </c>
      <c r="R72" s="13">
        <v>203</v>
      </c>
      <c r="V72" s="13">
        <v>24</v>
      </c>
      <c r="W72" s="13">
        <v>57.1</v>
      </c>
      <c r="X72" s="13">
        <v>12</v>
      </c>
      <c r="AG72" s="13" t="s">
        <v>2455</v>
      </c>
      <c r="BY72" s="13" t="s">
        <v>3454</v>
      </c>
      <c r="BZ72" s="13" t="s">
        <v>3455</v>
      </c>
      <c r="CA72" s="13">
        <v>2024</v>
      </c>
      <c r="CB72" s="13" t="s">
        <v>32</v>
      </c>
      <c r="CC72" s="13" t="s">
        <v>1514</v>
      </c>
      <c r="CD72" s="13">
        <v>108</v>
      </c>
      <c r="CF72" s="13">
        <v>105323</v>
      </c>
      <c r="CG72" s="13" t="s">
        <v>3221</v>
      </c>
    </row>
    <row r="73" spans="1:85">
      <c r="A73" s="13" t="s">
        <v>3366</v>
      </c>
      <c r="C73" s="13" t="s">
        <v>3691</v>
      </c>
      <c r="D73" s="14" t="s">
        <v>2481</v>
      </c>
      <c r="G73" s="13" t="s">
        <v>673</v>
      </c>
      <c r="H73" s="13" t="s">
        <v>2378</v>
      </c>
      <c r="J73" s="14" t="s">
        <v>584</v>
      </c>
      <c r="K73" s="13" t="s">
        <v>3687</v>
      </c>
      <c r="L73" s="14" t="s">
        <v>4035</v>
      </c>
      <c r="M73" s="13" t="s">
        <v>4034</v>
      </c>
      <c r="N73" s="13">
        <v>112</v>
      </c>
      <c r="O73" s="2">
        <f t="shared" si="5"/>
        <v>0.55172413793103448</v>
      </c>
      <c r="R73" s="13">
        <v>203</v>
      </c>
      <c r="V73" s="13">
        <v>24</v>
      </c>
      <c r="W73" s="13">
        <v>57.1</v>
      </c>
      <c r="X73" s="13">
        <v>12</v>
      </c>
      <c r="AG73" s="13" t="s">
        <v>3704</v>
      </c>
      <c r="BY73" s="13" t="s">
        <v>3454</v>
      </c>
      <c r="BZ73" s="13" t="s">
        <v>3455</v>
      </c>
      <c r="CA73" s="13">
        <v>2024</v>
      </c>
      <c r="CB73" s="13" t="s">
        <v>32</v>
      </c>
      <c r="CC73" s="13" t="s">
        <v>1514</v>
      </c>
      <c r="CD73" s="13">
        <v>108</v>
      </c>
      <c r="CF73" s="13">
        <v>105323</v>
      </c>
      <c r="CG73" s="13" t="s">
        <v>3221</v>
      </c>
    </row>
    <row r="74" spans="1:85">
      <c r="A74" s="13" t="s">
        <v>3366</v>
      </c>
      <c r="C74" s="13" t="s">
        <v>3691</v>
      </c>
      <c r="D74" s="14" t="s">
        <v>2481</v>
      </c>
      <c r="G74" s="13" t="s">
        <v>673</v>
      </c>
      <c r="H74" s="13" t="s">
        <v>2273</v>
      </c>
      <c r="J74" s="14" t="s">
        <v>584</v>
      </c>
      <c r="K74" s="13" t="s">
        <v>3687</v>
      </c>
      <c r="L74" s="14" t="s">
        <v>4035</v>
      </c>
      <c r="M74" s="13" t="s">
        <v>4034</v>
      </c>
      <c r="N74" s="13">
        <v>112</v>
      </c>
      <c r="O74" s="2">
        <f t="shared" si="5"/>
        <v>0.55172413793103448</v>
      </c>
      <c r="R74" s="13">
        <v>203</v>
      </c>
      <c r="V74" s="13">
        <v>24</v>
      </c>
      <c r="W74" s="13">
        <v>57.1</v>
      </c>
      <c r="X74" s="13">
        <v>12</v>
      </c>
      <c r="AG74" s="13" t="s">
        <v>2455</v>
      </c>
      <c r="BY74" s="13" t="s">
        <v>3454</v>
      </c>
      <c r="BZ74" s="13" t="s">
        <v>3455</v>
      </c>
      <c r="CA74" s="13">
        <v>2024</v>
      </c>
      <c r="CB74" s="13" t="s">
        <v>32</v>
      </c>
      <c r="CC74" s="13" t="s">
        <v>1514</v>
      </c>
      <c r="CD74" s="13">
        <v>108</v>
      </c>
      <c r="CF74" s="13">
        <v>105323</v>
      </c>
      <c r="CG74" s="13" t="s">
        <v>3221</v>
      </c>
    </row>
    <row r="75" spans="1:85">
      <c r="A75" s="13" t="s">
        <v>3366</v>
      </c>
      <c r="C75" s="13" t="s">
        <v>3691</v>
      </c>
      <c r="D75" s="14" t="s">
        <v>2481</v>
      </c>
      <c r="G75" s="13" t="s">
        <v>674</v>
      </c>
      <c r="H75" s="13" t="s">
        <v>3690</v>
      </c>
      <c r="J75" s="14" t="s">
        <v>584</v>
      </c>
      <c r="K75" s="13" t="s">
        <v>3687</v>
      </c>
      <c r="L75" s="14" t="s">
        <v>4037</v>
      </c>
      <c r="M75" s="13" t="s">
        <v>4036</v>
      </c>
      <c r="N75" s="13">
        <v>112</v>
      </c>
      <c r="O75" s="2">
        <f t="shared" si="5"/>
        <v>0.55172413793103448</v>
      </c>
      <c r="R75" s="13">
        <v>203</v>
      </c>
      <c r="V75" s="13">
        <v>24</v>
      </c>
      <c r="W75" s="13">
        <v>57.1</v>
      </c>
      <c r="X75" s="13">
        <v>12</v>
      </c>
      <c r="AG75" s="13" t="s">
        <v>3705</v>
      </c>
      <c r="BY75" s="13" t="s">
        <v>3454</v>
      </c>
      <c r="BZ75" s="13" t="s">
        <v>3455</v>
      </c>
      <c r="CA75" s="13">
        <v>2024</v>
      </c>
      <c r="CB75" s="13" t="s">
        <v>32</v>
      </c>
      <c r="CC75" s="13" t="s">
        <v>1514</v>
      </c>
      <c r="CD75" s="13">
        <v>108</v>
      </c>
      <c r="CF75" s="13">
        <v>105323</v>
      </c>
      <c r="CG75" s="13" t="s">
        <v>3221</v>
      </c>
    </row>
    <row r="76" spans="1:85">
      <c r="A76" s="13" t="s">
        <v>1670</v>
      </c>
      <c r="B76" s="13" t="s">
        <v>1778</v>
      </c>
      <c r="C76" s="13" t="s">
        <v>70</v>
      </c>
      <c r="D76" s="16" t="s">
        <v>818</v>
      </c>
      <c r="E76" s="13" t="s">
        <v>630</v>
      </c>
      <c r="F76" s="13" t="s">
        <v>2202</v>
      </c>
      <c r="G76" s="13" t="s">
        <v>674</v>
      </c>
      <c r="H76" s="13" t="s">
        <v>684</v>
      </c>
      <c r="I76" s="13" t="s">
        <v>667</v>
      </c>
      <c r="J76" s="13" t="s">
        <v>629</v>
      </c>
      <c r="K76" s="13" t="s">
        <v>3087</v>
      </c>
      <c r="L76" s="13" t="s">
        <v>3186</v>
      </c>
      <c r="M76" s="13" t="s">
        <v>3187</v>
      </c>
      <c r="Q76" s="2"/>
      <c r="T76" s="13">
        <v>0</v>
      </c>
      <c r="Y76" s="13">
        <v>65.3</v>
      </c>
      <c r="Z76" s="13">
        <v>57.75</v>
      </c>
      <c r="AA76" s="13">
        <v>72.849999999999994</v>
      </c>
      <c r="AD76" s="16"/>
      <c r="AE76" s="16"/>
      <c r="AJ76" s="13">
        <v>80</v>
      </c>
      <c r="AK76" s="13">
        <v>0.71</v>
      </c>
      <c r="AL76" s="13">
        <v>0.89</v>
      </c>
      <c r="AM76" s="13">
        <v>78</v>
      </c>
      <c r="AN76" s="13">
        <v>0.68</v>
      </c>
      <c r="AO76" s="13">
        <v>0.88</v>
      </c>
      <c r="AP76" s="13">
        <v>0.85</v>
      </c>
      <c r="AR76" s="13">
        <f>0.85-0.06</f>
        <v>0.79</v>
      </c>
      <c r="AS76" s="13">
        <f>0.85+0.06</f>
        <v>0.90999999999999992</v>
      </c>
      <c r="BB76" s="16"/>
      <c r="BC76" s="16"/>
      <c r="BM76" s="16"/>
      <c r="BN76" s="16"/>
      <c r="BX76" s="16"/>
      <c r="BY76" s="13" t="s">
        <v>65</v>
      </c>
      <c r="BZ76" s="13" t="s">
        <v>66</v>
      </c>
      <c r="CA76" s="13">
        <v>2020</v>
      </c>
      <c r="CB76" s="21">
        <v>45511</v>
      </c>
      <c r="CC76" s="13" t="s">
        <v>67</v>
      </c>
      <c r="CD76" s="13">
        <v>19</v>
      </c>
      <c r="CE76" s="13">
        <v>8</v>
      </c>
      <c r="CF76" s="13" t="s">
        <v>68</v>
      </c>
      <c r="CG76" s="13" t="s">
        <v>69</v>
      </c>
    </row>
    <row r="77" spans="1:85">
      <c r="A77" s="13" t="s">
        <v>1671</v>
      </c>
      <c r="C77" s="13" t="s">
        <v>76</v>
      </c>
      <c r="D77" s="16" t="s">
        <v>818</v>
      </c>
      <c r="E77" s="13" t="s">
        <v>689</v>
      </c>
      <c r="F77" s="13" t="s">
        <v>689</v>
      </c>
      <c r="G77" s="13" t="s">
        <v>672</v>
      </c>
      <c r="H77" s="13" t="s">
        <v>3175</v>
      </c>
      <c r="J77" s="13" t="s">
        <v>669</v>
      </c>
      <c r="K77" s="14" t="s">
        <v>3100</v>
      </c>
      <c r="L77" s="13" t="s">
        <v>670</v>
      </c>
      <c r="N77" s="13">
        <v>14</v>
      </c>
      <c r="O77" s="2">
        <f>N77/R77</f>
        <v>0.3888888888888889</v>
      </c>
      <c r="P77" s="13">
        <v>20</v>
      </c>
      <c r="Q77" s="2">
        <f>P77/S77</f>
        <v>0.66666666666666663</v>
      </c>
      <c r="R77" s="13">
        <v>36</v>
      </c>
      <c r="S77" s="13">
        <v>30</v>
      </c>
      <c r="W77" s="13">
        <v>66</v>
      </c>
      <c r="X77" s="13">
        <v>10</v>
      </c>
      <c r="Y77" s="16"/>
      <c r="Z77" s="16"/>
      <c r="AA77" s="16"/>
      <c r="AB77" s="16">
        <v>69</v>
      </c>
      <c r="AC77" s="16">
        <v>13</v>
      </c>
      <c r="AD77" s="16"/>
      <c r="AE77" s="16"/>
      <c r="AG77" s="13" t="s">
        <v>688</v>
      </c>
      <c r="AH77" s="13">
        <v>1643</v>
      </c>
      <c r="AJ77" s="13">
        <v>89</v>
      </c>
      <c r="AM77" s="13">
        <v>77</v>
      </c>
      <c r="AP77" s="13">
        <v>0.85</v>
      </c>
      <c r="BB77" s="13">
        <v>1639.5</v>
      </c>
      <c r="BC77" s="13">
        <v>2.6</v>
      </c>
      <c r="BM77" s="13">
        <v>1651.5</v>
      </c>
      <c r="BN77" s="13">
        <v>7.7</v>
      </c>
      <c r="BX77" s="13" t="s">
        <v>691</v>
      </c>
      <c r="BY77" s="13" t="s">
        <v>71</v>
      </c>
      <c r="BZ77" s="13" t="s">
        <v>72</v>
      </c>
      <c r="CA77" s="13">
        <v>2021</v>
      </c>
      <c r="CB77" s="13" t="s">
        <v>73</v>
      </c>
      <c r="CC77" s="13" t="s">
        <v>26</v>
      </c>
      <c r="CD77" s="13">
        <v>8</v>
      </c>
      <c r="CE77" s="13">
        <v>1</v>
      </c>
      <c r="CF77" s="13" t="s">
        <v>74</v>
      </c>
      <c r="CG77" s="13" t="s">
        <v>75</v>
      </c>
    </row>
    <row r="78" spans="1:85">
      <c r="A78" s="13" t="s">
        <v>1671</v>
      </c>
      <c r="C78" s="13" t="s">
        <v>76</v>
      </c>
      <c r="D78" s="16" t="s">
        <v>818</v>
      </c>
      <c r="E78" s="13" t="s">
        <v>657</v>
      </c>
      <c r="F78" s="13" t="s">
        <v>690</v>
      </c>
      <c r="G78" s="13" t="s">
        <v>672</v>
      </c>
      <c r="H78" s="13" t="s">
        <v>3175</v>
      </c>
      <c r="J78" s="13" t="s">
        <v>669</v>
      </c>
      <c r="K78" s="14" t="s">
        <v>3100</v>
      </c>
      <c r="L78" s="13" t="s">
        <v>670</v>
      </c>
      <c r="N78" s="13">
        <v>14</v>
      </c>
      <c r="O78" s="2">
        <f>N78/R78</f>
        <v>0.3888888888888889</v>
      </c>
      <c r="P78" s="13">
        <v>13</v>
      </c>
      <c r="Q78" s="2">
        <f>P78/S78</f>
        <v>0.54166666666666663</v>
      </c>
      <c r="R78" s="13">
        <v>36</v>
      </c>
      <c r="S78" s="13">
        <v>24</v>
      </c>
      <c r="W78" s="13">
        <v>66</v>
      </c>
      <c r="X78" s="13">
        <v>10</v>
      </c>
      <c r="Y78" s="16"/>
      <c r="Z78" s="16"/>
      <c r="AA78" s="16"/>
      <c r="AB78" s="16">
        <v>65</v>
      </c>
      <c r="AC78" s="16">
        <v>17</v>
      </c>
      <c r="AD78" s="16"/>
      <c r="AE78" s="16"/>
      <c r="AG78" s="13" t="s">
        <v>688</v>
      </c>
      <c r="AH78" s="13">
        <v>1643</v>
      </c>
      <c r="AJ78" s="13">
        <v>89</v>
      </c>
      <c r="AM78" s="13">
        <v>83</v>
      </c>
      <c r="AP78" s="13">
        <v>0.93</v>
      </c>
      <c r="BB78" s="13">
        <v>1639.5</v>
      </c>
      <c r="BC78" s="13">
        <v>2.6</v>
      </c>
      <c r="BM78" s="16">
        <v>1646</v>
      </c>
      <c r="BN78" s="13">
        <v>5.5</v>
      </c>
      <c r="BX78" s="13" t="s">
        <v>691</v>
      </c>
      <c r="BY78" s="13" t="s">
        <v>71</v>
      </c>
      <c r="BZ78" s="13" t="s">
        <v>72</v>
      </c>
      <c r="CA78" s="13">
        <v>2021</v>
      </c>
      <c r="CB78" s="13" t="s">
        <v>73</v>
      </c>
      <c r="CC78" s="13" t="s">
        <v>26</v>
      </c>
      <c r="CD78" s="13">
        <v>8</v>
      </c>
      <c r="CE78" s="13">
        <v>1</v>
      </c>
      <c r="CF78" s="13" t="s">
        <v>74</v>
      </c>
      <c r="CG78" s="13" t="s">
        <v>75</v>
      </c>
    </row>
    <row r="79" spans="1:85">
      <c r="A79" s="13" t="s">
        <v>3367</v>
      </c>
      <c r="C79" s="13" t="s">
        <v>3297</v>
      </c>
      <c r="D79" s="14" t="s">
        <v>898</v>
      </c>
      <c r="G79" s="13" t="s">
        <v>674</v>
      </c>
      <c r="H79" s="13" t="s">
        <v>675</v>
      </c>
      <c r="J79" s="14" t="s">
        <v>584</v>
      </c>
      <c r="K79" s="13" t="s">
        <v>3693</v>
      </c>
      <c r="L79" s="14" t="s">
        <v>652</v>
      </c>
      <c r="N79" s="13">
        <v>60</v>
      </c>
      <c r="O79" s="2">
        <f>N79/R79</f>
        <v>0.6741573033707865</v>
      </c>
      <c r="R79" s="13">
        <v>89</v>
      </c>
      <c r="AG79" s="13" t="s">
        <v>639</v>
      </c>
      <c r="BY79" s="13" t="s">
        <v>3456</v>
      </c>
      <c r="BZ79" s="13" t="s">
        <v>3457</v>
      </c>
      <c r="CA79" s="13">
        <v>2025</v>
      </c>
      <c r="CB79" s="13" t="s">
        <v>73</v>
      </c>
      <c r="CC79" s="13" t="s">
        <v>300</v>
      </c>
      <c r="CD79" s="13">
        <v>71</v>
      </c>
      <c r="CE79" s="13">
        <v>1</v>
      </c>
      <c r="CF79" s="13" t="s">
        <v>3458</v>
      </c>
      <c r="CG79" s="13" t="s">
        <v>3222</v>
      </c>
    </row>
    <row r="80" spans="1:85">
      <c r="A80" s="13" t="s">
        <v>1672</v>
      </c>
      <c r="B80" s="13" t="s">
        <v>1998</v>
      </c>
      <c r="C80" s="13" t="s">
        <v>82</v>
      </c>
      <c r="D80" s="16" t="s">
        <v>4179</v>
      </c>
      <c r="G80" s="13" t="s">
        <v>672</v>
      </c>
      <c r="H80" s="13" t="s">
        <v>675</v>
      </c>
      <c r="Q80" s="2"/>
      <c r="Y80" s="16"/>
      <c r="AD80" s="16"/>
      <c r="AE80" s="16"/>
      <c r="BY80" s="13" t="s">
        <v>77</v>
      </c>
      <c r="BZ80" s="13" t="s">
        <v>78</v>
      </c>
      <c r="CA80" s="13">
        <v>2019</v>
      </c>
      <c r="CB80" s="21">
        <v>45536</v>
      </c>
      <c r="CC80" s="13" t="s">
        <v>79</v>
      </c>
      <c r="CD80" s="13">
        <v>76</v>
      </c>
      <c r="CE80" s="13">
        <v>9</v>
      </c>
      <c r="CF80" s="13" t="s">
        <v>80</v>
      </c>
      <c r="CG80" s="13" t="s">
        <v>81</v>
      </c>
    </row>
    <row r="81" spans="1:85">
      <c r="A81" s="13" t="s">
        <v>1673</v>
      </c>
      <c r="B81" s="13" t="s">
        <v>1779</v>
      </c>
      <c r="C81" s="13" t="s">
        <v>86</v>
      </c>
      <c r="D81" s="16" t="s">
        <v>825</v>
      </c>
      <c r="E81" s="13" t="s">
        <v>696</v>
      </c>
      <c r="F81" s="13" t="s">
        <v>697</v>
      </c>
      <c r="G81" s="13" t="s">
        <v>673</v>
      </c>
      <c r="H81" s="13" t="s">
        <v>675</v>
      </c>
      <c r="J81" s="13" t="s">
        <v>637</v>
      </c>
      <c r="K81" s="14" t="s">
        <v>3089</v>
      </c>
      <c r="L81" s="13" t="s">
        <v>695</v>
      </c>
      <c r="M81" s="13" t="s">
        <v>1992</v>
      </c>
      <c r="N81" s="13">
        <v>38</v>
      </c>
      <c r="O81" s="2">
        <f t="shared" ref="O81:O89" si="6">N81/R81</f>
        <v>0.6333333333333333</v>
      </c>
      <c r="P81" s="13">
        <v>27</v>
      </c>
      <c r="Q81" s="2">
        <f>P81/S81</f>
        <v>0.62790697674418605</v>
      </c>
      <c r="R81" s="13">
        <v>60</v>
      </c>
      <c r="S81" s="13">
        <v>43</v>
      </c>
      <c r="U81" s="13"/>
      <c r="W81" s="13">
        <v>66</v>
      </c>
      <c r="X81" s="13">
        <v>11</v>
      </c>
      <c r="Y81" s="16"/>
      <c r="Z81" s="16"/>
      <c r="AA81" s="16"/>
      <c r="AB81" s="16">
        <v>60</v>
      </c>
      <c r="AC81" s="16">
        <v>15</v>
      </c>
      <c r="AD81" s="16"/>
      <c r="AE81" s="16"/>
      <c r="AF81" s="16"/>
      <c r="AG81" s="13" t="s">
        <v>639</v>
      </c>
      <c r="AH81" s="13">
        <v>294.2</v>
      </c>
      <c r="AJ81" s="13">
        <v>74.58</v>
      </c>
      <c r="AM81" s="13">
        <v>90.7</v>
      </c>
      <c r="AP81" s="13">
        <v>0.84</v>
      </c>
      <c r="BB81" s="13">
        <v>512.4</v>
      </c>
      <c r="BC81" s="13">
        <v>417.4</v>
      </c>
      <c r="BM81" s="13">
        <v>176.7</v>
      </c>
      <c r="BN81" s="13">
        <v>163.6</v>
      </c>
      <c r="BX81" s="13" t="s">
        <v>691</v>
      </c>
      <c r="BY81" s="13" t="s">
        <v>83</v>
      </c>
      <c r="BZ81" s="13" t="s">
        <v>84</v>
      </c>
      <c r="CA81" s="13">
        <v>2021</v>
      </c>
      <c r="CB81" s="21">
        <v>45303</v>
      </c>
      <c r="CC81" s="13" t="s">
        <v>61</v>
      </c>
      <c r="CD81" s="13">
        <v>11</v>
      </c>
      <c r="CE81" s="13">
        <v>1</v>
      </c>
      <c r="CF81" s="13">
        <v>703</v>
      </c>
      <c r="CG81" s="13" t="s">
        <v>85</v>
      </c>
    </row>
    <row r="82" spans="1:85">
      <c r="A82" s="13" t="s">
        <v>1673</v>
      </c>
      <c r="B82" s="13" t="s">
        <v>1779</v>
      </c>
      <c r="C82" s="13" t="s">
        <v>86</v>
      </c>
      <c r="D82" s="16" t="s">
        <v>825</v>
      </c>
      <c r="E82" s="13" t="s">
        <v>696</v>
      </c>
      <c r="F82" s="13" t="s">
        <v>697</v>
      </c>
      <c r="G82" s="13" t="s">
        <v>672</v>
      </c>
      <c r="H82" s="13" t="s">
        <v>675</v>
      </c>
      <c r="J82" s="13" t="s">
        <v>637</v>
      </c>
      <c r="K82" s="14" t="s">
        <v>3089</v>
      </c>
      <c r="L82" s="13" t="s">
        <v>695</v>
      </c>
      <c r="M82" s="13" t="s">
        <v>1992</v>
      </c>
      <c r="N82" s="13">
        <v>17</v>
      </c>
      <c r="O82" s="2">
        <f t="shared" si="6"/>
        <v>0.85</v>
      </c>
      <c r="P82" s="13">
        <v>7</v>
      </c>
      <c r="Q82" s="2">
        <f>P82/S82</f>
        <v>0.41176470588235292</v>
      </c>
      <c r="R82" s="13">
        <v>20</v>
      </c>
      <c r="S82" s="13">
        <v>17</v>
      </c>
      <c r="U82" s="13"/>
      <c r="W82" s="13">
        <v>66</v>
      </c>
      <c r="X82" s="13">
        <v>11</v>
      </c>
      <c r="Y82" s="16"/>
      <c r="Z82" s="16"/>
      <c r="AA82" s="16"/>
      <c r="AB82" s="16">
        <v>61</v>
      </c>
      <c r="AC82" s="16">
        <v>14</v>
      </c>
      <c r="AD82" s="16"/>
      <c r="AE82" s="16"/>
      <c r="AF82" s="16"/>
      <c r="AG82" s="13" t="s">
        <v>639</v>
      </c>
      <c r="AH82" s="13">
        <v>8380</v>
      </c>
      <c r="AJ82" s="13">
        <v>87.5</v>
      </c>
      <c r="AM82" s="13">
        <v>94.12</v>
      </c>
      <c r="AP82" s="13">
        <v>0.87</v>
      </c>
      <c r="BB82" s="13">
        <v>43257</v>
      </c>
      <c r="BC82" s="13">
        <v>34120</v>
      </c>
      <c r="BM82" s="13">
        <v>11196</v>
      </c>
      <c r="BN82" s="13">
        <v>26100</v>
      </c>
      <c r="BX82" s="13">
        <v>1E-3</v>
      </c>
      <c r="BY82" s="13" t="s">
        <v>83</v>
      </c>
      <c r="BZ82" s="13" t="s">
        <v>84</v>
      </c>
      <c r="CA82" s="13">
        <v>2021</v>
      </c>
      <c r="CB82" s="21">
        <v>45303</v>
      </c>
      <c r="CC82" s="13" t="s">
        <v>61</v>
      </c>
      <c r="CD82" s="13">
        <v>11</v>
      </c>
      <c r="CE82" s="13">
        <v>1</v>
      </c>
      <c r="CF82" s="13">
        <v>703</v>
      </c>
      <c r="CG82" s="13" t="s">
        <v>85</v>
      </c>
    </row>
    <row r="83" spans="1:85">
      <c r="A83" s="13" t="s">
        <v>1673</v>
      </c>
      <c r="B83" s="13" t="s">
        <v>1779</v>
      </c>
      <c r="C83" s="13" t="s">
        <v>86</v>
      </c>
      <c r="D83" s="16" t="s">
        <v>825</v>
      </c>
      <c r="E83" s="13" t="s">
        <v>696</v>
      </c>
      <c r="F83" s="13" t="s">
        <v>697</v>
      </c>
      <c r="G83" s="13" t="s">
        <v>698</v>
      </c>
      <c r="H83" s="13" t="s">
        <v>684</v>
      </c>
      <c r="I83" s="13" t="s">
        <v>699</v>
      </c>
      <c r="J83" s="13" t="s">
        <v>637</v>
      </c>
      <c r="K83" s="14" t="s">
        <v>3089</v>
      </c>
      <c r="L83" s="13" t="s">
        <v>694</v>
      </c>
      <c r="N83" s="13">
        <v>17</v>
      </c>
      <c r="O83" s="2">
        <f t="shared" si="6"/>
        <v>0.85</v>
      </c>
      <c r="P83" s="13">
        <v>7</v>
      </c>
      <c r="Q83" s="2">
        <f>P83/S83</f>
        <v>0.41176470588235292</v>
      </c>
      <c r="R83" s="13">
        <v>20</v>
      </c>
      <c r="S83" s="13">
        <v>17</v>
      </c>
      <c r="U83" s="13"/>
      <c r="W83" s="13">
        <v>66</v>
      </c>
      <c r="X83" s="13">
        <v>11</v>
      </c>
      <c r="Y83" s="16"/>
      <c r="Z83" s="16"/>
      <c r="AA83" s="16"/>
      <c r="AB83" s="16">
        <v>61</v>
      </c>
      <c r="AC83" s="16">
        <v>14</v>
      </c>
      <c r="AD83" s="16"/>
      <c r="AE83" s="16"/>
      <c r="AF83" s="16"/>
      <c r="AH83" s="13">
        <v>0.49</v>
      </c>
      <c r="AJ83" s="13">
        <v>85.71</v>
      </c>
      <c r="AK83" s="13">
        <v>57.19</v>
      </c>
      <c r="AL83" s="13">
        <v>98.22</v>
      </c>
      <c r="AM83" s="13">
        <v>100</v>
      </c>
      <c r="AN83" s="13">
        <v>78.2</v>
      </c>
      <c r="AO83" s="13">
        <v>100</v>
      </c>
      <c r="AP83" s="13">
        <v>0.99</v>
      </c>
      <c r="BY83" s="13" t="s">
        <v>83</v>
      </c>
      <c r="BZ83" s="13" t="s">
        <v>84</v>
      </c>
      <c r="CA83" s="13">
        <v>2021</v>
      </c>
      <c r="CB83" s="21">
        <v>45303</v>
      </c>
      <c r="CC83" s="13" t="s">
        <v>61</v>
      </c>
      <c r="CD83" s="13">
        <v>11</v>
      </c>
      <c r="CE83" s="13">
        <v>1</v>
      </c>
      <c r="CF83" s="13">
        <v>703</v>
      </c>
      <c r="CG83" s="13" t="s">
        <v>85</v>
      </c>
    </row>
    <row r="84" spans="1:85">
      <c r="A84" s="13" t="s">
        <v>1674</v>
      </c>
      <c r="B84" s="13" t="s">
        <v>1780</v>
      </c>
      <c r="C84" s="13" t="s">
        <v>91</v>
      </c>
      <c r="D84" s="14" t="s">
        <v>2302</v>
      </c>
      <c r="E84" s="13" t="s">
        <v>657</v>
      </c>
      <c r="F84" s="13" t="s">
        <v>700</v>
      </c>
      <c r="G84" s="13" t="s">
        <v>673</v>
      </c>
      <c r="H84" s="13" t="s">
        <v>675</v>
      </c>
      <c r="J84" s="13" t="s">
        <v>637</v>
      </c>
      <c r="K84" s="14" t="s">
        <v>4040</v>
      </c>
      <c r="L84" s="13" t="s">
        <v>652</v>
      </c>
      <c r="N84" s="13">
        <v>213</v>
      </c>
      <c r="O84" s="2">
        <f t="shared" si="6"/>
        <v>0.61031518624641834</v>
      </c>
      <c r="P84" s="13">
        <v>48</v>
      </c>
      <c r="Q84" s="2">
        <v>0.59599999999999997</v>
      </c>
      <c r="R84" s="13">
        <v>349</v>
      </c>
      <c r="S84" s="13">
        <v>80</v>
      </c>
      <c r="T84" s="13">
        <v>51</v>
      </c>
      <c r="U84" s="15">
        <f>T84/R84</f>
        <v>0.14613180515759314</v>
      </c>
      <c r="W84" s="13">
        <v>66.5</v>
      </c>
      <c r="X84" s="13">
        <v>11</v>
      </c>
      <c r="Y84" s="16"/>
      <c r="Z84" s="16"/>
      <c r="AA84" s="16"/>
      <c r="AB84" s="16">
        <v>62.7</v>
      </c>
      <c r="AC84" s="16">
        <v>13.4</v>
      </c>
      <c r="AD84" s="16"/>
      <c r="AE84" s="16"/>
      <c r="AF84" s="16"/>
      <c r="AG84" s="13" t="s">
        <v>639</v>
      </c>
      <c r="AH84" s="13">
        <v>37</v>
      </c>
      <c r="AJ84" s="13">
        <v>79.900000000000006</v>
      </c>
      <c r="AM84" s="13">
        <v>82.5</v>
      </c>
      <c r="AP84" s="13">
        <v>0.88100000000000001</v>
      </c>
      <c r="AR84" s="13">
        <v>0.84699999999999998</v>
      </c>
      <c r="AS84" s="13">
        <v>0.91</v>
      </c>
      <c r="BG84" s="13">
        <v>67.400000000000006</v>
      </c>
      <c r="BI84" s="13">
        <v>42.3</v>
      </c>
      <c r="BJ84" s="13">
        <v>111.5</v>
      </c>
      <c r="BR84" s="13">
        <v>15.5</v>
      </c>
      <c r="BT84" s="13">
        <v>9.9</v>
      </c>
      <c r="BU84" s="13">
        <v>31.9</v>
      </c>
      <c r="BX84" s="13" t="s">
        <v>701</v>
      </c>
      <c r="BY84" s="13" t="s">
        <v>87</v>
      </c>
      <c r="BZ84" s="13" t="s">
        <v>88</v>
      </c>
      <c r="CA84" s="13">
        <v>2023</v>
      </c>
      <c r="CB84" s="13" t="s">
        <v>53</v>
      </c>
      <c r="CC84" s="13" t="s">
        <v>19</v>
      </c>
      <c r="CD84" s="13">
        <v>30</v>
      </c>
      <c r="CE84" s="13">
        <v>7</v>
      </c>
      <c r="CF84" s="13" t="s">
        <v>89</v>
      </c>
      <c r="CG84" s="13" t="s">
        <v>90</v>
      </c>
    </row>
    <row r="85" spans="1:85">
      <c r="A85" s="13" t="s">
        <v>1674</v>
      </c>
      <c r="B85" s="13" t="s">
        <v>1780</v>
      </c>
      <c r="C85" s="13" t="s">
        <v>91</v>
      </c>
      <c r="D85" s="14" t="s">
        <v>2302</v>
      </c>
      <c r="E85" s="13" t="s">
        <v>657</v>
      </c>
      <c r="F85" s="13" t="s">
        <v>700</v>
      </c>
      <c r="G85" s="13" t="s">
        <v>673</v>
      </c>
      <c r="H85" s="13" t="s">
        <v>675</v>
      </c>
      <c r="J85" s="13" t="s">
        <v>637</v>
      </c>
      <c r="K85" s="14" t="s">
        <v>4040</v>
      </c>
      <c r="L85" s="13" t="s">
        <v>808</v>
      </c>
      <c r="N85" s="13">
        <v>213</v>
      </c>
      <c r="O85" s="2">
        <f t="shared" si="6"/>
        <v>0.61031518624641834</v>
      </c>
      <c r="P85" s="13">
        <v>48</v>
      </c>
      <c r="Q85" s="2">
        <v>0.59599999999999997</v>
      </c>
      <c r="R85" s="13">
        <v>349</v>
      </c>
      <c r="S85" s="13">
        <v>80</v>
      </c>
      <c r="T85" s="13">
        <v>51</v>
      </c>
      <c r="U85" s="15">
        <f>T85/R85</f>
        <v>0.14613180515759314</v>
      </c>
      <c r="W85" s="13">
        <v>66.5</v>
      </c>
      <c r="X85" s="13">
        <v>11</v>
      </c>
      <c r="Y85" s="16"/>
      <c r="Z85" s="16"/>
      <c r="AA85" s="16"/>
      <c r="AB85" s="16">
        <v>62.7</v>
      </c>
      <c r="AC85" s="16">
        <v>13.4</v>
      </c>
      <c r="AD85" s="16"/>
      <c r="AE85" s="16"/>
      <c r="AF85" s="16"/>
      <c r="AG85" s="13" t="s">
        <v>639</v>
      </c>
      <c r="AH85" s="13">
        <v>57</v>
      </c>
      <c r="AJ85" s="13">
        <v>81.099999999999994</v>
      </c>
      <c r="AM85" s="13">
        <v>80</v>
      </c>
      <c r="AP85" s="13">
        <v>0.88800000000000001</v>
      </c>
      <c r="AR85" s="13">
        <v>0.85499999999999998</v>
      </c>
      <c r="AS85" s="13">
        <v>0.91600000000000004</v>
      </c>
      <c r="BG85" s="13">
        <v>106</v>
      </c>
      <c r="BI85" s="13">
        <v>66.3</v>
      </c>
      <c r="BJ85" s="13">
        <v>158.5</v>
      </c>
      <c r="BR85" s="13">
        <v>27.9</v>
      </c>
      <c r="BT85" s="13">
        <v>17.100000000000001</v>
      </c>
      <c r="BU85" s="13">
        <v>50.7</v>
      </c>
      <c r="BX85" s="13" t="s">
        <v>701</v>
      </c>
      <c r="BY85" s="13" t="s">
        <v>87</v>
      </c>
      <c r="BZ85" s="13" t="s">
        <v>88</v>
      </c>
      <c r="CA85" s="13">
        <v>2023</v>
      </c>
      <c r="CB85" s="13" t="s">
        <v>53</v>
      </c>
      <c r="CC85" s="13" t="s">
        <v>19</v>
      </c>
      <c r="CD85" s="13">
        <v>30</v>
      </c>
      <c r="CE85" s="13">
        <v>7</v>
      </c>
      <c r="CF85" s="13" t="s">
        <v>89</v>
      </c>
      <c r="CG85" s="13" t="s">
        <v>90</v>
      </c>
    </row>
    <row r="86" spans="1:85">
      <c r="A86" s="13" t="s">
        <v>1675</v>
      </c>
      <c r="C86" s="13" t="s">
        <v>96</v>
      </c>
      <c r="D86" s="16" t="s">
        <v>826</v>
      </c>
      <c r="E86" s="13" t="s">
        <v>630</v>
      </c>
      <c r="F86" s="13" t="s">
        <v>705</v>
      </c>
      <c r="G86" s="13" t="s">
        <v>702</v>
      </c>
      <c r="H86" s="13" t="s">
        <v>3177</v>
      </c>
      <c r="J86" s="13" t="s">
        <v>703</v>
      </c>
      <c r="K86" s="13" t="s">
        <v>3174</v>
      </c>
      <c r="L86" s="13" t="s">
        <v>1984</v>
      </c>
      <c r="M86" s="13" t="s">
        <v>704</v>
      </c>
      <c r="N86" s="13">
        <v>16</v>
      </c>
      <c r="O86" s="2">
        <f t="shared" si="6"/>
        <v>0.66666666666666663</v>
      </c>
      <c r="P86" s="13">
        <v>16</v>
      </c>
      <c r="Q86" s="2">
        <f>P86/S86</f>
        <v>0.66666666666666663</v>
      </c>
      <c r="R86" s="13">
        <v>24</v>
      </c>
      <c r="S86" s="13">
        <v>24</v>
      </c>
      <c r="V86" s="13">
        <v>0</v>
      </c>
      <c r="W86" s="13">
        <v>66.099999999999994</v>
      </c>
      <c r="X86" s="13">
        <v>6</v>
      </c>
      <c r="Y86" s="16"/>
      <c r="Z86" s="16"/>
      <c r="AA86" s="16"/>
      <c r="AB86" s="16">
        <v>63.2</v>
      </c>
      <c r="AC86" s="16">
        <v>5.8</v>
      </c>
      <c r="AD86" s="16"/>
      <c r="AE86" s="16"/>
      <c r="AF86" s="16"/>
      <c r="AG86" s="13" t="s">
        <v>706</v>
      </c>
      <c r="BY86" s="13" t="s">
        <v>92</v>
      </c>
      <c r="BZ86" s="13" t="s">
        <v>93</v>
      </c>
      <c r="CA86" s="13">
        <v>2020</v>
      </c>
      <c r="CB86" s="21">
        <v>45300</v>
      </c>
      <c r="CC86" s="13" t="s">
        <v>94</v>
      </c>
      <c r="CD86" s="13">
        <v>9</v>
      </c>
      <c r="CE86" s="13">
        <v>1</v>
      </c>
      <c r="CG86" s="13" t="s">
        <v>95</v>
      </c>
    </row>
    <row r="87" spans="1:85">
      <c r="A87" s="13" t="s">
        <v>3368</v>
      </c>
      <c r="C87" s="13" t="s">
        <v>3298</v>
      </c>
      <c r="D87" s="14" t="s">
        <v>818</v>
      </c>
      <c r="G87" s="13" t="s">
        <v>672</v>
      </c>
      <c r="H87" s="13" t="s">
        <v>675</v>
      </c>
      <c r="J87" s="14" t="s">
        <v>703</v>
      </c>
      <c r="K87" s="13" t="s">
        <v>3695</v>
      </c>
      <c r="L87" s="14" t="s">
        <v>585</v>
      </c>
      <c r="N87" s="13">
        <v>44</v>
      </c>
      <c r="O87" s="2">
        <f t="shared" si="6"/>
        <v>0.55696202531645567</v>
      </c>
      <c r="R87" s="13">
        <v>79</v>
      </c>
      <c r="Y87" s="13">
        <v>63</v>
      </c>
      <c r="AG87" s="13" t="s">
        <v>639</v>
      </c>
      <c r="BY87" s="13" t="s">
        <v>3459</v>
      </c>
      <c r="BZ87" s="13" t="s">
        <v>3460</v>
      </c>
      <c r="CA87" s="13">
        <v>2025</v>
      </c>
      <c r="CC87" s="13" t="s">
        <v>349</v>
      </c>
      <c r="CD87" s="13">
        <v>32</v>
      </c>
      <c r="CE87" s="13">
        <v>2</v>
      </c>
      <c r="CG87" s="13" t="s">
        <v>3223</v>
      </c>
    </row>
    <row r="88" spans="1:85">
      <c r="A88" s="13" t="s">
        <v>1781</v>
      </c>
      <c r="B88" s="13" t="s">
        <v>1781</v>
      </c>
      <c r="C88" s="14" t="s">
        <v>2309</v>
      </c>
      <c r="D88" s="13" t="s">
        <v>818</v>
      </c>
      <c r="E88" s="13" t="s">
        <v>963</v>
      </c>
      <c r="G88" s="13" t="s">
        <v>725</v>
      </c>
      <c r="H88" s="13" t="s">
        <v>2304</v>
      </c>
      <c r="J88" s="13" t="s">
        <v>2305</v>
      </c>
      <c r="K88" s="13" t="s">
        <v>4058</v>
      </c>
      <c r="L88" s="13" t="s">
        <v>2306</v>
      </c>
      <c r="M88" s="13" t="s">
        <v>2308</v>
      </c>
      <c r="N88" s="13">
        <v>34</v>
      </c>
      <c r="O88" s="2">
        <f t="shared" si="6"/>
        <v>0.57627118644067798</v>
      </c>
      <c r="P88" s="13">
        <v>41</v>
      </c>
      <c r="Q88" s="17">
        <f>P88/S88</f>
        <v>0.5</v>
      </c>
      <c r="R88" s="13">
        <v>59</v>
      </c>
      <c r="S88" s="13">
        <v>82</v>
      </c>
      <c r="T88" s="13">
        <v>25</v>
      </c>
      <c r="V88" s="13">
        <v>25</v>
      </c>
      <c r="W88" s="13">
        <v>62.1</v>
      </c>
      <c r="X88" s="13">
        <v>14</v>
      </c>
      <c r="AB88" s="13">
        <v>55.74</v>
      </c>
      <c r="AC88" s="13">
        <v>12.31</v>
      </c>
      <c r="AH88" s="13">
        <v>0.84699999999999998</v>
      </c>
      <c r="BY88" s="13" t="s">
        <v>1100</v>
      </c>
      <c r="BZ88" s="13" t="s">
        <v>1101</v>
      </c>
      <c r="CA88" s="13">
        <v>2019</v>
      </c>
      <c r="CB88" s="13" t="s">
        <v>188</v>
      </c>
      <c r="CC88" s="13" t="s">
        <v>1102</v>
      </c>
      <c r="CD88" s="13">
        <v>10</v>
      </c>
      <c r="CE88" s="13">
        <v>2</v>
      </c>
      <c r="CF88" s="13" t="s">
        <v>1103</v>
      </c>
      <c r="CG88" s="13" t="s">
        <v>1104</v>
      </c>
    </row>
    <row r="89" spans="1:85">
      <c r="A89" s="13" t="s">
        <v>1781</v>
      </c>
      <c r="B89" s="13" t="s">
        <v>1781</v>
      </c>
      <c r="C89" s="14" t="s">
        <v>2310</v>
      </c>
      <c r="D89" s="13" t="s">
        <v>818</v>
      </c>
      <c r="E89" s="13" t="s">
        <v>963</v>
      </c>
      <c r="G89" s="13" t="s">
        <v>725</v>
      </c>
      <c r="H89" s="13" t="s">
        <v>2311</v>
      </c>
      <c r="J89" s="13" t="s">
        <v>2305</v>
      </c>
      <c r="K89" s="13" t="s">
        <v>4058</v>
      </c>
      <c r="L89" s="13" t="s">
        <v>2306</v>
      </c>
      <c r="M89" s="13" t="s">
        <v>2307</v>
      </c>
      <c r="N89" s="13">
        <v>34</v>
      </c>
      <c r="O89" s="2">
        <f t="shared" si="6"/>
        <v>0.69387755102040816</v>
      </c>
      <c r="P89" s="13">
        <v>11</v>
      </c>
      <c r="Q89" s="17">
        <f>P89/S89</f>
        <v>0.28947368421052633</v>
      </c>
      <c r="R89" s="13">
        <v>49</v>
      </c>
      <c r="S89" s="13">
        <v>38</v>
      </c>
      <c r="T89" s="13">
        <v>6</v>
      </c>
      <c r="W89" s="13">
        <v>58.65</v>
      </c>
      <c r="X89" s="13">
        <v>12.51</v>
      </c>
      <c r="AH89" s="13">
        <v>1</v>
      </c>
      <c r="AP89" s="13">
        <v>0.83299999999999996</v>
      </c>
      <c r="AR89" s="13">
        <f>AP89-1.96*0.044</f>
        <v>0.74675999999999998</v>
      </c>
      <c r="AS89" s="13">
        <f>AP89+1.96*0.044</f>
        <v>0.91923999999999995</v>
      </c>
      <c r="BY89" s="13" t="s">
        <v>1100</v>
      </c>
      <c r="BZ89" s="13" t="s">
        <v>1101</v>
      </c>
      <c r="CA89" s="13">
        <v>2019</v>
      </c>
      <c r="CB89" s="13" t="s">
        <v>188</v>
      </c>
      <c r="CC89" s="13" t="s">
        <v>1102</v>
      </c>
      <c r="CD89" s="13">
        <v>10</v>
      </c>
      <c r="CE89" s="13">
        <v>2</v>
      </c>
      <c r="CF89" s="13" t="s">
        <v>1103</v>
      </c>
      <c r="CG89" s="13" t="s">
        <v>1104</v>
      </c>
    </row>
    <row r="90" spans="1:85">
      <c r="A90" s="13" t="s">
        <v>1676</v>
      </c>
      <c r="B90" s="13" t="s">
        <v>1784</v>
      </c>
      <c r="C90" s="13" t="s">
        <v>102</v>
      </c>
      <c r="D90" s="16" t="s">
        <v>4179</v>
      </c>
      <c r="H90" s="13" t="s">
        <v>575</v>
      </c>
      <c r="Q90" s="2"/>
      <c r="Y90" s="16"/>
      <c r="AD90" s="16"/>
      <c r="AE90" s="16"/>
      <c r="BY90" s="13" t="s">
        <v>97</v>
      </c>
      <c r="BZ90" s="13" t="s">
        <v>98</v>
      </c>
      <c r="CA90" s="13">
        <v>2024</v>
      </c>
      <c r="CB90" s="13" t="s">
        <v>12</v>
      </c>
      <c r="CC90" s="13" t="s">
        <v>99</v>
      </c>
      <c r="CD90" s="13">
        <v>9</v>
      </c>
      <c r="CE90" s="13">
        <v>2</v>
      </c>
      <c r="CF90" s="13" t="s">
        <v>100</v>
      </c>
      <c r="CG90" s="13" t="s">
        <v>101</v>
      </c>
    </row>
    <row r="91" spans="1:85">
      <c r="A91" s="13" t="s">
        <v>3369</v>
      </c>
      <c r="C91" s="13" t="s">
        <v>3299</v>
      </c>
      <c r="D91" s="14" t="s">
        <v>818</v>
      </c>
      <c r="E91" s="13" t="s">
        <v>630</v>
      </c>
      <c r="F91" s="13" t="s">
        <v>3696</v>
      </c>
      <c r="G91" s="13" t="s">
        <v>673</v>
      </c>
      <c r="H91" s="13" t="s">
        <v>858</v>
      </c>
      <c r="J91" s="14" t="s">
        <v>703</v>
      </c>
      <c r="K91" s="13" t="s">
        <v>2927</v>
      </c>
      <c r="L91" s="14" t="s">
        <v>652</v>
      </c>
      <c r="M91" s="14" t="s">
        <v>3697</v>
      </c>
      <c r="N91" s="13">
        <v>34</v>
      </c>
      <c r="O91" s="2">
        <v>0.49299999999999999</v>
      </c>
      <c r="R91" s="13">
        <v>61</v>
      </c>
      <c r="S91" s="13">
        <v>36</v>
      </c>
      <c r="T91" s="13">
        <v>6</v>
      </c>
      <c r="U91" s="15">
        <v>8.6999999999999994E-2</v>
      </c>
      <c r="W91" s="13">
        <v>64.5</v>
      </c>
      <c r="X91" s="13">
        <v>8.6999999999999993</v>
      </c>
      <c r="AG91" s="13" t="s">
        <v>639</v>
      </c>
      <c r="BY91" s="13" t="s">
        <v>3461</v>
      </c>
      <c r="BZ91" s="13" t="s">
        <v>3462</v>
      </c>
      <c r="CA91" s="13">
        <v>2024</v>
      </c>
      <c r="CB91" s="21">
        <v>45976</v>
      </c>
      <c r="CC91" s="13" t="s">
        <v>1132</v>
      </c>
      <c r="CD91" s="13">
        <v>466</v>
      </c>
      <c r="CF91" s="13">
        <v>123210</v>
      </c>
      <c r="CG91" s="13" t="s">
        <v>3224</v>
      </c>
    </row>
    <row r="92" spans="1:85">
      <c r="A92" s="13" t="s">
        <v>3369</v>
      </c>
      <c r="C92" s="13" t="s">
        <v>3299</v>
      </c>
      <c r="D92" s="14" t="s">
        <v>818</v>
      </c>
      <c r="E92" s="13" t="s">
        <v>630</v>
      </c>
      <c r="F92" s="13" t="s">
        <v>3696</v>
      </c>
      <c r="G92" s="13" t="s">
        <v>673</v>
      </c>
      <c r="H92" s="13" t="s">
        <v>675</v>
      </c>
      <c r="J92" s="14" t="s">
        <v>703</v>
      </c>
      <c r="K92" s="13" t="s">
        <v>2927</v>
      </c>
      <c r="L92" s="14" t="s">
        <v>652</v>
      </c>
      <c r="M92" s="14" t="s">
        <v>3697</v>
      </c>
      <c r="N92" s="13">
        <v>34</v>
      </c>
      <c r="O92" s="2">
        <v>0.49299999999999999</v>
      </c>
      <c r="R92" s="13">
        <v>63</v>
      </c>
      <c r="S92" s="13">
        <v>15</v>
      </c>
      <c r="T92" s="13">
        <v>6</v>
      </c>
      <c r="U92" s="15">
        <v>8.6999999999999994E-2</v>
      </c>
      <c r="W92" s="13">
        <v>64.5</v>
      </c>
      <c r="X92" s="13">
        <v>8.6999999999999993</v>
      </c>
      <c r="AG92" s="13" t="s">
        <v>639</v>
      </c>
      <c r="BY92" s="13" t="s">
        <v>3461</v>
      </c>
      <c r="BZ92" s="13" t="s">
        <v>3462</v>
      </c>
      <c r="CA92" s="13">
        <v>2024</v>
      </c>
      <c r="CB92" s="21">
        <v>45976</v>
      </c>
      <c r="CC92" s="13" t="s">
        <v>1132</v>
      </c>
      <c r="CD92" s="13">
        <v>466</v>
      </c>
      <c r="CF92" s="13">
        <v>123210</v>
      </c>
      <c r="CG92" s="13" t="s">
        <v>3224</v>
      </c>
    </row>
    <row r="93" spans="1:85">
      <c r="A93" s="13" t="s">
        <v>1677</v>
      </c>
      <c r="B93" s="13" t="s">
        <v>1785</v>
      </c>
      <c r="C93" s="13" t="s">
        <v>107</v>
      </c>
      <c r="D93" s="13" t="s">
        <v>2039</v>
      </c>
      <c r="E93" s="13" t="s">
        <v>630</v>
      </c>
      <c r="F93" s="13" t="s">
        <v>710</v>
      </c>
      <c r="G93" s="13" t="s">
        <v>673</v>
      </c>
      <c r="H93" s="13" t="s">
        <v>707</v>
      </c>
      <c r="J93" s="13" t="s">
        <v>669</v>
      </c>
      <c r="K93" s="14" t="s">
        <v>4041</v>
      </c>
      <c r="L93" s="13" t="s">
        <v>1959</v>
      </c>
      <c r="M93" s="13" t="s">
        <v>709</v>
      </c>
      <c r="N93" s="13">
        <v>41</v>
      </c>
      <c r="O93" s="2">
        <f t="shared" ref="O93:O98" si="7">N93/R93</f>
        <v>0.54666666666666663</v>
      </c>
      <c r="P93" s="13">
        <v>15</v>
      </c>
      <c r="Q93" s="2">
        <f>P93/S93</f>
        <v>0.51724137931034486</v>
      </c>
      <c r="R93" s="13">
        <v>75</v>
      </c>
      <c r="S93" s="13">
        <v>29</v>
      </c>
      <c r="W93" s="13">
        <v>59.5</v>
      </c>
      <c r="X93" s="13">
        <v>11.9</v>
      </c>
      <c r="Y93" s="16"/>
      <c r="Z93" s="16"/>
      <c r="AA93" s="16"/>
      <c r="AB93" s="16">
        <v>66.7</v>
      </c>
      <c r="AC93" s="16">
        <v>9.6999999999999993</v>
      </c>
      <c r="AD93" s="16"/>
      <c r="AE93" s="16"/>
      <c r="AF93" s="16"/>
      <c r="AG93" s="13" t="s">
        <v>708</v>
      </c>
      <c r="AP93" s="13">
        <v>0.87</v>
      </c>
      <c r="AR93" s="13">
        <v>0.78</v>
      </c>
      <c r="AS93" s="13">
        <v>0.94</v>
      </c>
      <c r="BB93" s="13">
        <v>35.99</v>
      </c>
      <c r="BC93" s="13">
        <v>62.4</v>
      </c>
      <c r="BM93" s="13">
        <v>5.7</v>
      </c>
      <c r="BN93" s="13">
        <v>4.4000000000000004</v>
      </c>
      <c r="BX93" s="13" t="s">
        <v>701</v>
      </c>
      <c r="BY93" s="13" t="s">
        <v>103</v>
      </c>
      <c r="BZ93" s="13" t="s">
        <v>104</v>
      </c>
      <c r="CA93" s="13">
        <v>2021</v>
      </c>
      <c r="CC93" s="13" t="s">
        <v>105</v>
      </c>
      <c r="CD93" s="13">
        <v>3</v>
      </c>
      <c r="CE93" s="13">
        <v>4</v>
      </c>
      <c r="CG93" s="13" t="s">
        <v>106</v>
      </c>
    </row>
    <row r="94" spans="1:85">
      <c r="A94" s="13" t="s">
        <v>1786</v>
      </c>
      <c r="B94" s="13" t="s">
        <v>1786</v>
      </c>
      <c r="C94" s="14" t="s">
        <v>1121</v>
      </c>
      <c r="D94" s="13" t="s">
        <v>820</v>
      </c>
      <c r="E94" s="13" t="s">
        <v>630</v>
      </c>
      <c r="F94" s="13" t="s">
        <v>2336</v>
      </c>
      <c r="G94" s="13" t="s">
        <v>674</v>
      </c>
      <c r="H94" s="13" t="s">
        <v>2332</v>
      </c>
      <c r="J94" s="13" t="s">
        <v>2333</v>
      </c>
      <c r="K94" s="13" t="s">
        <v>3094</v>
      </c>
      <c r="L94" s="13" t="s">
        <v>1972</v>
      </c>
      <c r="M94" s="13" t="s">
        <v>2334</v>
      </c>
      <c r="N94" s="13">
        <v>21</v>
      </c>
      <c r="O94" s="2">
        <f t="shared" si="7"/>
        <v>0.58333333333333337</v>
      </c>
      <c r="R94" s="13">
        <v>36</v>
      </c>
      <c r="S94" s="13">
        <v>36</v>
      </c>
      <c r="T94" s="13">
        <v>1</v>
      </c>
      <c r="V94" s="13">
        <v>1</v>
      </c>
      <c r="W94" s="13">
        <v>57.31</v>
      </c>
      <c r="X94" s="13">
        <v>9.86</v>
      </c>
      <c r="AB94" s="13">
        <v>57.89</v>
      </c>
      <c r="AC94" s="13">
        <v>6.51</v>
      </c>
      <c r="AG94" s="13" t="s">
        <v>2335</v>
      </c>
      <c r="AP94" s="13">
        <v>0.82899999999999996</v>
      </c>
      <c r="AR94" s="13">
        <v>0.73299999999999998</v>
      </c>
      <c r="AS94" s="13">
        <v>0.90200000000000002</v>
      </c>
      <c r="BB94" s="13">
        <v>0.59</v>
      </c>
      <c r="BC94" s="13">
        <v>0.11</v>
      </c>
      <c r="BM94" s="13">
        <v>0.45</v>
      </c>
      <c r="BN94" s="13">
        <v>0.1</v>
      </c>
      <c r="BX94" s="13" t="s">
        <v>635</v>
      </c>
      <c r="BY94" s="13" t="s">
        <v>1118</v>
      </c>
      <c r="BZ94" s="13" t="s">
        <v>1119</v>
      </c>
      <c r="CA94" s="13">
        <v>2021</v>
      </c>
      <c r="CB94" s="13" t="s">
        <v>4033</v>
      </c>
      <c r="CC94" s="13" t="s">
        <v>411</v>
      </c>
      <c r="CD94" s="13">
        <v>9</v>
      </c>
      <c r="CE94" s="13">
        <v>12</v>
      </c>
      <c r="CG94" s="13" t="s">
        <v>1120</v>
      </c>
    </row>
    <row r="95" spans="1:85">
      <c r="A95" s="13" t="s">
        <v>1786</v>
      </c>
      <c r="B95" s="13" t="s">
        <v>1786</v>
      </c>
      <c r="C95" s="14" t="s">
        <v>1121</v>
      </c>
      <c r="D95" s="13" t="s">
        <v>820</v>
      </c>
      <c r="E95" s="13" t="s">
        <v>630</v>
      </c>
      <c r="F95" s="13" t="s">
        <v>2336</v>
      </c>
      <c r="G95" s="13" t="s">
        <v>674</v>
      </c>
      <c r="H95" s="13" t="s">
        <v>2337</v>
      </c>
      <c r="J95" s="13" t="s">
        <v>2333</v>
      </c>
      <c r="K95" s="13" t="s">
        <v>3094</v>
      </c>
      <c r="L95" s="13" t="s">
        <v>1972</v>
      </c>
      <c r="M95" s="13" t="s">
        <v>2334</v>
      </c>
      <c r="N95" s="13">
        <v>21</v>
      </c>
      <c r="O95" s="2">
        <f t="shared" si="7"/>
        <v>0.58333333333333337</v>
      </c>
      <c r="R95" s="13">
        <v>36</v>
      </c>
      <c r="S95" s="13">
        <v>36</v>
      </c>
      <c r="T95" s="13">
        <v>1</v>
      </c>
      <c r="V95" s="13">
        <v>1</v>
      </c>
      <c r="W95" s="13">
        <v>57.31</v>
      </c>
      <c r="X95" s="13">
        <v>9.86</v>
      </c>
      <c r="AB95" s="13">
        <v>57.89</v>
      </c>
      <c r="AC95" s="13">
        <v>6.51</v>
      </c>
      <c r="AG95" s="13" t="s">
        <v>2335</v>
      </c>
      <c r="AP95" s="13">
        <v>0.80300000000000005</v>
      </c>
      <c r="AR95" s="13">
        <v>0.69799999999999995</v>
      </c>
      <c r="AS95" s="13">
        <v>0.89800000000000002</v>
      </c>
      <c r="BB95" s="13">
        <v>51.16</v>
      </c>
      <c r="BC95" s="13">
        <v>20.91</v>
      </c>
      <c r="BM95" s="13">
        <v>75.81</v>
      </c>
      <c r="BN95" s="13">
        <v>16.78</v>
      </c>
      <c r="BX95" s="13" t="s">
        <v>635</v>
      </c>
      <c r="BY95" s="13" t="s">
        <v>1118</v>
      </c>
      <c r="BZ95" s="13" t="s">
        <v>1119</v>
      </c>
      <c r="CA95" s="13">
        <v>2021</v>
      </c>
      <c r="CB95" s="13" t="s">
        <v>4033</v>
      </c>
      <c r="CC95" s="13" t="s">
        <v>411</v>
      </c>
      <c r="CD95" s="13">
        <v>9</v>
      </c>
      <c r="CE95" s="13">
        <v>12</v>
      </c>
      <c r="CG95" s="13" t="s">
        <v>1120</v>
      </c>
    </row>
    <row r="96" spans="1:85">
      <c r="A96" s="13" t="s">
        <v>1786</v>
      </c>
      <c r="B96" s="13" t="s">
        <v>1786</v>
      </c>
      <c r="C96" s="14" t="s">
        <v>1121</v>
      </c>
      <c r="D96" s="13" t="s">
        <v>820</v>
      </c>
      <c r="E96" s="13" t="s">
        <v>630</v>
      </c>
      <c r="F96" s="13" t="s">
        <v>2336</v>
      </c>
      <c r="G96" s="13" t="s">
        <v>674</v>
      </c>
      <c r="H96" s="13" t="s">
        <v>2338</v>
      </c>
      <c r="J96" s="13" t="s">
        <v>2333</v>
      </c>
      <c r="K96" s="13" t="s">
        <v>3094</v>
      </c>
      <c r="L96" s="13" t="s">
        <v>1972</v>
      </c>
      <c r="M96" s="13" t="s">
        <v>2334</v>
      </c>
      <c r="N96" s="13">
        <v>21</v>
      </c>
      <c r="O96" s="2">
        <f t="shared" si="7"/>
        <v>0.58333333333333337</v>
      </c>
      <c r="R96" s="13">
        <v>36</v>
      </c>
      <c r="S96" s="13">
        <v>36</v>
      </c>
      <c r="T96" s="13">
        <v>1</v>
      </c>
      <c r="V96" s="13">
        <v>1</v>
      </c>
      <c r="W96" s="13">
        <v>57.31</v>
      </c>
      <c r="X96" s="13">
        <v>9.86</v>
      </c>
      <c r="AB96" s="13">
        <v>57.89</v>
      </c>
      <c r="AC96" s="13">
        <v>6.51</v>
      </c>
      <c r="AG96" s="13" t="s">
        <v>2335</v>
      </c>
      <c r="AP96" s="13">
        <v>0.76700000000000002</v>
      </c>
      <c r="AR96" s="13">
        <v>0.69099999999999995</v>
      </c>
      <c r="AS96" s="13">
        <v>0.89100000000000001</v>
      </c>
      <c r="BB96" s="13">
        <v>23.16</v>
      </c>
      <c r="BC96" s="13">
        <v>5.03</v>
      </c>
      <c r="BM96" s="13">
        <v>28.38</v>
      </c>
      <c r="BN96" s="13">
        <v>5.57</v>
      </c>
      <c r="BX96" s="13">
        <v>1E-3</v>
      </c>
      <c r="BY96" s="13" t="s">
        <v>1118</v>
      </c>
      <c r="BZ96" s="13" t="s">
        <v>1119</v>
      </c>
      <c r="CA96" s="13">
        <v>2021</v>
      </c>
      <c r="CB96" s="13" t="s">
        <v>4033</v>
      </c>
      <c r="CC96" s="13" t="s">
        <v>411</v>
      </c>
      <c r="CD96" s="13">
        <v>9</v>
      </c>
      <c r="CE96" s="13">
        <v>12</v>
      </c>
      <c r="CG96" s="13" t="s">
        <v>1120</v>
      </c>
    </row>
    <row r="97" spans="1:85">
      <c r="A97" s="13" t="s">
        <v>1786</v>
      </c>
      <c r="B97" s="13" t="s">
        <v>1786</v>
      </c>
      <c r="C97" s="14" t="s">
        <v>1121</v>
      </c>
      <c r="D97" s="13" t="s">
        <v>820</v>
      </c>
      <c r="E97" s="13" t="s">
        <v>630</v>
      </c>
      <c r="F97" s="13" t="s">
        <v>2336</v>
      </c>
      <c r="G97" s="13" t="s">
        <v>674</v>
      </c>
      <c r="H97" s="13" t="s">
        <v>2339</v>
      </c>
      <c r="J97" s="13" t="s">
        <v>2333</v>
      </c>
      <c r="K97" s="13" t="s">
        <v>3094</v>
      </c>
      <c r="L97" s="13" t="s">
        <v>1972</v>
      </c>
      <c r="M97" s="13" t="s">
        <v>2334</v>
      </c>
      <c r="N97" s="13">
        <v>21</v>
      </c>
      <c r="O97" s="2">
        <f t="shared" si="7"/>
        <v>0.58333333333333337</v>
      </c>
      <c r="R97" s="13">
        <v>36</v>
      </c>
      <c r="S97" s="13">
        <v>36</v>
      </c>
      <c r="T97" s="13">
        <v>1</v>
      </c>
      <c r="V97" s="13">
        <v>1</v>
      </c>
      <c r="W97" s="13">
        <v>57.31</v>
      </c>
      <c r="X97" s="13">
        <v>9.86</v>
      </c>
      <c r="AB97" s="13">
        <v>57.89</v>
      </c>
      <c r="AC97" s="13">
        <v>6.51</v>
      </c>
      <c r="AG97" s="13" t="s">
        <v>2335</v>
      </c>
      <c r="AP97" s="13">
        <v>0.76300000000000001</v>
      </c>
      <c r="AR97" s="13">
        <v>0.64900000000000002</v>
      </c>
      <c r="AS97" s="13">
        <v>0.86399999999999999</v>
      </c>
      <c r="BB97" s="13">
        <v>6.57</v>
      </c>
      <c r="BC97" s="13">
        <v>1.41</v>
      </c>
      <c r="BM97" s="13">
        <v>8.1300000000000008</v>
      </c>
      <c r="BN97" s="13">
        <v>1.65</v>
      </c>
      <c r="BX97" s="13" t="s">
        <v>635</v>
      </c>
      <c r="BY97" s="13" t="s">
        <v>1118</v>
      </c>
      <c r="BZ97" s="13" t="s">
        <v>1119</v>
      </c>
      <c r="CA97" s="13">
        <v>2021</v>
      </c>
      <c r="CB97" s="13" t="s">
        <v>4033</v>
      </c>
      <c r="CC97" s="13" t="s">
        <v>411</v>
      </c>
      <c r="CD97" s="13">
        <v>9</v>
      </c>
      <c r="CE97" s="13">
        <v>12</v>
      </c>
      <c r="CG97" s="13" t="s">
        <v>1120</v>
      </c>
    </row>
    <row r="98" spans="1:85">
      <c r="A98" s="13" t="s">
        <v>1786</v>
      </c>
      <c r="B98" s="13" t="s">
        <v>1786</v>
      </c>
      <c r="C98" s="14" t="s">
        <v>1121</v>
      </c>
      <c r="D98" s="13" t="s">
        <v>820</v>
      </c>
      <c r="E98" s="13" t="s">
        <v>630</v>
      </c>
      <c r="F98" s="13" t="s">
        <v>2336</v>
      </c>
      <c r="G98" s="13" t="s">
        <v>674</v>
      </c>
      <c r="H98" s="13" t="s">
        <v>684</v>
      </c>
      <c r="I98" s="13" t="s">
        <v>2340</v>
      </c>
      <c r="J98" s="13" t="s">
        <v>2333</v>
      </c>
      <c r="K98" s="13" t="s">
        <v>3094</v>
      </c>
      <c r="L98" s="13" t="s">
        <v>1972</v>
      </c>
      <c r="M98" s="13" t="s">
        <v>2334</v>
      </c>
      <c r="N98" s="13">
        <v>21</v>
      </c>
      <c r="O98" s="2">
        <f t="shared" si="7"/>
        <v>0.58333333333333337</v>
      </c>
      <c r="R98" s="13">
        <v>36</v>
      </c>
      <c r="S98" s="13">
        <v>36</v>
      </c>
      <c r="T98" s="13">
        <v>1</v>
      </c>
      <c r="V98" s="13">
        <v>1</v>
      </c>
      <c r="W98" s="13">
        <v>57.31</v>
      </c>
      <c r="X98" s="13">
        <v>9.86</v>
      </c>
      <c r="AB98" s="13">
        <v>57.89</v>
      </c>
      <c r="AC98" s="13">
        <v>6.51</v>
      </c>
      <c r="AG98" s="13" t="s">
        <v>684</v>
      </c>
      <c r="AP98" s="13">
        <v>0.94499999999999995</v>
      </c>
      <c r="AR98" s="13">
        <v>0.86099999999999999</v>
      </c>
      <c r="AS98" s="13">
        <v>1</v>
      </c>
      <c r="BY98" s="13" t="s">
        <v>1118</v>
      </c>
      <c r="BZ98" s="13" t="s">
        <v>1119</v>
      </c>
      <c r="CA98" s="13">
        <v>2021</v>
      </c>
      <c r="CB98" s="13" t="s">
        <v>4033</v>
      </c>
      <c r="CC98" s="13" t="s">
        <v>411</v>
      </c>
      <c r="CD98" s="13">
        <v>9</v>
      </c>
      <c r="CE98" s="13">
        <v>12</v>
      </c>
      <c r="CG98" s="13" t="s">
        <v>1120</v>
      </c>
    </row>
    <row r="99" spans="1:85">
      <c r="A99" s="13" t="s">
        <v>1787</v>
      </c>
      <c r="B99" s="13" t="s">
        <v>1787</v>
      </c>
      <c r="C99" s="14" t="s">
        <v>2352</v>
      </c>
      <c r="D99" s="14" t="s">
        <v>831</v>
      </c>
      <c r="E99" s="13" t="s">
        <v>2350</v>
      </c>
      <c r="F99" s="13" t="s">
        <v>2346</v>
      </c>
      <c r="G99" s="13" t="s">
        <v>674</v>
      </c>
      <c r="H99" s="13" t="s">
        <v>2345</v>
      </c>
      <c r="J99" s="13" t="s">
        <v>647</v>
      </c>
      <c r="K99" s="13" t="s">
        <v>4061</v>
      </c>
      <c r="L99" s="13" t="s">
        <v>652</v>
      </c>
      <c r="P99" s="13">
        <v>38</v>
      </c>
      <c r="Q99" s="17">
        <f t="shared" ref="Q99:Q116" si="8">P99/S99</f>
        <v>0.4175824175824176</v>
      </c>
      <c r="R99" s="13">
        <v>54</v>
      </c>
      <c r="S99" s="13">
        <v>91</v>
      </c>
      <c r="T99" s="13">
        <v>0</v>
      </c>
      <c r="U99" s="15">
        <v>0</v>
      </c>
      <c r="V99" s="13">
        <v>0</v>
      </c>
      <c r="AG99" s="13" t="s">
        <v>639</v>
      </c>
      <c r="AH99" s="13">
        <v>17.850000000000001</v>
      </c>
      <c r="AJ99" s="13">
        <v>96.55</v>
      </c>
      <c r="AK99" s="13">
        <v>88.9</v>
      </c>
      <c r="AL99" s="13">
        <v>99.58</v>
      </c>
      <c r="AM99" s="13">
        <v>100</v>
      </c>
      <c r="AN99" s="13">
        <v>96.03</v>
      </c>
      <c r="AO99" s="13">
        <v>100</v>
      </c>
      <c r="BY99" s="13" t="s">
        <v>1122</v>
      </c>
      <c r="BZ99" s="13" t="s">
        <v>1123</v>
      </c>
      <c r="CA99" s="13">
        <v>2024</v>
      </c>
      <c r="CB99" s="13" t="s">
        <v>12</v>
      </c>
      <c r="CC99" s="13" t="s">
        <v>254</v>
      </c>
      <c r="CD99" s="13">
        <v>30</v>
      </c>
      <c r="CE99" s="13">
        <v>6</v>
      </c>
      <c r="CF99" s="13" t="s">
        <v>1124</v>
      </c>
      <c r="CG99" s="13" t="s">
        <v>1125</v>
      </c>
    </row>
    <row r="100" spans="1:85">
      <c r="A100" s="13" t="s">
        <v>1787</v>
      </c>
      <c r="B100" s="13" t="s">
        <v>1787</v>
      </c>
      <c r="C100" s="14" t="s">
        <v>2352</v>
      </c>
      <c r="D100" s="14" t="s">
        <v>831</v>
      </c>
      <c r="E100" s="13" t="s">
        <v>2350</v>
      </c>
      <c r="F100" s="13" t="s">
        <v>2346</v>
      </c>
      <c r="G100" s="13" t="s">
        <v>674</v>
      </c>
      <c r="H100" s="13" t="s">
        <v>2345</v>
      </c>
      <c r="J100" s="13" t="s">
        <v>647</v>
      </c>
      <c r="K100" s="13" t="s">
        <v>4061</v>
      </c>
      <c r="L100" s="13" t="s">
        <v>652</v>
      </c>
      <c r="P100" s="13">
        <v>38</v>
      </c>
      <c r="Q100" s="17">
        <f t="shared" si="8"/>
        <v>0.4175824175824176</v>
      </c>
      <c r="R100" s="13">
        <v>54</v>
      </c>
      <c r="S100" s="13">
        <v>91</v>
      </c>
      <c r="T100" s="13">
        <v>0</v>
      </c>
      <c r="U100" s="15">
        <v>0</v>
      </c>
      <c r="V100" s="13">
        <v>0</v>
      </c>
      <c r="AG100" s="13" t="s">
        <v>639</v>
      </c>
      <c r="AH100" s="13">
        <v>13.87</v>
      </c>
      <c r="AJ100" s="13">
        <v>100</v>
      </c>
      <c r="AK100" s="13">
        <v>93.84</v>
      </c>
      <c r="AL100" s="13">
        <v>100</v>
      </c>
      <c r="AM100" s="13">
        <v>90.11</v>
      </c>
      <c r="AN100" s="13">
        <v>82.05</v>
      </c>
      <c r="AO100" s="13">
        <v>95.38</v>
      </c>
      <c r="BY100" s="13" t="s">
        <v>1122</v>
      </c>
      <c r="BZ100" s="13" t="s">
        <v>1123</v>
      </c>
      <c r="CA100" s="13">
        <v>2024</v>
      </c>
      <c r="CB100" s="13" t="s">
        <v>12</v>
      </c>
      <c r="CC100" s="13" t="s">
        <v>254</v>
      </c>
      <c r="CD100" s="13">
        <v>30</v>
      </c>
      <c r="CE100" s="13">
        <v>6</v>
      </c>
      <c r="CF100" s="13" t="s">
        <v>1124</v>
      </c>
      <c r="CG100" s="13" t="s">
        <v>1125</v>
      </c>
    </row>
    <row r="101" spans="1:85">
      <c r="A101" s="13" t="s">
        <v>1787</v>
      </c>
      <c r="B101" s="13" t="s">
        <v>1787</v>
      </c>
      <c r="C101" s="14" t="s">
        <v>2351</v>
      </c>
      <c r="D101" s="14" t="s">
        <v>831</v>
      </c>
      <c r="E101" s="13" t="s">
        <v>2350</v>
      </c>
      <c r="F101" s="13" t="s">
        <v>2346</v>
      </c>
      <c r="G101" s="13" t="s">
        <v>674</v>
      </c>
      <c r="H101" s="13" t="s">
        <v>2345</v>
      </c>
      <c r="J101" s="13" t="s">
        <v>647</v>
      </c>
      <c r="K101" s="13" t="s">
        <v>4061</v>
      </c>
      <c r="L101" s="13" t="s">
        <v>652</v>
      </c>
      <c r="P101" s="13">
        <v>38</v>
      </c>
      <c r="Q101" s="17">
        <f t="shared" si="8"/>
        <v>0.4175824175824176</v>
      </c>
      <c r="R101" s="13">
        <v>58</v>
      </c>
      <c r="S101" s="13">
        <v>91</v>
      </c>
      <c r="T101" s="13">
        <v>0</v>
      </c>
      <c r="U101" s="15">
        <v>0</v>
      </c>
      <c r="V101" s="13">
        <v>0</v>
      </c>
      <c r="AG101" s="13" t="s">
        <v>639</v>
      </c>
      <c r="AH101" s="13">
        <v>17.850000000000001</v>
      </c>
      <c r="AJ101" s="13">
        <v>86.15</v>
      </c>
      <c r="AK101" s="13">
        <v>75.34</v>
      </c>
      <c r="AL101" s="13">
        <v>93.47</v>
      </c>
      <c r="AM101" s="13">
        <v>100</v>
      </c>
      <c r="AN101" s="13">
        <v>96.03</v>
      </c>
      <c r="AO101" s="13">
        <v>100</v>
      </c>
      <c r="BY101" s="13" t="s">
        <v>1122</v>
      </c>
      <c r="BZ101" s="13" t="s">
        <v>1123</v>
      </c>
      <c r="CA101" s="13">
        <v>2024</v>
      </c>
      <c r="CB101" s="13" t="s">
        <v>12</v>
      </c>
      <c r="CC101" s="13" t="s">
        <v>254</v>
      </c>
      <c r="CD101" s="13">
        <v>30</v>
      </c>
      <c r="CE101" s="13">
        <v>6</v>
      </c>
      <c r="CF101" s="13" t="s">
        <v>1124</v>
      </c>
      <c r="CG101" s="13" t="s">
        <v>1125</v>
      </c>
    </row>
    <row r="102" spans="1:85">
      <c r="A102" s="13" t="s">
        <v>1787</v>
      </c>
      <c r="B102" s="13" t="s">
        <v>1787</v>
      </c>
      <c r="C102" s="14" t="s">
        <v>2351</v>
      </c>
      <c r="D102" s="14" t="s">
        <v>831</v>
      </c>
      <c r="E102" s="13" t="s">
        <v>2350</v>
      </c>
      <c r="F102" s="13" t="s">
        <v>2346</v>
      </c>
      <c r="G102" s="13" t="s">
        <v>674</v>
      </c>
      <c r="H102" s="13" t="s">
        <v>2345</v>
      </c>
      <c r="J102" s="13" t="s">
        <v>647</v>
      </c>
      <c r="K102" s="13" t="s">
        <v>4061</v>
      </c>
      <c r="L102" s="13" t="s">
        <v>652</v>
      </c>
      <c r="P102" s="13">
        <v>38</v>
      </c>
      <c r="Q102" s="17">
        <f t="shared" si="8"/>
        <v>0.4175824175824176</v>
      </c>
      <c r="R102" s="13">
        <v>58</v>
      </c>
      <c r="S102" s="13">
        <v>91</v>
      </c>
      <c r="T102" s="13">
        <v>0</v>
      </c>
      <c r="U102" s="15">
        <v>0</v>
      </c>
      <c r="V102" s="13">
        <v>0</v>
      </c>
      <c r="AG102" s="13" t="s">
        <v>639</v>
      </c>
      <c r="AH102" s="13">
        <v>13.87</v>
      </c>
      <c r="AJ102" s="13">
        <v>89.23</v>
      </c>
      <c r="AK102" s="13">
        <v>79.06</v>
      </c>
      <c r="AL102" s="13">
        <v>95.56</v>
      </c>
      <c r="AM102" s="13">
        <v>90.11</v>
      </c>
      <c r="AN102" s="13">
        <v>82.05</v>
      </c>
      <c r="AO102" s="13">
        <v>95.38</v>
      </c>
      <c r="BY102" s="13" t="s">
        <v>1122</v>
      </c>
      <c r="BZ102" s="13" t="s">
        <v>1123</v>
      </c>
      <c r="CA102" s="13">
        <v>2024</v>
      </c>
      <c r="CB102" s="13" t="s">
        <v>12</v>
      </c>
      <c r="CC102" s="13" t="s">
        <v>254</v>
      </c>
      <c r="CD102" s="13">
        <v>30</v>
      </c>
      <c r="CE102" s="13">
        <v>6</v>
      </c>
      <c r="CF102" s="13" t="s">
        <v>1124</v>
      </c>
      <c r="CG102" s="13" t="s">
        <v>1125</v>
      </c>
    </row>
    <row r="103" spans="1:85">
      <c r="A103" s="13" t="s">
        <v>1787</v>
      </c>
      <c r="B103" s="13" t="s">
        <v>1787</v>
      </c>
      <c r="C103" s="14" t="s">
        <v>2344</v>
      </c>
      <c r="D103" s="14" t="s">
        <v>820</v>
      </c>
      <c r="E103" s="13" t="s">
        <v>630</v>
      </c>
      <c r="F103" s="13" t="s">
        <v>2346</v>
      </c>
      <c r="G103" s="13" t="s">
        <v>674</v>
      </c>
      <c r="H103" s="13" t="s">
        <v>2345</v>
      </c>
      <c r="J103" s="13" t="s">
        <v>669</v>
      </c>
      <c r="K103" s="13" t="s">
        <v>3095</v>
      </c>
      <c r="L103" s="13" t="s">
        <v>652</v>
      </c>
      <c r="N103" s="13">
        <v>97</v>
      </c>
      <c r="O103" s="2">
        <f t="shared" ref="O103:O116" si="9">N103/R103</f>
        <v>0.58787878787878789</v>
      </c>
      <c r="P103" s="13">
        <v>25</v>
      </c>
      <c r="Q103" s="17">
        <f t="shared" si="8"/>
        <v>0.44642857142857145</v>
      </c>
      <c r="R103" s="13">
        <v>165</v>
      </c>
      <c r="S103" s="13">
        <v>56</v>
      </c>
      <c r="V103" s="13">
        <v>11</v>
      </c>
      <c r="W103" s="13">
        <v>61</v>
      </c>
      <c r="X103" s="13">
        <v>3</v>
      </c>
      <c r="AB103" s="13">
        <v>68</v>
      </c>
      <c r="AC103" s="13">
        <v>7</v>
      </c>
      <c r="AG103" s="13" t="s">
        <v>639</v>
      </c>
      <c r="AP103" s="13">
        <v>0.99</v>
      </c>
      <c r="AR103" s="13">
        <v>0.97</v>
      </c>
      <c r="AS103" s="13">
        <v>1</v>
      </c>
      <c r="BG103" s="13">
        <v>45.45</v>
      </c>
      <c r="BI103" s="13">
        <v>28.88</v>
      </c>
      <c r="BJ103" s="13">
        <v>83.21</v>
      </c>
      <c r="BR103" s="13">
        <v>9.4700000000000006</v>
      </c>
      <c r="BT103" s="13">
        <v>7.63</v>
      </c>
      <c r="BU103" s="13">
        <v>13.33</v>
      </c>
      <c r="BX103" s="13" t="s">
        <v>2347</v>
      </c>
      <c r="BY103" s="13" t="s">
        <v>1122</v>
      </c>
      <c r="BZ103" s="13" t="s">
        <v>1123</v>
      </c>
      <c r="CA103" s="13">
        <v>2024</v>
      </c>
      <c r="CB103" s="13" t="s">
        <v>12</v>
      </c>
      <c r="CC103" s="13" t="s">
        <v>254</v>
      </c>
      <c r="CD103" s="13">
        <v>30</v>
      </c>
      <c r="CE103" s="13">
        <v>6</v>
      </c>
      <c r="CF103" s="13" t="s">
        <v>1124</v>
      </c>
      <c r="CG103" s="13" t="s">
        <v>1125</v>
      </c>
    </row>
    <row r="104" spans="1:85">
      <c r="A104" s="13" t="s">
        <v>1787</v>
      </c>
      <c r="B104" s="13" t="s">
        <v>1787</v>
      </c>
      <c r="C104" s="14" t="s">
        <v>2344</v>
      </c>
      <c r="D104" s="14" t="s">
        <v>820</v>
      </c>
      <c r="E104" s="13" t="s">
        <v>2348</v>
      </c>
      <c r="F104" s="13" t="s">
        <v>2346</v>
      </c>
      <c r="G104" s="13" t="s">
        <v>674</v>
      </c>
      <c r="H104" s="13" t="s">
        <v>2345</v>
      </c>
      <c r="J104" s="13" t="s">
        <v>669</v>
      </c>
      <c r="K104" s="13" t="s">
        <v>3095</v>
      </c>
      <c r="L104" s="13" t="s">
        <v>652</v>
      </c>
      <c r="N104" s="13">
        <v>97</v>
      </c>
      <c r="O104" s="2">
        <f t="shared" si="9"/>
        <v>0.58787878787878789</v>
      </c>
      <c r="P104" s="13">
        <v>81</v>
      </c>
      <c r="Q104" s="17">
        <f t="shared" si="8"/>
        <v>0.49693251533742333</v>
      </c>
      <c r="R104" s="13">
        <v>165</v>
      </c>
      <c r="S104" s="13">
        <v>163</v>
      </c>
      <c r="V104" s="13">
        <v>11</v>
      </c>
      <c r="W104" s="13">
        <v>61</v>
      </c>
      <c r="X104" s="13">
        <v>3</v>
      </c>
      <c r="AB104" s="13">
        <v>67</v>
      </c>
      <c r="AC104" s="13">
        <v>9</v>
      </c>
      <c r="AG104" s="13" t="s">
        <v>639</v>
      </c>
      <c r="AP104" s="13">
        <v>0.99</v>
      </c>
      <c r="AR104" s="13">
        <v>0.98</v>
      </c>
      <c r="AS104" s="13">
        <v>1</v>
      </c>
      <c r="BG104" s="13">
        <v>45.45</v>
      </c>
      <c r="BI104" s="13">
        <v>28.88</v>
      </c>
      <c r="BJ104" s="13">
        <v>83.21</v>
      </c>
      <c r="BR104" s="13">
        <v>9.09</v>
      </c>
      <c r="BT104" s="13">
        <v>7.73</v>
      </c>
      <c r="BU104" s="13">
        <v>13.27</v>
      </c>
      <c r="BX104" s="13" t="s">
        <v>2347</v>
      </c>
      <c r="BY104" s="13" t="s">
        <v>1122</v>
      </c>
      <c r="BZ104" s="13" t="s">
        <v>1123</v>
      </c>
      <c r="CA104" s="13">
        <v>2024</v>
      </c>
      <c r="CB104" s="13" t="s">
        <v>12</v>
      </c>
      <c r="CC104" s="13" t="s">
        <v>254</v>
      </c>
      <c r="CD104" s="13">
        <v>30</v>
      </c>
      <c r="CE104" s="13">
        <v>6</v>
      </c>
      <c r="CF104" s="13" t="s">
        <v>1124</v>
      </c>
      <c r="CG104" s="13" t="s">
        <v>1125</v>
      </c>
    </row>
    <row r="105" spans="1:85">
      <c r="A105" s="13" t="s">
        <v>1787</v>
      </c>
      <c r="B105" s="13" t="s">
        <v>1787</v>
      </c>
      <c r="C105" s="14" t="s">
        <v>2344</v>
      </c>
      <c r="D105" s="14" t="s">
        <v>820</v>
      </c>
      <c r="E105" s="13" t="s">
        <v>801</v>
      </c>
      <c r="F105" s="13" t="s">
        <v>2346</v>
      </c>
      <c r="G105" s="13" t="s">
        <v>674</v>
      </c>
      <c r="H105" s="13" t="s">
        <v>2345</v>
      </c>
      <c r="J105" s="13" t="s">
        <v>669</v>
      </c>
      <c r="K105" s="13" t="s">
        <v>3095</v>
      </c>
      <c r="L105" s="13" t="s">
        <v>652</v>
      </c>
      <c r="N105" s="13">
        <v>97</v>
      </c>
      <c r="O105" s="2">
        <f t="shared" si="9"/>
        <v>0.58787878787878789</v>
      </c>
      <c r="P105" s="13">
        <v>84</v>
      </c>
      <c r="Q105" s="17">
        <f t="shared" si="8"/>
        <v>0.46927374301675978</v>
      </c>
      <c r="R105" s="13">
        <v>165</v>
      </c>
      <c r="S105" s="13">
        <v>179</v>
      </c>
      <c r="V105" s="13">
        <v>11</v>
      </c>
      <c r="W105" s="13">
        <v>61</v>
      </c>
      <c r="X105" s="13">
        <v>3</v>
      </c>
      <c r="AB105" s="13">
        <v>65</v>
      </c>
      <c r="AC105" s="13">
        <v>8</v>
      </c>
      <c r="AG105" s="13" t="s">
        <v>639</v>
      </c>
      <c r="AP105" s="13">
        <v>0.91</v>
      </c>
      <c r="AR105" s="13">
        <v>0.88</v>
      </c>
      <c r="AS105" s="13">
        <v>0.94</v>
      </c>
      <c r="BG105" s="13">
        <v>45.45</v>
      </c>
      <c r="BI105" s="13">
        <v>28.88</v>
      </c>
      <c r="BJ105" s="13">
        <v>83.21</v>
      </c>
      <c r="BR105" s="13">
        <v>31.25</v>
      </c>
      <c r="BT105" s="13">
        <v>14.45</v>
      </c>
      <c r="BU105" s="13">
        <v>41.09</v>
      </c>
      <c r="BY105" s="13" t="s">
        <v>1122</v>
      </c>
      <c r="BZ105" s="13" t="s">
        <v>1123</v>
      </c>
      <c r="CA105" s="13">
        <v>2024</v>
      </c>
      <c r="CB105" s="13" t="s">
        <v>12</v>
      </c>
      <c r="CC105" s="13" t="s">
        <v>254</v>
      </c>
      <c r="CD105" s="13">
        <v>30</v>
      </c>
      <c r="CE105" s="13">
        <v>6</v>
      </c>
      <c r="CF105" s="13" t="s">
        <v>1124</v>
      </c>
      <c r="CG105" s="13" t="s">
        <v>1125</v>
      </c>
    </row>
    <row r="106" spans="1:85">
      <c r="A106" s="13" t="s">
        <v>1787</v>
      </c>
      <c r="B106" s="13" t="s">
        <v>1787</v>
      </c>
      <c r="C106" s="14" t="s">
        <v>2344</v>
      </c>
      <c r="D106" s="14" t="s">
        <v>820</v>
      </c>
      <c r="E106" s="13" t="s">
        <v>630</v>
      </c>
      <c r="F106" s="13" t="s">
        <v>2346</v>
      </c>
      <c r="G106" s="13" t="s">
        <v>674</v>
      </c>
      <c r="H106" s="13" t="s">
        <v>675</v>
      </c>
      <c r="J106" s="13" t="s">
        <v>669</v>
      </c>
      <c r="K106" s="13" t="s">
        <v>3095</v>
      </c>
      <c r="L106" s="13" t="s">
        <v>652</v>
      </c>
      <c r="N106" s="13">
        <v>97</v>
      </c>
      <c r="O106" s="2">
        <f t="shared" si="9"/>
        <v>0.58787878787878789</v>
      </c>
      <c r="P106" s="13">
        <v>25</v>
      </c>
      <c r="Q106" s="17">
        <f t="shared" si="8"/>
        <v>0.44642857142857145</v>
      </c>
      <c r="R106" s="13">
        <v>165</v>
      </c>
      <c r="S106" s="13">
        <v>56</v>
      </c>
      <c r="V106" s="13">
        <v>11</v>
      </c>
      <c r="W106" s="13">
        <v>61</v>
      </c>
      <c r="X106" s="13">
        <v>3</v>
      </c>
      <c r="AB106" s="13">
        <v>68</v>
      </c>
      <c r="AC106" s="13">
        <v>7</v>
      </c>
      <c r="AG106" s="13" t="s">
        <v>639</v>
      </c>
      <c r="AP106" s="13">
        <v>0.83</v>
      </c>
      <c r="AR106" s="13">
        <v>0.77</v>
      </c>
      <c r="AS106" s="13">
        <v>0.88</v>
      </c>
      <c r="BG106" s="13">
        <v>38.56</v>
      </c>
      <c r="BI106" s="13">
        <v>28.5</v>
      </c>
      <c r="BJ106" s="13">
        <v>46.89</v>
      </c>
      <c r="BR106" s="13">
        <v>8.6999999999999993</v>
      </c>
      <c r="BT106" s="13">
        <v>5.23</v>
      </c>
      <c r="BU106" s="13">
        <v>7.52</v>
      </c>
      <c r="BX106" s="13" t="s">
        <v>701</v>
      </c>
      <c r="BY106" s="13" t="s">
        <v>1122</v>
      </c>
      <c r="BZ106" s="13" t="s">
        <v>1123</v>
      </c>
      <c r="CA106" s="13">
        <v>2024</v>
      </c>
      <c r="CB106" s="13" t="s">
        <v>12</v>
      </c>
      <c r="CC106" s="13" t="s">
        <v>254</v>
      </c>
      <c r="CD106" s="13">
        <v>30</v>
      </c>
      <c r="CE106" s="13">
        <v>6</v>
      </c>
      <c r="CF106" s="13" t="s">
        <v>1124</v>
      </c>
      <c r="CG106" s="13" t="s">
        <v>1125</v>
      </c>
    </row>
    <row r="107" spans="1:85">
      <c r="A107" s="13" t="s">
        <v>1787</v>
      </c>
      <c r="B107" s="13" t="s">
        <v>1787</v>
      </c>
      <c r="C107" s="14" t="s">
        <v>2344</v>
      </c>
      <c r="D107" s="14" t="s">
        <v>820</v>
      </c>
      <c r="E107" s="13" t="s">
        <v>2348</v>
      </c>
      <c r="F107" s="13" t="s">
        <v>2346</v>
      </c>
      <c r="G107" s="13" t="s">
        <v>674</v>
      </c>
      <c r="H107" s="13" t="s">
        <v>675</v>
      </c>
      <c r="J107" s="13" t="s">
        <v>669</v>
      </c>
      <c r="K107" s="13" t="s">
        <v>3095</v>
      </c>
      <c r="L107" s="13" t="s">
        <v>652</v>
      </c>
      <c r="N107" s="13">
        <v>97</v>
      </c>
      <c r="O107" s="2">
        <f t="shared" si="9"/>
        <v>0.58787878787878789</v>
      </c>
      <c r="P107" s="13">
        <v>81</v>
      </c>
      <c r="Q107" s="17">
        <f t="shared" si="8"/>
        <v>0.49693251533742333</v>
      </c>
      <c r="R107" s="13">
        <v>165</v>
      </c>
      <c r="S107" s="13">
        <v>163</v>
      </c>
      <c r="V107" s="13">
        <v>11</v>
      </c>
      <c r="W107" s="13">
        <v>61</v>
      </c>
      <c r="X107" s="13">
        <v>3</v>
      </c>
      <c r="AB107" s="13">
        <v>67</v>
      </c>
      <c r="AC107" s="13">
        <v>9</v>
      </c>
      <c r="AG107" s="13" t="s">
        <v>639</v>
      </c>
      <c r="AP107" s="13">
        <v>0.62</v>
      </c>
      <c r="AR107" s="13">
        <v>0.56000000000000005</v>
      </c>
      <c r="AS107" s="13">
        <v>0.67</v>
      </c>
      <c r="BG107" s="13">
        <v>38.56</v>
      </c>
      <c r="BI107" s="13">
        <v>28.5</v>
      </c>
      <c r="BJ107" s="13">
        <v>46.89</v>
      </c>
      <c r="BR107" s="13">
        <v>30.28</v>
      </c>
      <c r="BT107" s="13">
        <v>18.2</v>
      </c>
      <c r="BU107" s="13">
        <v>40.549999999999997</v>
      </c>
      <c r="BY107" s="13" t="s">
        <v>1122</v>
      </c>
      <c r="BZ107" s="13" t="s">
        <v>1123</v>
      </c>
      <c r="CA107" s="13">
        <v>2024</v>
      </c>
      <c r="CB107" s="13" t="s">
        <v>12</v>
      </c>
      <c r="CC107" s="13" t="s">
        <v>254</v>
      </c>
      <c r="CD107" s="13">
        <v>30</v>
      </c>
      <c r="CE107" s="13">
        <v>6</v>
      </c>
      <c r="CF107" s="13" t="s">
        <v>1124</v>
      </c>
      <c r="CG107" s="13" t="s">
        <v>1125</v>
      </c>
    </row>
    <row r="108" spans="1:85">
      <c r="A108" s="13" t="s">
        <v>1787</v>
      </c>
      <c r="B108" s="13" t="s">
        <v>1787</v>
      </c>
      <c r="C108" s="14" t="s">
        <v>2344</v>
      </c>
      <c r="D108" s="14" t="s">
        <v>820</v>
      </c>
      <c r="E108" s="13" t="s">
        <v>801</v>
      </c>
      <c r="F108" s="13" t="s">
        <v>2346</v>
      </c>
      <c r="G108" s="13" t="s">
        <v>674</v>
      </c>
      <c r="H108" s="13" t="s">
        <v>675</v>
      </c>
      <c r="J108" s="13" t="s">
        <v>669</v>
      </c>
      <c r="K108" s="13" t="s">
        <v>3095</v>
      </c>
      <c r="L108" s="13" t="s">
        <v>652</v>
      </c>
      <c r="N108" s="13">
        <v>97</v>
      </c>
      <c r="O108" s="2">
        <f t="shared" si="9"/>
        <v>0.58787878787878789</v>
      </c>
      <c r="P108" s="13">
        <v>81</v>
      </c>
      <c r="Q108" s="17">
        <f t="shared" si="8"/>
        <v>0.49693251533742333</v>
      </c>
      <c r="R108" s="13">
        <v>165</v>
      </c>
      <c r="S108" s="13">
        <v>163</v>
      </c>
      <c r="V108" s="13">
        <v>11</v>
      </c>
      <c r="W108" s="13">
        <v>61</v>
      </c>
      <c r="X108" s="13">
        <v>3</v>
      </c>
      <c r="AB108" s="13">
        <v>67</v>
      </c>
      <c r="AC108" s="13">
        <v>9</v>
      </c>
      <c r="AG108" s="13" t="s">
        <v>639</v>
      </c>
      <c r="AP108" s="13">
        <v>0.61</v>
      </c>
      <c r="AR108" s="13">
        <v>0.55000000000000004</v>
      </c>
      <c r="AS108" s="13">
        <v>0.66</v>
      </c>
      <c r="BG108" s="13">
        <v>38.56</v>
      </c>
      <c r="BI108" s="13">
        <v>28.5</v>
      </c>
      <c r="BJ108" s="13">
        <v>46.89</v>
      </c>
      <c r="BR108" s="13">
        <v>36.44</v>
      </c>
      <c r="BT108" s="13">
        <v>23.2</v>
      </c>
      <c r="BU108" s="13">
        <v>44</v>
      </c>
      <c r="BY108" s="13" t="s">
        <v>1122</v>
      </c>
      <c r="BZ108" s="13" t="s">
        <v>1123</v>
      </c>
      <c r="CA108" s="13">
        <v>2024</v>
      </c>
      <c r="CB108" s="13" t="s">
        <v>12</v>
      </c>
      <c r="CC108" s="13" t="s">
        <v>254</v>
      </c>
      <c r="CD108" s="13">
        <v>30</v>
      </c>
      <c r="CE108" s="13">
        <v>6</v>
      </c>
      <c r="CF108" s="13" t="s">
        <v>1124</v>
      </c>
      <c r="CG108" s="13" t="s">
        <v>1125</v>
      </c>
    </row>
    <row r="109" spans="1:85">
      <c r="A109" s="13" t="s">
        <v>1787</v>
      </c>
      <c r="B109" s="13" t="s">
        <v>1787</v>
      </c>
      <c r="C109" s="14" t="s">
        <v>2349</v>
      </c>
      <c r="D109" s="14" t="s">
        <v>831</v>
      </c>
      <c r="E109" s="13" t="s">
        <v>630</v>
      </c>
      <c r="F109" s="13" t="s">
        <v>2346</v>
      </c>
      <c r="G109" s="13" t="s">
        <v>674</v>
      </c>
      <c r="H109" s="13" t="s">
        <v>2345</v>
      </c>
      <c r="J109" s="13" t="s">
        <v>647</v>
      </c>
      <c r="K109" s="13" t="s">
        <v>4061</v>
      </c>
      <c r="L109" s="13" t="s">
        <v>652</v>
      </c>
      <c r="N109" s="13">
        <v>36</v>
      </c>
      <c r="O109" s="2">
        <f t="shared" si="9"/>
        <v>0.55384615384615388</v>
      </c>
      <c r="P109" s="13">
        <v>19</v>
      </c>
      <c r="Q109" s="17">
        <f t="shared" si="8"/>
        <v>0.38</v>
      </c>
      <c r="R109" s="13">
        <v>65</v>
      </c>
      <c r="S109" s="13">
        <v>50</v>
      </c>
      <c r="V109" s="13">
        <v>7</v>
      </c>
      <c r="W109" s="13">
        <v>63</v>
      </c>
      <c r="X109" s="13">
        <v>14</v>
      </c>
      <c r="AB109" s="13">
        <v>58</v>
      </c>
      <c r="AC109" s="13">
        <v>4</v>
      </c>
      <c r="AG109" s="13" t="s">
        <v>639</v>
      </c>
      <c r="AP109" s="13">
        <v>0.94</v>
      </c>
      <c r="AR109" s="13">
        <v>0.89200000000000002</v>
      </c>
      <c r="AS109" s="13">
        <v>0.98099999999999998</v>
      </c>
      <c r="BG109" s="13">
        <v>45.6</v>
      </c>
      <c r="BI109" s="13">
        <v>31.55</v>
      </c>
      <c r="BJ109" s="13">
        <v>64.45</v>
      </c>
      <c r="BR109" s="13">
        <v>10.41</v>
      </c>
      <c r="BT109" s="13">
        <v>8.5</v>
      </c>
      <c r="BU109" s="13">
        <v>14.65</v>
      </c>
      <c r="BX109" s="13" t="s">
        <v>701</v>
      </c>
      <c r="BY109" s="13" t="s">
        <v>1122</v>
      </c>
      <c r="BZ109" s="13" t="s">
        <v>1123</v>
      </c>
      <c r="CA109" s="13">
        <v>2024</v>
      </c>
      <c r="CB109" s="13" t="s">
        <v>12</v>
      </c>
      <c r="CC109" s="13" t="s">
        <v>254</v>
      </c>
      <c r="CD109" s="13">
        <v>30</v>
      </c>
      <c r="CE109" s="13">
        <v>6</v>
      </c>
      <c r="CF109" s="13" t="s">
        <v>1124</v>
      </c>
      <c r="CG109" s="13" t="s">
        <v>1125</v>
      </c>
    </row>
    <row r="110" spans="1:85">
      <c r="A110" s="13" t="s">
        <v>1787</v>
      </c>
      <c r="B110" s="13" t="s">
        <v>1787</v>
      </c>
      <c r="C110" s="14" t="s">
        <v>2349</v>
      </c>
      <c r="D110" s="14" t="s">
        <v>831</v>
      </c>
      <c r="E110" s="13" t="s">
        <v>2348</v>
      </c>
      <c r="F110" s="13" t="s">
        <v>2346</v>
      </c>
      <c r="G110" s="13" t="s">
        <v>674</v>
      </c>
      <c r="H110" s="13" t="s">
        <v>2345</v>
      </c>
      <c r="J110" s="13" t="s">
        <v>647</v>
      </c>
      <c r="K110" s="13" t="s">
        <v>4061</v>
      </c>
      <c r="L110" s="13" t="s">
        <v>652</v>
      </c>
      <c r="N110" s="13">
        <v>36</v>
      </c>
      <c r="O110" s="2">
        <f t="shared" si="9"/>
        <v>0.55384615384615388</v>
      </c>
      <c r="P110" s="13">
        <v>19</v>
      </c>
      <c r="Q110" s="17">
        <f t="shared" si="8"/>
        <v>0.46341463414634149</v>
      </c>
      <c r="R110" s="13">
        <v>65</v>
      </c>
      <c r="S110" s="13">
        <v>41</v>
      </c>
      <c r="V110" s="13">
        <v>7</v>
      </c>
      <c r="W110" s="13">
        <v>63</v>
      </c>
      <c r="X110" s="13">
        <v>14</v>
      </c>
      <c r="AB110" s="13">
        <v>58</v>
      </c>
      <c r="AC110" s="13">
        <v>4</v>
      </c>
      <c r="AG110" s="13" t="s">
        <v>639</v>
      </c>
      <c r="AP110" s="13">
        <v>0.96</v>
      </c>
      <c r="AR110" s="13">
        <v>0.91</v>
      </c>
      <c r="AS110" s="13">
        <v>0.99099999999999999</v>
      </c>
      <c r="BG110" s="13">
        <v>45.6</v>
      </c>
      <c r="BI110" s="13">
        <v>31.55</v>
      </c>
      <c r="BJ110" s="13">
        <v>64.45</v>
      </c>
      <c r="BR110" s="13">
        <v>10.199999999999999</v>
      </c>
      <c r="BT110" s="13">
        <v>8.3000000000000007</v>
      </c>
      <c r="BU110" s="13">
        <v>12.35</v>
      </c>
      <c r="BY110" s="13" t="s">
        <v>1122</v>
      </c>
      <c r="BZ110" s="13" t="s">
        <v>1123</v>
      </c>
      <c r="CA110" s="13">
        <v>2024</v>
      </c>
      <c r="CB110" s="13" t="s">
        <v>12</v>
      </c>
      <c r="CC110" s="13" t="s">
        <v>254</v>
      </c>
      <c r="CD110" s="13">
        <v>30</v>
      </c>
      <c r="CE110" s="13">
        <v>6</v>
      </c>
      <c r="CF110" s="13" t="s">
        <v>1124</v>
      </c>
      <c r="CG110" s="13" t="s">
        <v>1125</v>
      </c>
    </row>
    <row r="111" spans="1:85">
      <c r="A111" s="13" t="s">
        <v>1787</v>
      </c>
      <c r="B111" s="13" t="s">
        <v>1787</v>
      </c>
      <c r="C111" s="14" t="s">
        <v>2349</v>
      </c>
      <c r="D111" s="14" t="s">
        <v>831</v>
      </c>
      <c r="E111" s="13" t="s">
        <v>801</v>
      </c>
      <c r="F111" s="13" t="s">
        <v>2346</v>
      </c>
      <c r="G111" s="13" t="s">
        <v>674</v>
      </c>
      <c r="H111" s="13" t="s">
        <v>2345</v>
      </c>
      <c r="J111" s="13" t="s">
        <v>647</v>
      </c>
      <c r="K111" s="13" t="s">
        <v>4061</v>
      </c>
      <c r="L111" s="13" t="s">
        <v>652</v>
      </c>
      <c r="N111" s="13">
        <v>36</v>
      </c>
      <c r="O111" s="2">
        <f t="shared" si="9"/>
        <v>0.55384615384615388</v>
      </c>
      <c r="P111" s="13">
        <v>19</v>
      </c>
      <c r="Q111" s="17">
        <f t="shared" si="8"/>
        <v>0.38</v>
      </c>
      <c r="R111" s="13">
        <v>65</v>
      </c>
      <c r="S111" s="13">
        <v>50</v>
      </c>
      <c r="V111" s="13">
        <v>7</v>
      </c>
      <c r="W111" s="13">
        <v>63</v>
      </c>
      <c r="X111" s="13">
        <v>14</v>
      </c>
      <c r="AB111" s="13">
        <v>58</v>
      </c>
      <c r="AC111" s="13">
        <v>4</v>
      </c>
      <c r="AG111" s="13" t="s">
        <v>639</v>
      </c>
      <c r="AP111" s="13">
        <v>0.76</v>
      </c>
      <c r="AR111" s="13">
        <v>0.68700000000000006</v>
      </c>
      <c r="AS111" s="13">
        <v>0.83199999999999996</v>
      </c>
      <c r="BG111" s="13">
        <v>45.6</v>
      </c>
      <c r="BI111" s="13">
        <v>31.55</v>
      </c>
      <c r="BJ111" s="13">
        <v>64.45</v>
      </c>
      <c r="BR111" s="13">
        <v>24.15</v>
      </c>
      <c r="BT111" s="13">
        <v>11.13</v>
      </c>
      <c r="BU111" s="13">
        <v>40.549999999999997</v>
      </c>
      <c r="BY111" s="13" t="s">
        <v>1122</v>
      </c>
      <c r="BZ111" s="13" t="s">
        <v>1123</v>
      </c>
      <c r="CA111" s="13">
        <v>2024</v>
      </c>
      <c r="CB111" s="13" t="s">
        <v>12</v>
      </c>
      <c r="CC111" s="13" t="s">
        <v>254</v>
      </c>
      <c r="CD111" s="13">
        <v>30</v>
      </c>
      <c r="CE111" s="13">
        <v>6</v>
      </c>
      <c r="CF111" s="13" t="s">
        <v>1124</v>
      </c>
      <c r="CG111" s="13" t="s">
        <v>1125</v>
      </c>
    </row>
    <row r="112" spans="1:85">
      <c r="A112" s="13" t="s">
        <v>1788</v>
      </c>
      <c r="B112" s="13" t="s">
        <v>1788</v>
      </c>
      <c r="C112" s="14" t="s">
        <v>1129</v>
      </c>
      <c r="D112" s="14" t="s">
        <v>2264</v>
      </c>
      <c r="E112" s="13" t="s">
        <v>630</v>
      </c>
      <c r="F112" s="13" t="s">
        <v>2357</v>
      </c>
      <c r="G112" s="13" t="s">
        <v>674</v>
      </c>
      <c r="H112" s="13" t="s">
        <v>2355</v>
      </c>
      <c r="J112" s="13" t="s">
        <v>2356</v>
      </c>
      <c r="K112" s="14" t="s">
        <v>3097</v>
      </c>
      <c r="L112" s="13" t="s">
        <v>585</v>
      </c>
      <c r="M112" s="13" t="s">
        <v>2358</v>
      </c>
      <c r="N112" s="13">
        <v>16</v>
      </c>
      <c r="O112" s="2">
        <f t="shared" si="9"/>
        <v>0.53333333333333333</v>
      </c>
      <c r="P112" s="13">
        <v>12</v>
      </c>
      <c r="Q112" s="17">
        <f t="shared" si="8"/>
        <v>0.46153846153846156</v>
      </c>
      <c r="R112" s="13">
        <v>30</v>
      </c>
      <c r="S112" s="13">
        <v>26</v>
      </c>
      <c r="T112" s="13">
        <v>6</v>
      </c>
      <c r="V112" s="13">
        <v>6</v>
      </c>
      <c r="Y112" s="13">
        <v>55.5</v>
      </c>
      <c r="Z112" s="13">
        <v>48</v>
      </c>
      <c r="AA112" s="13">
        <v>65</v>
      </c>
      <c r="AD112" s="13">
        <v>56</v>
      </c>
      <c r="AE112" s="13">
        <v>45</v>
      </c>
      <c r="AF112" s="13">
        <v>60</v>
      </c>
      <c r="AG112" s="13" t="s">
        <v>639</v>
      </c>
      <c r="BG112" s="13">
        <v>6368.76</v>
      </c>
      <c r="BI112" s="13">
        <v>5302.41</v>
      </c>
      <c r="BJ112" s="13">
        <v>7800.83</v>
      </c>
      <c r="BR112" s="13">
        <v>7657.3</v>
      </c>
      <c r="BT112" s="13">
        <v>6592.24</v>
      </c>
      <c r="BU112" s="13">
        <v>8569.09</v>
      </c>
      <c r="BY112" s="13" t="s">
        <v>1126</v>
      </c>
      <c r="BZ112" s="13" t="s">
        <v>1127</v>
      </c>
      <c r="CA112" s="13">
        <v>2020</v>
      </c>
      <c r="CC112" s="13" t="s">
        <v>349</v>
      </c>
      <c r="CD112" s="13">
        <v>27</v>
      </c>
      <c r="CF112" s="13" t="s">
        <v>2200</v>
      </c>
      <c r="CG112" s="13" t="s">
        <v>1128</v>
      </c>
    </row>
    <row r="113" spans="1:85">
      <c r="A113" s="13" t="s">
        <v>1788</v>
      </c>
      <c r="B113" s="13" t="s">
        <v>1788</v>
      </c>
      <c r="C113" s="14" t="s">
        <v>1129</v>
      </c>
      <c r="D113" s="14" t="s">
        <v>2264</v>
      </c>
      <c r="E113" s="13" t="s">
        <v>630</v>
      </c>
      <c r="F113" s="13" t="s">
        <v>2357</v>
      </c>
      <c r="G113" s="13" t="s">
        <v>674</v>
      </c>
      <c r="H113" s="13" t="s">
        <v>2359</v>
      </c>
      <c r="J113" s="13" t="s">
        <v>2356</v>
      </c>
      <c r="K113" s="14" t="s">
        <v>3097</v>
      </c>
      <c r="L113" s="13" t="s">
        <v>585</v>
      </c>
      <c r="M113" s="13" t="s">
        <v>2358</v>
      </c>
      <c r="N113" s="13">
        <v>16</v>
      </c>
      <c r="O113" s="2">
        <f t="shared" si="9"/>
        <v>0.53333333333333333</v>
      </c>
      <c r="P113" s="13">
        <v>12</v>
      </c>
      <c r="Q113" s="17">
        <f t="shared" si="8"/>
        <v>0.46153846153846156</v>
      </c>
      <c r="R113" s="13">
        <v>30</v>
      </c>
      <c r="S113" s="13">
        <v>26</v>
      </c>
      <c r="T113" s="13">
        <v>6</v>
      </c>
      <c r="V113" s="13">
        <v>6</v>
      </c>
      <c r="Y113" s="13">
        <v>55.5</v>
      </c>
      <c r="Z113" s="13">
        <v>48</v>
      </c>
      <c r="AA113" s="13">
        <v>65</v>
      </c>
      <c r="AD113" s="13">
        <v>56</v>
      </c>
      <c r="AE113" s="13">
        <v>45</v>
      </c>
      <c r="AF113" s="13">
        <v>60</v>
      </c>
      <c r="AG113" s="13" t="s">
        <v>639</v>
      </c>
      <c r="BG113" s="13">
        <v>1869.22</v>
      </c>
      <c r="BI113" s="13">
        <v>1235.5899999999999</v>
      </c>
      <c r="BJ113" s="13">
        <v>2373.6</v>
      </c>
      <c r="BR113" s="13">
        <v>2900.73</v>
      </c>
      <c r="BT113" s="13">
        <v>2202.86</v>
      </c>
      <c r="BU113" s="13">
        <v>3968.4</v>
      </c>
      <c r="BY113" s="13" t="s">
        <v>1126</v>
      </c>
      <c r="BZ113" s="13" t="s">
        <v>1127</v>
      </c>
      <c r="CA113" s="13">
        <v>2020</v>
      </c>
      <c r="CC113" s="13" t="s">
        <v>349</v>
      </c>
      <c r="CD113" s="13">
        <v>27</v>
      </c>
      <c r="CF113" s="13" t="s">
        <v>2200</v>
      </c>
      <c r="CG113" s="13" t="s">
        <v>1128</v>
      </c>
    </row>
    <row r="114" spans="1:85">
      <c r="A114" s="13" t="s">
        <v>1678</v>
      </c>
      <c r="B114" s="13" t="s">
        <v>1792</v>
      </c>
      <c r="C114" s="13" t="s">
        <v>113</v>
      </c>
      <c r="D114" s="16" t="s">
        <v>827</v>
      </c>
      <c r="E114" s="13" t="s">
        <v>630</v>
      </c>
      <c r="F114" s="13" t="s">
        <v>711</v>
      </c>
      <c r="G114" s="13" t="s">
        <v>673</v>
      </c>
      <c r="H114" s="13" t="s">
        <v>574</v>
      </c>
      <c r="J114" s="13" t="s">
        <v>712</v>
      </c>
      <c r="K114" s="14" t="s">
        <v>4042</v>
      </c>
      <c r="L114" s="13" t="s">
        <v>1960</v>
      </c>
      <c r="M114" s="13" t="s">
        <v>713</v>
      </c>
      <c r="N114" s="13">
        <v>331</v>
      </c>
      <c r="O114" s="2">
        <f t="shared" si="9"/>
        <v>0.56872852233676974</v>
      </c>
      <c r="P114" s="13">
        <v>310</v>
      </c>
      <c r="Q114" s="2">
        <f t="shared" si="8"/>
        <v>0.53264604810996563</v>
      </c>
      <c r="R114" s="13">
        <v>582</v>
      </c>
      <c r="S114" s="13">
        <v>582</v>
      </c>
      <c r="V114" s="13">
        <v>0</v>
      </c>
      <c r="W114" s="13">
        <v>53.23</v>
      </c>
      <c r="X114" s="13">
        <v>11.69</v>
      </c>
      <c r="Y114" s="16"/>
      <c r="Z114" s="16"/>
      <c r="AA114" s="16"/>
      <c r="AB114" s="16">
        <v>53.81</v>
      </c>
      <c r="AC114" s="16">
        <v>14.47</v>
      </c>
      <c r="AD114" s="16"/>
      <c r="AE114" s="16"/>
      <c r="AF114" s="16"/>
      <c r="AG114" s="13" t="s">
        <v>714</v>
      </c>
      <c r="BB114" s="13">
        <v>169.7</v>
      </c>
      <c r="BC114" s="13">
        <v>137.69999999999999</v>
      </c>
      <c r="BM114" s="13">
        <v>78.709999999999994</v>
      </c>
      <c r="BN114" s="13">
        <v>49.85</v>
      </c>
      <c r="BX114" s="13" t="s">
        <v>701</v>
      </c>
      <c r="BY114" s="13" t="s">
        <v>108</v>
      </c>
      <c r="BZ114" s="13" t="s">
        <v>109</v>
      </c>
      <c r="CA114" s="13">
        <v>2021</v>
      </c>
      <c r="CB114" s="13" t="s">
        <v>25</v>
      </c>
      <c r="CC114" s="13" t="s">
        <v>110</v>
      </c>
      <c r="CD114" s="13">
        <v>16</v>
      </c>
      <c r="CE114" s="13">
        <v>3</v>
      </c>
      <c r="CF114" s="13" t="s">
        <v>111</v>
      </c>
      <c r="CG114" s="13" t="s">
        <v>112</v>
      </c>
    </row>
    <row r="115" spans="1:85">
      <c r="A115" s="13" t="s">
        <v>1790</v>
      </c>
      <c r="B115" s="13" t="s">
        <v>1790</v>
      </c>
      <c r="C115" s="14" t="s">
        <v>2366</v>
      </c>
      <c r="D115" s="14" t="s">
        <v>818</v>
      </c>
      <c r="E115" s="13" t="s">
        <v>630</v>
      </c>
      <c r="F115" s="13" t="s">
        <v>2369</v>
      </c>
      <c r="G115" s="13" t="s">
        <v>725</v>
      </c>
      <c r="H115" s="13" t="s">
        <v>2370</v>
      </c>
      <c r="J115" s="13" t="s">
        <v>712</v>
      </c>
      <c r="K115" s="14" t="s">
        <v>3099</v>
      </c>
      <c r="L115" s="13" t="s">
        <v>1973</v>
      </c>
      <c r="M115" s="13" t="s">
        <v>947</v>
      </c>
      <c r="N115" s="13">
        <v>52</v>
      </c>
      <c r="O115" s="2">
        <f t="shared" si="9"/>
        <v>0.61176470588235299</v>
      </c>
      <c r="P115" s="13">
        <v>30</v>
      </c>
      <c r="Q115" s="17">
        <f t="shared" si="8"/>
        <v>0.54545454545454541</v>
      </c>
      <c r="R115" s="13">
        <v>85</v>
      </c>
      <c r="S115" s="13">
        <v>55</v>
      </c>
      <c r="W115" s="13">
        <v>57.1</v>
      </c>
      <c r="X115" s="13">
        <v>12.1</v>
      </c>
      <c r="AB115" s="13">
        <v>53</v>
      </c>
      <c r="AC115" s="13">
        <v>12.7</v>
      </c>
      <c r="AH115" s="13">
        <v>5.6369999999999996</v>
      </c>
      <c r="AJ115" s="13">
        <v>63.41</v>
      </c>
      <c r="AM115" s="13">
        <v>83.33</v>
      </c>
      <c r="AP115" s="13">
        <v>0.77</v>
      </c>
      <c r="AR115" s="13">
        <v>0.69</v>
      </c>
      <c r="AS115" s="13">
        <v>0.84</v>
      </c>
      <c r="BG115" s="13">
        <v>12.7</v>
      </c>
      <c r="BI115" s="13">
        <v>8.6999999999999993</v>
      </c>
      <c r="BJ115" s="13">
        <v>18.7</v>
      </c>
      <c r="BR115" s="13">
        <v>7.2</v>
      </c>
      <c r="BT115" s="13">
        <v>5</v>
      </c>
      <c r="BU115" s="13">
        <v>13.7</v>
      </c>
      <c r="BX115" s="13" t="s">
        <v>635</v>
      </c>
      <c r="BY115" s="13" t="s">
        <v>1135</v>
      </c>
      <c r="BZ115" s="13" t="s">
        <v>1136</v>
      </c>
      <c r="CA115" s="13">
        <v>2024</v>
      </c>
      <c r="CB115" s="13" t="s">
        <v>188</v>
      </c>
      <c r="CC115" s="13" t="s">
        <v>151</v>
      </c>
      <c r="CD115" s="13">
        <v>30</v>
      </c>
      <c r="CE115" s="13">
        <v>4</v>
      </c>
      <c r="CF115" s="13" t="s">
        <v>1137</v>
      </c>
      <c r="CG115" s="13" t="s">
        <v>1138</v>
      </c>
    </row>
    <row r="116" spans="1:85">
      <c r="A116" s="13" t="s">
        <v>1790</v>
      </c>
      <c r="B116" s="13" t="s">
        <v>1790</v>
      </c>
      <c r="C116" s="14" t="s">
        <v>2367</v>
      </c>
      <c r="D116" s="14" t="s">
        <v>818</v>
      </c>
      <c r="E116" s="13" t="s">
        <v>630</v>
      </c>
      <c r="F116" s="13" t="s">
        <v>2369</v>
      </c>
      <c r="G116" s="13" t="s">
        <v>725</v>
      </c>
      <c r="H116" s="13" t="s">
        <v>2370</v>
      </c>
      <c r="J116" s="13" t="s">
        <v>712</v>
      </c>
      <c r="K116" s="14" t="s">
        <v>3099</v>
      </c>
      <c r="L116" s="13" t="s">
        <v>1973</v>
      </c>
      <c r="M116" s="13" t="s">
        <v>947</v>
      </c>
      <c r="N116" s="13">
        <v>33</v>
      </c>
      <c r="O116" s="2">
        <f t="shared" si="9"/>
        <v>0.52380952380952384</v>
      </c>
      <c r="P116" s="13">
        <v>27</v>
      </c>
      <c r="Q116" s="17">
        <f t="shared" si="8"/>
        <v>0.58695652173913049</v>
      </c>
      <c r="R116" s="13">
        <v>63</v>
      </c>
      <c r="S116" s="13">
        <v>46</v>
      </c>
      <c r="W116" s="13">
        <v>56.6</v>
      </c>
      <c r="X116" s="13">
        <v>9</v>
      </c>
      <c r="AB116" s="13">
        <v>53.4</v>
      </c>
      <c r="AC116" s="13">
        <v>10.4</v>
      </c>
      <c r="AP116" s="13">
        <v>0.78</v>
      </c>
      <c r="AR116" s="13">
        <v>0.69</v>
      </c>
      <c r="AS116" s="13">
        <v>0.86</v>
      </c>
      <c r="BG116" s="13">
        <v>8.6999999999999993</v>
      </c>
      <c r="BI116" s="13">
        <v>6.1</v>
      </c>
      <c r="BJ116" s="13">
        <v>11.8</v>
      </c>
      <c r="BR116" s="13">
        <v>4</v>
      </c>
      <c r="BT116" s="13">
        <v>3.1</v>
      </c>
      <c r="BU116" s="13">
        <v>6.4</v>
      </c>
      <c r="BX116" s="13" t="s">
        <v>635</v>
      </c>
      <c r="BY116" s="13" t="s">
        <v>1135</v>
      </c>
      <c r="BZ116" s="13" t="s">
        <v>1136</v>
      </c>
      <c r="CA116" s="13">
        <v>2024</v>
      </c>
      <c r="CB116" s="13" t="s">
        <v>188</v>
      </c>
      <c r="CC116" s="13" t="s">
        <v>151</v>
      </c>
      <c r="CD116" s="13">
        <v>30</v>
      </c>
      <c r="CE116" s="13">
        <v>4</v>
      </c>
      <c r="CF116" s="13" t="s">
        <v>1137</v>
      </c>
      <c r="CG116" s="13" t="s">
        <v>1138</v>
      </c>
    </row>
    <row r="117" spans="1:85">
      <c r="A117" s="13" t="s">
        <v>1794</v>
      </c>
      <c r="B117" s="13" t="s">
        <v>1794</v>
      </c>
      <c r="C117" s="14" t="s">
        <v>1151</v>
      </c>
      <c r="D117" s="16" t="s">
        <v>4179</v>
      </c>
      <c r="G117" s="13" t="s">
        <v>725</v>
      </c>
      <c r="H117" s="13" t="s">
        <v>2386</v>
      </c>
      <c r="J117" s="13" t="s">
        <v>712</v>
      </c>
      <c r="L117" s="16"/>
      <c r="M117" s="16"/>
      <c r="BY117" s="13" t="s">
        <v>1147</v>
      </c>
      <c r="BZ117" s="13" t="s">
        <v>1148</v>
      </c>
      <c r="CA117" s="13">
        <v>2021</v>
      </c>
      <c r="CB117" s="13" t="s">
        <v>2197</v>
      </c>
      <c r="CC117" s="13" t="s">
        <v>1149</v>
      </c>
      <c r="CD117" s="13">
        <v>10</v>
      </c>
      <c r="CE117" s="13">
        <v>1</v>
      </c>
      <c r="CF117" s="13" t="s">
        <v>2145</v>
      </c>
      <c r="CG117" s="13" t="s">
        <v>1150</v>
      </c>
    </row>
    <row r="118" spans="1:85">
      <c r="A118" s="13" t="s">
        <v>1791</v>
      </c>
      <c r="B118" s="13" t="s">
        <v>1791</v>
      </c>
      <c r="C118" s="14" t="s">
        <v>4161</v>
      </c>
      <c r="D118" s="14" t="s">
        <v>834</v>
      </c>
      <c r="E118" s="13" t="s">
        <v>630</v>
      </c>
      <c r="F118" s="13" t="s">
        <v>2374</v>
      </c>
      <c r="G118" s="13" t="s">
        <v>673</v>
      </c>
      <c r="H118" s="13" t="s">
        <v>2337</v>
      </c>
      <c r="J118" s="13" t="s">
        <v>712</v>
      </c>
      <c r="K118" s="14" t="s">
        <v>2968</v>
      </c>
      <c r="L118" s="13" t="s">
        <v>1960</v>
      </c>
      <c r="M118" s="13" t="s">
        <v>2375</v>
      </c>
      <c r="N118" s="13">
        <v>323</v>
      </c>
      <c r="O118" s="2">
        <f t="shared" ref="O118:O124" si="10">N118/R118</f>
        <v>0.56567425569176888</v>
      </c>
      <c r="P118" s="13">
        <v>323</v>
      </c>
      <c r="Q118" s="17">
        <f>P118/S118</f>
        <v>0.56567425569176888</v>
      </c>
      <c r="R118" s="13">
        <v>571</v>
      </c>
      <c r="S118" s="13">
        <v>571</v>
      </c>
      <c r="W118" s="13">
        <v>53.17</v>
      </c>
      <c r="X118" s="13">
        <v>11.72</v>
      </c>
      <c r="AB118" s="13">
        <v>53.17</v>
      </c>
      <c r="AC118" s="13">
        <v>11.71</v>
      </c>
      <c r="AG118" s="13" t="s">
        <v>2376</v>
      </c>
      <c r="BB118" s="13">
        <v>62.48</v>
      </c>
      <c r="BC118" s="13">
        <v>29.23</v>
      </c>
      <c r="BM118" s="13">
        <v>80.67</v>
      </c>
      <c r="BN118" s="13">
        <v>15.69</v>
      </c>
      <c r="BX118" s="13" t="s">
        <v>701</v>
      </c>
      <c r="BY118" s="13" t="s">
        <v>1139</v>
      </c>
      <c r="BZ118" s="13" t="s">
        <v>1140</v>
      </c>
      <c r="CA118" s="13">
        <v>2019</v>
      </c>
      <c r="CB118" s="13" t="s">
        <v>73</v>
      </c>
      <c r="CC118" s="13" t="s">
        <v>114</v>
      </c>
      <c r="CD118" s="13">
        <v>20</v>
      </c>
      <c r="CE118" s="13">
        <v>45293</v>
      </c>
      <c r="CF118" s="13" t="s">
        <v>1141</v>
      </c>
      <c r="CG118" s="13" t="s">
        <v>1142</v>
      </c>
    </row>
    <row r="119" spans="1:85">
      <c r="A119" s="13" t="s">
        <v>1791</v>
      </c>
      <c r="B119" s="13" t="s">
        <v>1791</v>
      </c>
      <c r="C119" s="14" t="s">
        <v>4161</v>
      </c>
      <c r="D119" s="14" t="s">
        <v>834</v>
      </c>
      <c r="E119" s="13" t="s">
        <v>630</v>
      </c>
      <c r="F119" s="13" t="s">
        <v>2374</v>
      </c>
      <c r="G119" s="13" t="s">
        <v>673</v>
      </c>
      <c r="H119" s="13" t="s">
        <v>2377</v>
      </c>
      <c r="J119" s="13" t="s">
        <v>712</v>
      </c>
      <c r="K119" s="14" t="s">
        <v>2968</v>
      </c>
      <c r="L119" s="13" t="s">
        <v>1960</v>
      </c>
      <c r="M119" s="13" t="s">
        <v>2375</v>
      </c>
      <c r="N119" s="13">
        <v>323</v>
      </c>
      <c r="O119" s="2">
        <f t="shared" si="10"/>
        <v>0.56567425569176888</v>
      </c>
      <c r="P119" s="13">
        <v>323</v>
      </c>
      <c r="Q119" s="17">
        <f>P119/S119</f>
        <v>0.56567425569176888</v>
      </c>
      <c r="R119" s="13">
        <v>571</v>
      </c>
      <c r="S119" s="13">
        <v>571</v>
      </c>
      <c r="W119" s="13">
        <v>53.17</v>
      </c>
      <c r="X119" s="13">
        <v>11.72</v>
      </c>
      <c r="AB119" s="13">
        <v>53.17</v>
      </c>
      <c r="AC119" s="13">
        <v>11.71</v>
      </c>
      <c r="AG119" s="13" t="s">
        <v>2376</v>
      </c>
      <c r="BB119" s="13">
        <v>298.2</v>
      </c>
      <c r="BC119" s="13">
        <v>79.92</v>
      </c>
      <c r="BM119" s="13">
        <v>321.8</v>
      </c>
      <c r="BN119" s="13">
        <v>78.930000000000007</v>
      </c>
      <c r="BX119" s="13" t="s">
        <v>701</v>
      </c>
      <c r="BY119" s="13" t="s">
        <v>1139</v>
      </c>
      <c r="BZ119" s="13" t="s">
        <v>1140</v>
      </c>
      <c r="CA119" s="13">
        <v>2019</v>
      </c>
      <c r="CB119" s="13" t="s">
        <v>73</v>
      </c>
      <c r="CC119" s="13" t="s">
        <v>114</v>
      </c>
      <c r="CD119" s="13">
        <v>20</v>
      </c>
      <c r="CE119" s="13">
        <v>45293</v>
      </c>
      <c r="CF119" s="13" t="s">
        <v>1141</v>
      </c>
      <c r="CG119" s="13" t="s">
        <v>1142</v>
      </c>
    </row>
    <row r="120" spans="1:85">
      <c r="A120" s="13" t="s">
        <v>1791</v>
      </c>
      <c r="B120" s="13" t="s">
        <v>1791</v>
      </c>
      <c r="C120" s="14" t="s">
        <v>4161</v>
      </c>
      <c r="D120" s="14" t="s">
        <v>834</v>
      </c>
      <c r="E120" s="13" t="s">
        <v>630</v>
      </c>
      <c r="F120" s="13" t="s">
        <v>2374</v>
      </c>
      <c r="G120" s="13" t="s">
        <v>673</v>
      </c>
      <c r="H120" s="13" t="s">
        <v>2378</v>
      </c>
      <c r="J120" s="13" t="s">
        <v>712</v>
      </c>
      <c r="K120" s="14" t="s">
        <v>2968</v>
      </c>
      <c r="L120" s="13" t="s">
        <v>1960</v>
      </c>
      <c r="M120" s="13" t="s">
        <v>2375</v>
      </c>
      <c r="N120" s="13">
        <v>323</v>
      </c>
      <c r="O120" s="2">
        <f t="shared" si="10"/>
        <v>0.56567425569176888</v>
      </c>
      <c r="P120" s="13">
        <v>323</v>
      </c>
      <c r="Q120" s="17">
        <f>P120/S120</f>
        <v>0.56567425569176888</v>
      </c>
      <c r="R120" s="13">
        <v>571</v>
      </c>
      <c r="S120" s="13">
        <v>571</v>
      </c>
      <c r="W120" s="13">
        <v>53.17</v>
      </c>
      <c r="X120" s="13">
        <v>11.72</v>
      </c>
      <c r="AB120" s="13">
        <v>53.17</v>
      </c>
      <c r="AC120" s="13">
        <v>11.71</v>
      </c>
      <c r="AG120" s="13" t="s">
        <v>2376</v>
      </c>
      <c r="BB120" s="13">
        <v>41.42</v>
      </c>
      <c r="BC120" s="13">
        <v>3.43</v>
      </c>
      <c r="BM120" s="13">
        <v>46.8</v>
      </c>
      <c r="BN120" s="13">
        <v>3.13</v>
      </c>
      <c r="BX120" s="13" t="s">
        <v>701</v>
      </c>
      <c r="BY120" s="13" t="s">
        <v>1139</v>
      </c>
      <c r="BZ120" s="13" t="s">
        <v>1140</v>
      </c>
      <c r="CA120" s="13">
        <v>2019</v>
      </c>
      <c r="CB120" s="13" t="s">
        <v>73</v>
      </c>
      <c r="CC120" s="13" t="s">
        <v>114</v>
      </c>
      <c r="CD120" s="13">
        <v>20</v>
      </c>
      <c r="CE120" s="13">
        <v>45293</v>
      </c>
      <c r="CF120" s="13" t="s">
        <v>1141</v>
      </c>
      <c r="CG120" s="13" t="s">
        <v>1142</v>
      </c>
    </row>
    <row r="121" spans="1:85">
      <c r="A121" s="13" t="s">
        <v>1791</v>
      </c>
      <c r="B121" s="13" t="s">
        <v>1791</v>
      </c>
      <c r="C121" s="14" t="s">
        <v>4161</v>
      </c>
      <c r="D121" s="14" t="s">
        <v>834</v>
      </c>
      <c r="E121" s="13" t="s">
        <v>630</v>
      </c>
      <c r="F121" s="13" t="s">
        <v>2374</v>
      </c>
      <c r="G121" s="13" t="s">
        <v>673</v>
      </c>
      <c r="H121" s="13" t="s">
        <v>578</v>
      </c>
      <c r="J121" s="13" t="s">
        <v>712</v>
      </c>
      <c r="K121" s="14" t="s">
        <v>2968</v>
      </c>
      <c r="L121" s="13" t="s">
        <v>1960</v>
      </c>
      <c r="M121" s="13" t="s">
        <v>2375</v>
      </c>
      <c r="N121" s="13">
        <v>323</v>
      </c>
      <c r="O121" s="2">
        <f t="shared" si="10"/>
        <v>0.56567425569176888</v>
      </c>
      <c r="P121" s="13">
        <v>323</v>
      </c>
      <c r="Q121" s="17">
        <f>P121/S121</f>
        <v>0.56567425569176888</v>
      </c>
      <c r="R121" s="13">
        <v>571</v>
      </c>
      <c r="S121" s="13">
        <v>571</v>
      </c>
      <c r="W121" s="13">
        <v>53.17</v>
      </c>
      <c r="X121" s="13">
        <v>11.72</v>
      </c>
      <c r="AB121" s="13">
        <v>53.17</v>
      </c>
      <c r="AC121" s="13">
        <v>11.71</v>
      </c>
      <c r="AG121" s="13" t="s">
        <v>903</v>
      </c>
      <c r="BB121" s="13">
        <v>67</v>
      </c>
      <c r="BC121" s="13">
        <v>5.4</v>
      </c>
      <c r="BM121" s="13">
        <v>76.38</v>
      </c>
      <c r="BN121" s="13">
        <v>4.7</v>
      </c>
      <c r="BX121" s="13" t="s">
        <v>701</v>
      </c>
      <c r="BY121" s="13" t="s">
        <v>1139</v>
      </c>
      <c r="BZ121" s="13" t="s">
        <v>1140</v>
      </c>
      <c r="CA121" s="13">
        <v>2019</v>
      </c>
      <c r="CB121" s="13" t="s">
        <v>73</v>
      </c>
      <c r="CC121" s="13" t="s">
        <v>114</v>
      </c>
      <c r="CD121" s="13">
        <v>20</v>
      </c>
      <c r="CE121" s="13">
        <v>45293</v>
      </c>
      <c r="CF121" s="13" t="s">
        <v>1141</v>
      </c>
      <c r="CG121" s="13" t="s">
        <v>1142</v>
      </c>
    </row>
    <row r="122" spans="1:85">
      <c r="A122" s="13" t="s">
        <v>1793</v>
      </c>
      <c r="B122" s="13" t="s">
        <v>1793</v>
      </c>
      <c r="C122" s="14" t="s">
        <v>4162</v>
      </c>
      <c r="D122" s="14" t="s">
        <v>818</v>
      </c>
      <c r="E122" s="13" t="s">
        <v>630</v>
      </c>
      <c r="F122" s="13" t="s">
        <v>809</v>
      </c>
      <c r="G122" s="13" t="s">
        <v>674</v>
      </c>
      <c r="H122" s="13" t="s">
        <v>2382</v>
      </c>
      <c r="J122" s="13" t="s">
        <v>712</v>
      </c>
      <c r="K122" s="14" t="s">
        <v>4062</v>
      </c>
      <c r="L122" s="13" t="s">
        <v>585</v>
      </c>
      <c r="N122" s="13">
        <v>26</v>
      </c>
      <c r="O122" s="2">
        <f t="shared" si="10"/>
        <v>0.65</v>
      </c>
      <c r="P122" s="13">
        <v>25</v>
      </c>
      <c r="Q122" s="17">
        <f>P122/S122</f>
        <v>0.64102564102564108</v>
      </c>
      <c r="R122" s="13">
        <v>40</v>
      </c>
      <c r="S122" s="13">
        <v>39</v>
      </c>
      <c r="W122" s="13">
        <v>54.35</v>
      </c>
      <c r="X122" s="13">
        <v>2.02</v>
      </c>
      <c r="AB122" s="13">
        <v>55.74</v>
      </c>
      <c r="AC122" s="13">
        <v>1.32</v>
      </c>
      <c r="AG122" s="13" t="s">
        <v>639</v>
      </c>
      <c r="BB122" s="13">
        <v>40.4</v>
      </c>
      <c r="BC122" s="13">
        <f>BD122*SQRT(R122)</f>
        <v>13.34481172591056</v>
      </c>
      <c r="BD122" s="13">
        <v>2.11</v>
      </c>
      <c r="BM122" s="13">
        <v>22.45</v>
      </c>
      <c r="BN122" s="13">
        <f>BO122*SQRT(S122)</f>
        <v>11.865496196956956</v>
      </c>
      <c r="BO122" s="13">
        <v>1.9</v>
      </c>
      <c r="BX122" s="13" t="s">
        <v>635</v>
      </c>
      <c r="BY122" s="13" t="s">
        <v>1143</v>
      </c>
      <c r="BZ122" s="13" t="s">
        <v>1144</v>
      </c>
      <c r="CA122" s="13">
        <v>2019</v>
      </c>
      <c r="CB122" s="13" t="s">
        <v>12</v>
      </c>
      <c r="CC122" s="13" t="s">
        <v>1145</v>
      </c>
      <c r="CD122" s="13">
        <v>13</v>
      </c>
      <c r="CG122" s="13" t="s">
        <v>1146</v>
      </c>
    </row>
    <row r="123" spans="1:85">
      <c r="A123" s="13" t="s">
        <v>3370</v>
      </c>
      <c r="C123" s="13" t="s">
        <v>3300</v>
      </c>
      <c r="D123" s="14" t="s">
        <v>830</v>
      </c>
      <c r="G123" s="13" t="s">
        <v>673</v>
      </c>
      <c r="H123" s="13" t="s">
        <v>3698</v>
      </c>
      <c r="J123" s="14" t="s">
        <v>3699</v>
      </c>
      <c r="K123" s="13" t="s">
        <v>3700</v>
      </c>
      <c r="L123" s="14" t="s">
        <v>585</v>
      </c>
      <c r="N123" s="13">
        <v>43</v>
      </c>
      <c r="O123" s="2">
        <f t="shared" si="10"/>
        <v>0.62318840579710144</v>
      </c>
      <c r="R123" s="13">
        <v>69</v>
      </c>
      <c r="T123" s="13">
        <v>0</v>
      </c>
      <c r="U123" s="15">
        <v>0</v>
      </c>
      <c r="V123" s="13">
        <v>0</v>
      </c>
      <c r="Y123" s="13">
        <v>48</v>
      </c>
      <c r="AG123" s="13" t="s">
        <v>639</v>
      </c>
      <c r="BY123" s="13" t="s">
        <v>3463</v>
      </c>
      <c r="BZ123" s="13" t="s">
        <v>3464</v>
      </c>
      <c r="CA123" s="13">
        <v>2025</v>
      </c>
      <c r="CB123" s="13" t="s">
        <v>25</v>
      </c>
      <c r="CC123" s="13" t="s">
        <v>19</v>
      </c>
      <c r="CD123" s="13">
        <v>32</v>
      </c>
      <c r="CE123" s="13">
        <v>3</v>
      </c>
      <c r="CF123" s="13" t="s">
        <v>3465</v>
      </c>
      <c r="CG123" s="13" t="s">
        <v>3225</v>
      </c>
    </row>
    <row r="124" spans="1:85">
      <c r="A124" s="13" t="s">
        <v>3370</v>
      </c>
      <c r="C124" s="13" t="s">
        <v>3300</v>
      </c>
      <c r="D124" s="14" t="s">
        <v>830</v>
      </c>
      <c r="G124" s="13" t="s">
        <v>673</v>
      </c>
      <c r="H124" s="13" t="s">
        <v>3703</v>
      </c>
      <c r="J124" s="14" t="s">
        <v>3699</v>
      </c>
      <c r="K124" s="13" t="s">
        <v>3700</v>
      </c>
      <c r="L124" s="14" t="s">
        <v>585</v>
      </c>
      <c r="N124" s="13">
        <v>43</v>
      </c>
      <c r="O124" s="2">
        <f t="shared" si="10"/>
        <v>0.62318840579710144</v>
      </c>
      <c r="R124" s="13">
        <v>69</v>
      </c>
      <c r="T124" s="13">
        <v>0</v>
      </c>
      <c r="U124" s="15">
        <v>0</v>
      </c>
      <c r="V124" s="13">
        <v>0</v>
      </c>
      <c r="Y124" s="13">
        <v>48</v>
      </c>
      <c r="AG124" s="13" t="s">
        <v>639</v>
      </c>
      <c r="BY124" s="13" t="s">
        <v>3463</v>
      </c>
      <c r="BZ124" s="13" t="s">
        <v>3464</v>
      </c>
      <c r="CA124" s="13">
        <v>2025</v>
      </c>
      <c r="CB124" s="13" t="s">
        <v>25</v>
      </c>
      <c r="CC124" s="13" t="s">
        <v>19</v>
      </c>
      <c r="CD124" s="13">
        <v>32</v>
      </c>
      <c r="CE124" s="13">
        <v>3</v>
      </c>
      <c r="CF124" s="13" t="s">
        <v>3465</v>
      </c>
      <c r="CG124" s="13" t="s">
        <v>3225</v>
      </c>
    </row>
    <row r="125" spans="1:85">
      <c r="A125" s="13" t="s">
        <v>3371</v>
      </c>
      <c r="C125" s="13" t="s">
        <v>3301</v>
      </c>
      <c r="D125" s="14" t="s">
        <v>2772</v>
      </c>
      <c r="G125" s="13" t="s">
        <v>673</v>
      </c>
      <c r="H125" s="13" t="s">
        <v>2198</v>
      </c>
      <c r="J125" s="14" t="s">
        <v>716</v>
      </c>
      <c r="K125" s="13" t="s">
        <v>2788</v>
      </c>
      <c r="L125" s="14"/>
      <c r="N125" s="13">
        <v>189</v>
      </c>
      <c r="O125" s="2">
        <v>0.59099999999999997</v>
      </c>
      <c r="R125" s="13">
        <v>319</v>
      </c>
      <c r="W125" s="13">
        <v>61.4</v>
      </c>
      <c r="X125" s="13">
        <v>13</v>
      </c>
      <c r="AG125" s="13" t="s">
        <v>714</v>
      </c>
      <c r="BY125" s="13" t="s">
        <v>3466</v>
      </c>
      <c r="BZ125" s="13" t="s">
        <v>3467</v>
      </c>
      <c r="CA125" s="13">
        <v>2024</v>
      </c>
      <c r="CC125" s="13" t="s">
        <v>421</v>
      </c>
      <c r="CD125" s="13">
        <v>14</v>
      </c>
      <c r="CE125" s="13">
        <v>7</v>
      </c>
      <c r="CG125" s="13" t="s">
        <v>3226</v>
      </c>
    </row>
    <row r="126" spans="1:85">
      <c r="A126" s="13" t="s">
        <v>1679</v>
      </c>
      <c r="C126" s="13" t="s">
        <v>116</v>
      </c>
      <c r="D126" s="16" t="s">
        <v>827</v>
      </c>
      <c r="E126" s="13" t="s">
        <v>633</v>
      </c>
      <c r="F126" s="13" t="s">
        <v>715</v>
      </c>
      <c r="G126" s="13" t="s">
        <v>672</v>
      </c>
      <c r="H126" s="13" t="s">
        <v>719</v>
      </c>
      <c r="J126" s="13" t="s">
        <v>716</v>
      </c>
      <c r="K126" s="13" t="s">
        <v>3178</v>
      </c>
      <c r="L126" s="13" t="s">
        <v>1961</v>
      </c>
      <c r="M126" s="13" t="s">
        <v>717</v>
      </c>
      <c r="N126" s="13">
        <v>18</v>
      </c>
      <c r="O126" s="2">
        <f t="shared" ref="O126:O132" si="11">N126/R126</f>
        <v>0.69230769230769229</v>
      </c>
      <c r="P126" s="13">
        <v>6</v>
      </c>
      <c r="Q126" s="2">
        <f t="shared" ref="Q126:Q132" si="12">P126/S126</f>
        <v>0.6</v>
      </c>
      <c r="R126" s="13">
        <v>26</v>
      </c>
      <c r="S126" s="13">
        <v>10</v>
      </c>
      <c r="Y126" s="13">
        <v>64.599999999999994</v>
      </c>
      <c r="Z126" s="13">
        <v>55.7</v>
      </c>
      <c r="AA126" s="13">
        <v>72.3</v>
      </c>
      <c r="AD126" s="13">
        <v>57</v>
      </c>
      <c r="AE126" s="13">
        <v>49.1</v>
      </c>
      <c r="AF126" s="13">
        <v>64.3</v>
      </c>
      <c r="AG126" s="13" t="s">
        <v>718</v>
      </c>
      <c r="AP126" s="13">
        <v>0.79200000000000004</v>
      </c>
      <c r="BG126" s="13">
        <v>46.87</v>
      </c>
      <c r="BI126" s="13">
        <v>41.44</v>
      </c>
      <c r="BJ126" s="13">
        <v>48.3</v>
      </c>
      <c r="BR126" s="13">
        <v>40.5</v>
      </c>
      <c r="BT126" s="13">
        <v>36.159999999999997</v>
      </c>
      <c r="BU126" s="13">
        <v>47.96</v>
      </c>
      <c r="BX126" s="13">
        <v>6.0000000000000001E-3</v>
      </c>
      <c r="BY126" s="13" t="s">
        <v>117</v>
      </c>
      <c r="BZ126" s="13" t="s">
        <v>118</v>
      </c>
      <c r="CA126" s="13">
        <v>2019</v>
      </c>
      <c r="CB126" s="13" t="s">
        <v>119</v>
      </c>
      <c r="CC126" s="13" t="s">
        <v>120</v>
      </c>
      <c r="CD126" s="13">
        <v>56</v>
      </c>
      <c r="CE126" s="13">
        <v>8</v>
      </c>
      <c r="CF126" s="13" t="s">
        <v>121</v>
      </c>
      <c r="CG126" s="13" t="s">
        <v>122</v>
      </c>
    </row>
    <row r="127" spans="1:85">
      <c r="A127" s="13" t="s">
        <v>1679</v>
      </c>
      <c r="C127" s="13" t="s">
        <v>116</v>
      </c>
      <c r="D127" s="16" t="s">
        <v>827</v>
      </c>
      <c r="E127" s="13" t="s">
        <v>633</v>
      </c>
      <c r="F127" s="13" t="s">
        <v>715</v>
      </c>
      <c r="G127" s="13" t="s">
        <v>672</v>
      </c>
      <c r="H127" s="13" t="s">
        <v>686</v>
      </c>
      <c r="J127" s="13" t="s">
        <v>716</v>
      </c>
      <c r="K127" s="13" t="s">
        <v>3178</v>
      </c>
      <c r="L127" s="13" t="s">
        <v>585</v>
      </c>
      <c r="M127" s="13" t="s">
        <v>585</v>
      </c>
      <c r="N127" s="13">
        <v>18</v>
      </c>
      <c r="O127" s="2">
        <f t="shared" si="11"/>
        <v>0.69230769230769229</v>
      </c>
      <c r="P127" s="13">
        <v>6</v>
      </c>
      <c r="Q127" s="2">
        <f t="shared" si="12"/>
        <v>0.6</v>
      </c>
      <c r="R127" s="13">
        <v>26</v>
      </c>
      <c r="S127" s="13">
        <v>10</v>
      </c>
      <c r="Y127" s="13">
        <v>64.599999999999994</v>
      </c>
      <c r="Z127" s="13">
        <v>55.7</v>
      </c>
      <c r="AA127" s="13">
        <v>72.3</v>
      </c>
      <c r="AD127" s="13">
        <v>57</v>
      </c>
      <c r="AE127" s="13">
        <v>49.1</v>
      </c>
      <c r="AF127" s="13">
        <v>64.3</v>
      </c>
      <c r="AG127" s="13" t="s">
        <v>639</v>
      </c>
      <c r="AP127" s="13">
        <v>0.77700000000000002</v>
      </c>
      <c r="BG127" s="13">
        <v>1672</v>
      </c>
      <c r="BI127" s="13">
        <v>536</v>
      </c>
      <c r="BJ127" s="13">
        <v>3092</v>
      </c>
      <c r="BR127" s="13">
        <v>378</v>
      </c>
      <c r="BT127" s="13">
        <v>236</v>
      </c>
      <c r="BU127" s="13">
        <v>809</v>
      </c>
      <c r="BY127" s="13" t="s">
        <v>117</v>
      </c>
      <c r="BZ127" s="13" t="s">
        <v>118</v>
      </c>
      <c r="CA127" s="13">
        <v>2019</v>
      </c>
      <c r="CB127" s="13" t="s">
        <v>119</v>
      </c>
      <c r="CC127" s="13" t="s">
        <v>120</v>
      </c>
      <c r="CD127" s="13">
        <v>56</v>
      </c>
      <c r="CE127" s="13">
        <v>8</v>
      </c>
      <c r="CF127" s="13" t="s">
        <v>121</v>
      </c>
      <c r="CG127" s="13" t="s">
        <v>122</v>
      </c>
    </row>
    <row r="128" spans="1:85">
      <c r="A128" s="13" t="s">
        <v>1796</v>
      </c>
      <c r="B128" s="13" t="s">
        <v>1796</v>
      </c>
      <c r="C128" s="14" t="s">
        <v>1160</v>
      </c>
      <c r="D128" s="14" t="s">
        <v>827</v>
      </c>
      <c r="E128" s="13" t="s">
        <v>657</v>
      </c>
      <c r="F128" s="13" t="s">
        <v>2393</v>
      </c>
      <c r="G128" s="13" t="s">
        <v>672</v>
      </c>
      <c r="H128" s="13" t="s">
        <v>680</v>
      </c>
      <c r="J128" s="13" t="s">
        <v>716</v>
      </c>
      <c r="K128" s="14" t="s">
        <v>4063</v>
      </c>
      <c r="L128" s="13" t="s">
        <v>585</v>
      </c>
      <c r="N128" s="13">
        <v>25</v>
      </c>
      <c r="O128" s="2">
        <f t="shared" si="11"/>
        <v>0.73529411764705888</v>
      </c>
      <c r="P128" s="13">
        <v>12</v>
      </c>
      <c r="Q128" s="17">
        <f t="shared" si="12"/>
        <v>0.5</v>
      </c>
      <c r="R128" s="13">
        <v>34</v>
      </c>
      <c r="S128" s="13">
        <v>24</v>
      </c>
      <c r="Y128" s="13">
        <v>56.7</v>
      </c>
      <c r="Z128" s="13">
        <v>47.4</v>
      </c>
      <c r="AA128" s="13">
        <v>66.3</v>
      </c>
      <c r="AD128" s="13">
        <v>55.9</v>
      </c>
      <c r="AE128" s="13">
        <v>43.1</v>
      </c>
      <c r="AF128" s="13">
        <v>65.5</v>
      </c>
      <c r="AG128" s="13" t="s">
        <v>639</v>
      </c>
      <c r="AP128" s="13">
        <v>0.8</v>
      </c>
      <c r="BG128" s="13">
        <v>4254</v>
      </c>
      <c r="BI128" s="13">
        <v>1293</v>
      </c>
      <c r="BJ128" s="13">
        <v>17074</v>
      </c>
      <c r="BR128" s="13">
        <v>638.9</v>
      </c>
      <c r="BT128" s="13">
        <v>273.7</v>
      </c>
      <c r="BU128" s="13">
        <v>1678</v>
      </c>
      <c r="BX128" s="13" t="s">
        <v>701</v>
      </c>
      <c r="BY128" s="13" t="s">
        <v>1156</v>
      </c>
      <c r="BZ128" s="13" t="s">
        <v>1157</v>
      </c>
      <c r="CA128" s="13">
        <v>2021</v>
      </c>
      <c r="CB128" s="13" t="s">
        <v>2196</v>
      </c>
      <c r="CC128" s="13" t="s">
        <v>1158</v>
      </c>
      <c r="CD128" s="13">
        <v>11</v>
      </c>
      <c r="CE128" s="13">
        <v>7</v>
      </c>
      <c r="CG128" s="13" t="s">
        <v>1159</v>
      </c>
    </row>
    <row r="129" spans="1:85">
      <c r="A129" s="13" t="s">
        <v>1796</v>
      </c>
      <c r="B129" s="13" t="s">
        <v>1796</v>
      </c>
      <c r="C129" s="14" t="s">
        <v>1160</v>
      </c>
      <c r="D129" s="14" t="s">
        <v>827</v>
      </c>
      <c r="E129" s="13" t="s">
        <v>657</v>
      </c>
      <c r="F129" s="13" t="s">
        <v>2393</v>
      </c>
      <c r="G129" s="13" t="s">
        <v>672</v>
      </c>
      <c r="H129" s="13" t="s">
        <v>679</v>
      </c>
      <c r="J129" s="13" t="s">
        <v>716</v>
      </c>
      <c r="K129" s="14" t="s">
        <v>4063</v>
      </c>
      <c r="L129" s="13" t="s">
        <v>585</v>
      </c>
      <c r="N129" s="13">
        <v>24</v>
      </c>
      <c r="O129" s="2">
        <f t="shared" si="11"/>
        <v>0.75</v>
      </c>
      <c r="P129" s="13">
        <v>9</v>
      </c>
      <c r="Q129" s="17">
        <f t="shared" si="12"/>
        <v>0.5</v>
      </c>
      <c r="R129" s="13">
        <v>32</v>
      </c>
      <c r="S129" s="13">
        <v>18</v>
      </c>
      <c r="Y129" s="13">
        <v>58</v>
      </c>
      <c r="Z129" s="13">
        <v>49.7</v>
      </c>
      <c r="AA129" s="13">
        <v>66.400000000000006</v>
      </c>
      <c r="AD129" s="13">
        <v>56</v>
      </c>
      <c r="AE129" s="13">
        <v>45.8</v>
      </c>
      <c r="AF129" s="13">
        <v>67</v>
      </c>
      <c r="AG129" s="13" t="s">
        <v>641</v>
      </c>
      <c r="BG129" s="13">
        <v>128</v>
      </c>
      <c r="BI129" s="13">
        <v>91.4</v>
      </c>
      <c r="BJ129" s="13">
        <v>173.3</v>
      </c>
      <c r="BR129" s="13">
        <v>111.7</v>
      </c>
      <c r="BT129" s="13">
        <v>84.3</v>
      </c>
      <c r="BU129" s="13">
        <v>147.69999999999999</v>
      </c>
      <c r="BX129" s="13">
        <v>0.51500000000000001</v>
      </c>
      <c r="BY129" s="13" t="s">
        <v>1156</v>
      </c>
      <c r="BZ129" s="13" t="s">
        <v>1157</v>
      </c>
      <c r="CA129" s="13">
        <v>2021</v>
      </c>
      <c r="CB129" s="13" t="s">
        <v>2196</v>
      </c>
      <c r="CC129" s="13" t="s">
        <v>1158</v>
      </c>
      <c r="CD129" s="13">
        <v>11</v>
      </c>
      <c r="CE129" s="13">
        <v>7</v>
      </c>
      <c r="CG129" s="13" t="s">
        <v>1159</v>
      </c>
    </row>
    <row r="130" spans="1:85">
      <c r="A130" s="13" t="s">
        <v>1796</v>
      </c>
      <c r="B130" s="13" t="s">
        <v>1796</v>
      </c>
      <c r="C130" s="14" t="s">
        <v>1160</v>
      </c>
      <c r="D130" s="14" t="s">
        <v>827</v>
      </c>
      <c r="E130" s="13" t="s">
        <v>657</v>
      </c>
      <c r="F130" s="13" t="s">
        <v>2393</v>
      </c>
      <c r="G130" s="13" t="s">
        <v>672</v>
      </c>
      <c r="H130" s="13" t="s">
        <v>1004</v>
      </c>
      <c r="J130" s="13" t="s">
        <v>716</v>
      </c>
      <c r="K130" s="14" t="s">
        <v>4063</v>
      </c>
      <c r="L130" s="13" t="s">
        <v>585</v>
      </c>
      <c r="N130" s="13">
        <v>22</v>
      </c>
      <c r="O130" s="2">
        <f t="shared" si="11"/>
        <v>0.73333333333333328</v>
      </c>
      <c r="P130" s="13">
        <v>8</v>
      </c>
      <c r="Q130" s="17">
        <f t="shared" si="12"/>
        <v>0.47058823529411764</v>
      </c>
      <c r="R130" s="13">
        <v>30</v>
      </c>
      <c r="S130" s="13">
        <v>17</v>
      </c>
      <c r="Y130" s="13">
        <v>59.4</v>
      </c>
      <c r="Z130" s="13">
        <v>49.8</v>
      </c>
      <c r="AA130" s="13">
        <v>66.599999999999994</v>
      </c>
      <c r="AD130" s="13">
        <v>57.2</v>
      </c>
      <c r="AE130" s="13">
        <v>47.7</v>
      </c>
      <c r="AF130" s="13">
        <v>67</v>
      </c>
      <c r="AG130" s="13" t="s">
        <v>641</v>
      </c>
      <c r="BG130" s="13">
        <v>12.1</v>
      </c>
      <c r="BI130" s="13">
        <v>8.17</v>
      </c>
      <c r="BJ130" s="13">
        <v>22.27</v>
      </c>
      <c r="BR130" s="13">
        <v>8.66</v>
      </c>
      <c r="BT130" s="13">
        <v>6.47</v>
      </c>
      <c r="BU130" s="13">
        <v>12.13</v>
      </c>
      <c r="BX130" s="13">
        <v>9.9000000000000005E-2</v>
      </c>
      <c r="BY130" s="13" t="s">
        <v>1156</v>
      </c>
      <c r="BZ130" s="13" t="s">
        <v>1157</v>
      </c>
      <c r="CA130" s="13">
        <v>2021</v>
      </c>
      <c r="CB130" s="13" t="s">
        <v>2196</v>
      </c>
      <c r="CC130" s="13" t="s">
        <v>1158</v>
      </c>
      <c r="CD130" s="13">
        <v>11</v>
      </c>
      <c r="CE130" s="13">
        <v>7</v>
      </c>
      <c r="CG130" s="13" t="s">
        <v>1159</v>
      </c>
    </row>
    <row r="131" spans="1:85">
      <c r="A131" s="13" t="s">
        <v>1796</v>
      </c>
      <c r="B131" s="13" t="s">
        <v>1796</v>
      </c>
      <c r="C131" s="14" t="s">
        <v>1160</v>
      </c>
      <c r="D131" s="14" t="s">
        <v>827</v>
      </c>
      <c r="E131" s="13" t="s">
        <v>657</v>
      </c>
      <c r="F131" s="13" t="s">
        <v>2393</v>
      </c>
      <c r="G131" s="13" t="s">
        <v>672</v>
      </c>
      <c r="H131" s="13" t="s">
        <v>686</v>
      </c>
      <c r="J131" s="13" t="s">
        <v>716</v>
      </c>
      <c r="K131" s="14" t="s">
        <v>4063</v>
      </c>
      <c r="L131" s="13" t="s">
        <v>585</v>
      </c>
      <c r="N131" s="13">
        <v>26</v>
      </c>
      <c r="O131" s="2">
        <f t="shared" si="11"/>
        <v>0.72222222222222221</v>
      </c>
      <c r="P131" s="13">
        <v>11</v>
      </c>
      <c r="Q131" s="17">
        <f t="shared" si="12"/>
        <v>0.57894736842105265</v>
      </c>
      <c r="R131" s="13">
        <v>36</v>
      </c>
      <c r="S131" s="13">
        <v>19</v>
      </c>
      <c r="Y131" s="13">
        <v>56</v>
      </c>
      <c r="Z131" s="13">
        <v>48</v>
      </c>
      <c r="AA131" s="13">
        <v>66.400000000000006</v>
      </c>
      <c r="AD131" s="13">
        <v>62.3</v>
      </c>
      <c r="AE131" s="13">
        <v>52.3</v>
      </c>
      <c r="AF131" s="13">
        <v>67</v>
      </c>
      <c r="AG131" s="13" t="s">
        <v>639</v>
      </c>
      <c r="AP131" s="13">
        <v>0.84</v>
      </c>
      <c r="BG131" s="13">
        <v>1751</v>
      </c>
      <c r="BI131" s="13">
        <v>604.1</v>
      </c>
      <c r="BJ131" s="13">
        <v>3285</v>
      </c>
      <c r="BR131" s="13">
        <v>338.7</v>
      </c>
      <c r="BT131" s="13">
        <v>114.9</v>
      </c>
      <c r="BU131" s="13">
        <v>605.70000000000005</v>
      </c>
      <c r="BX131" s="13" t="s">
        <v>2394</v>
      </c>
      <c r="BY131" s="13" t="s">
        <v>1156</v>
      </c>
      <c r="BZ131" s="13" t="s">
        <v>1157</v>
      </c>
      <c r="CA131" s="13">
        <v>2021</v>
      </c>
      <c r="CB131" s="13" t="s">
        <v>2196</v>
      </c>
      <c r="CC131" s="13" t="s">
        <v>1158</v>
      </c>
      <c r="CD131" s="13">
        <v>11</v>
      </c>
      <c r="CE131" s="13">
        <v>7</v>
      </c>
      <c r="CG131" s="13" t="s">
        <v>1159</v>
      </c>
    </row>
    <row r="132" spans="1:85">
      <c r="A132" s="13" t="s">
        <v>1680</v>
      </c>
      <c r="B132" s="13" t="s">
        <v>1997</v>
      </c>
      <c r="C132" s="13" t="s">
        <v>128</v>
      </c>
      <c r="D132" s="13" t="s">
        <v>818</v>
      </c>
      <c r="E132" s="13" t="s">
        <v>720</v>
      </c>
      <c r="F132" s="13" t="s">
        <v>720</v>
      </c>
      <c r="G132" s="13" t="s">
        <v>674</v>
      </c>
      <c r="H132" s="13" t="s">
        <v>721</v>
      </c>
      <c r="J132" s="13" t="s">
        <v>584</v>
      </c>
      <c r="K132" s="14" t="s">
        <v>3101</v>
      </c>
      <c r="L132" s="13" t="s">
        <v>652</v>
      </c>
      <c r="N132" s="13">
        <v>78</v>
      </c>
      <c r="O132" s="2">
        <f t="shared" si="11"/>
        <v>0.6</v>
      </c>
      <c r="P132" s="13">
        <v>39</v>
      </c>
      <c r="Q132" s="2">
        <f t="shared" si="12"/>
        <v>0.49367088607594939</v>
      </c>
      <c r="R132" s="13">
        <v>130</v>
      </c>
      <c r="S132" s="13">
        <v>79</v>
      </c>
      <c r="V132" s="13">
        <v>37</v>
      </c>
      <c r="Y132" s="13">
        <v>60</v>
      </c>
      <c r="Z132" s="13">
        <v>53</v>
      </c>
      <c r="AA132" s="13">
        <v>67</v>
      </c>
      <c r="AD132" s="13">
        <v>62</v>
      </c>
      <c r="AE132" s="13">
        <v>57</v>
      </c>
      <c r="AF132" s="13">
        <v>68.5</v>
      </c>
      <c r="AG132" s="13" t="s">
        <v>639</v>
      </c>
      <c r="AP132" s="13">
        <v>0.6</v>
      </c>
      <c r="BG132" s="13">
        <v>6.4</v>
      </c>
      <c r="BH132" s="13">
        <v>5.28</v>
      </c>
      <c r="BI132" s="13">
        <v>3.76</v>
      </c>
      <c r="BJ132" s="13">
        <v>9.0399999999999991</v>
      </c>
      <c r="BR132" s="13">
        <v>5</v>
      </c>
      <c r="BS132" s="13">
        <v>4</v>
      </c>
      <c r="BT132" s="13">
        <v>3</v>
      </c>
      <c r="BU132" s="13">
        <v>7</v>
      </c>
      <c r="BX132" s="13">
        <v>0.67</v>
      </c>
      <c r="BY132" s="13" t="s">
        <v>123</v>
      </c>
      <c r="BZ132" s="13" t="s">
        <v>4104</v>
      </c>
      <c r="CA132" s="13">
        <v>2022</v>
      </c>
      <c r="CB132" s="13" t="s">
        <v>44</v>
      </c>
      <c r="CC132" s="13" t="s">
        <v>125</v>
      </c>
      <c r="CD132" s="13">
        <v>92</v>
      </c>
      <c r="CE132" s="13">
        <v>5</v>
      </c>
      <c r="CF132" s="13" t="s">
        <v>126</v>
      </c>
      <c r="CG132" s="13" t="s">
        <v>127</v>
      </c>
    </row>
    <row r="133" spans="1:85">
      <c r="A133" s="13" t="s">
        <v>1680</v>
      </c>
      <c r="B133" s="13" t="s">
        <v>1997</v>
      </c>
      <c r="C133" s="13" t="s">
        <v>128</v>
      </c>
      <c r="D133" s="13" t="s">
        <v>818</v>
      </c>
      <c r="E133" s="13" t="s">
        <v>720</v>
      </c>
      <c r="F133" s="13" t="s">
        <v>720</v>
      </c>
      <c r="G133" s="13" t="s">
        <v>674</v>
      </c>
      <c r="H133" s="13" t="s">
        <v>675</v>
      </c>
      <c r="J133" s="13" t="s">
        <v>584</v>
      </c>
      <c r="K133" s="14" t="s">
        <v>3101</v>
      </c>
      <c r="L133" s="13" t="s">
        <v>652</v>
      </c>
      <c r="Q133" s="2"/>
      <c r="R133" s="13">
        <v>120</v>
      </c>
      <c r="S133" s="13">
        <v>67</v>
      </c>
      <c r="V133" s="13">
        <v>37</v>
      </c>
      <c r="AG133" s="13" t="s">
        <v>639</v>
      </c>
      <c r="AP133" s="13">
        <v>0.88</v>
      </c>
      <c r="BY133" s="13" t="s">
        <v>123</v>
      </c>
      <c r="BZ133" s="13" t="s">
        <v>124</v>
      </c>
      <c r="CA133" s="13">
        <v>2022</v>
      </c>
      <c r="CB133" s="13" t="s">
        <v>44</v>
      </c>
      <c r="CC133" s="13" t="s">
        <v>125</v>
      </c>
      <c r="CD133" s="13">
        <v>92</v>
      </c>
      <c r="CE133" s="13">
        <v>5</v>
      </c>
      <c r="CF133" s="13" t="s">
        <v>126</v>
      </c>
      <c r="CG133" s="13" t="s">
        <v>127</v>
      </c>
    </row>
    <row r="134" spans="1:85">
      <c r="A134" s="13" t="s">
        <v>1680</v>
      </c>
      <c r="B134" s="13" t="s">
        <v>1997</v>
      </c>
      <c r="C134" s="13" t="s">
        <v>128</v>
      </c>
      <c r="D134" s="13" t="s">
        <v>818</v>
      </c>
      <c r="E134" s="13" t="s">
        <v>720</v>
      </c>
      <c r="F134" s="13" t="s">
        <v>720</v>
      </c>
      <c r="G134" s="13" t="s">
        <v>672</v>
      </c>
      <c r="H134" s="13" t="s">
        <v>721</v>
      </c>
      <c r="J134" s="13" t="s">
        <v>584</v>
      </c>
      <c r="K134" s="14" t="s">
        <v>3101</v>
      </c>
      <c r="L134" s="13" t="s">
        <v>4156</v>
      </c>
      <c r="Q134" s="2"/>
      <c r="R134" s="13">
        <v>47</v>
      </c>
      <c r="S134" s="13">
        <v>69</v>
      </c>
      <c r="V134" s="13">
        <v>37</v>
      </c>
      <c r="AG134" s="13" t="s">
        <v>639</v>
      </c>
      <c r="AP134" s="13">
        <v>0.98</v>
      </c>
      <c r="BY134" s="13" t="s">
        <v>123</v>
      </c>
      <c r="BZ134" s="13" t="s">
        <v>124</v>
      </c>
      <c r="CA134" s="13">
        <v>2022</v>
      </c>
      <c r="CB134" s="13" t="s">
        <v>44</v>
      </c>
      <c r="CC134" s="13" t="s">
        <v>125</v>
      </c>
      <c r="CD134" s="13">
        <v>92</v>
      </c>
      <c r="CE134" s="13">
        <v>5</v>
      </c>
      <c r="CF134" s="13" t="s">
        <v>126</v>
      </c>
      <c r="CG134" s="13" t="s">
        <v>127</v>
      </c>
    </row>
    <row r="135" spans="1:85">
      <c r="A135" s="13" t="s">
        <v>1680</v>
      </c>
      <c r="B135" s="13" t="s">
        <v>1997</v>
      </c>
      <c r="C135" s="13" t="s">
        <v>128</v>
      </c>
      <c r="D135" s="13" t="s">
        <v>818</v>
      </c>
      <c r="E135" s="13" t="s">
        <v>720</v>
      </c>
      <c r="F135" s="13" t="s">
        <v>720</v>
      </c>
      <c r="G135" s="13" t="s">
        <v>672</v>
      </c>
      <c r="H135" s="13" t="s">
        <v>823</v>
      </c>
      <c r="J135" s="13" t="s">
        <v>584</v>
      </c>
      <c r="K135" s="14" t="s">
        <v>3101</v>
      </c>
      <c r="L135" s="13" t="s">
        <v>724</v>
      </c>
      <c r="Q135" s="2"/>
      <c r="R135" s="13">
        <v>50</v>
      </c>
      <c r="S135" s="13">
        <v>70</v>
      </c>
      <c r="V135" s="13">
        <v>37</v>
      </c>
      <c r="AG135" s="13" t="s">
        <v>639</v>
      </c>
      <c r="BG135" s="13">
        <v>288</v>
      </c>
      <c r="BI135" s="13">
        <v>254.2</v>
      </c>
      <c r="BJ135" s="13">
        <v>328.2</v>
      </c>
      <c r="BR135" s="13">
        <v>143</v>
      </c>
      <c r="BT135" s="13">
        <v>125</v>
      </c>
      <c r="BU135" s="13">
        <v>165</v>
      </c>
      <c r="BY135" s="13" t="s">
        <v>123</v>
      </c>
      <c r="BZ135" s="13" t="s">
        <v>124</v>
      </c>
      <c r="CA135" s="13">
        <v>2022</v>
      </c>
      <c r="CB135" s="13" t="s">
        <v>44</v>
      </c>
      <c r="CC135" s="13" t="s">
        <v>125</v>
      </c>
      <c r="CD135" s="13">
        <v>92</v>
      </c>
      <c r="CE135" s="13">
        <v>5</v>
      </c>
      <c r="CF135" s="13" t="s">
        <v>126</v>
      </c>
      <c r="CG135" s="13" t="s">
        <v>127</v>
      </c>
    </row>
    <row r="136" spans="1:85">
      <c r="A136" s="13" t="s">
        <v>1680</v>
      </c>
      <c r="B136" s="13" t="s">
        <v>1997</v>
      </c>
      <c r="C136" s="13" t="s">
        <v>128</v>
      </c>
      <c r="D136" s="13" t="s">
        <v>818</v>
      </c>
      <c r="E136" s="13" t="s">
        <v>630</v>
      </c>
      <c r="F136" s="13" t="s">
        <v>824</v>
      </c>
      <c r="G136" s="13" t="s">
        <v>672</v>
      </c>
      <c r="H136" s="13" t="s">
        <v>823</v>
      </c>
      <c r="J136" s="13" t="s">
        <v>584</v>
      </c>
      <c r="K136" s="14" t="s">
        <v>3101</v>
      </c>
      <c r="L136" s="13" t="s">
        <v>724</v>
      </c>
      <c r="P136" s="13">
        <v>10</v>
      </c>
      <c r="Q136" s="2">
        <f>P136/S136</f>
        <v>0.38461538461538464</v>
      </c>
      <c r="R136" s="13">
        <v>50</v>
      </c>
      <c r="S136" s="13">
        <v>26</v>
      </c>
      <c r="V136" s="13">
        <v>37</v>
      </c>
      <c r="AD136" s="13">
        <v>69</v>
      </c>
      <c r="AE136" s="13">
        <v>64.2</v>
      </c>
      <c r="AF136" s="13">
        <v>72</v>
      </c>
      <c r="AG136" s="13" t="s">
        <v>639</v>
      </c>
      <c r="BG136" s="13">
        <v>288</v>
      </c>
      <c r="BI136" s="13">
        <v>254.2</v>
      </c>
      <c r="BJ136" s="13">
        <v>328.2</v>
      </c>
      <c r="BR136" s="13">
        <v>318</v>
      </c>
      <c r="BT136" s="13">
        <v>258</v>
      </c>
      <c r="BU136" s="13">
        <v>386.2</v>
      </c>
      <c r="BY136" s="13" t="s">
        <v>123</v>
      </c>
      <c r="BZ136" s="13" t="s">
        <v>124</v>
      </c>
      <c r="CA136" s="13">
        <v>2022</v>
      </c>
      <c r="CB136" s="13" t="s">
        <v>44</v>
      </c>
      <c r="CC136" s="13" t="s">
        <v>125</v>
      </c>
      <c r="CD136" s="13">
        <v>92</v>
      </c>
      <c r="CE136" s="13">
        <v>5</v>
      </c>
      <c r="CF136" s="13" t="s">
        <v>126</v>
      </c>
      <c r="CG136" s="13" t="s">
        <v>127</v>
      </c>
    </row>
    <row r="137" spans="1:85">
      <c r="A137" s="13" t="s">
        <v>1680</v>
      </c>
      <c r="B137" s="13" t="s">
        <v>1997</v>
      </c>
      <c r="C137" s="13" t="s">
        <v>128</v>
      </c>
      <c r="D137" s="13" t="s">
        <v>818</v>
      </c>
      <c r="E137" s="13" t="s">
        <v>720</v>
      </c>
      <c r="F137" s="13" t="s">
        <v>720</v>
      </c>
      <c r="G137" s="13" t="s">
        <v>672</v>
      </c>
      <c r="H137" s="13" t="s">
        <v>675</v>
      </c>
      <c r="J137" s="13" t="s">
        <v>584</v>
      </c>
      <c r="K137" s="14" t="s">
        <v>3101</v>
      </c>
      <c r="L137" s="13" t="s">
        <v>652</v>
      </c>
      <c r="Q137" s="2"/>
      <c r="R137" s="13">
        <v>12</v>
      </c>
      <c r="S137" s="13">
        <v>30</v>
      </c>
      <c r="V137" s="13">
        <v>37</v>
      </c>
      <c r="AG137" s="13" t="s">
        <v>639</v>
      </c>
      <c r="BY137" s="13" t="s">
        <v>123</v>
      </c>
      <c r="BZ137" s="13" t="s">
        <v>124</v>
      </c>
      <c r="CA137" s="13">
        <v>2022</v>
      </c>
      <c r="CB137" s="13" t="s">
        <v>44</v>
      </c>
      <c r="CC137" s="13" t="s">
        <v>125</v>
      </c>
      <c r="CD137" s="13">
        <v>92</v>
      </c>
      <c r="CE137" s="13">
        <v>5</v>
      </c>
      <c r="CF137" s="13" t="s">
        <v>126</v>
      </c>
      <c r="CG137" s="13" t="s">
        <v>127</v>
      </c>
    </row>
    <row r="138" spans="1:85">
      <c r="A138" s="13" t="s">
        <v>3372</v>
      </c>
      <c r="C138" s="13" t="s">
        <v>3302</v>
      </c>
      <c r="D138" s="14" t="s">
        <v>3707</v>
      </c>
      <c r="G138" s="13" t="s">
        <v>673</v>
      </c>
      <c r="H138" s="13" t="s">
        <v>2378</v>
      </c>
      <c r="J138" s="14" t="s">
        <v>586</v>
      </c>
      <c r="K138" s="13" t="s">
        <v>3641</v>
      </c>
      <c r="L138" s="14"/>
      <c r="M138" s="13" t="s">
        <v>3708</v>
      </c>
      <c r="R138" s="13">
        <v>628</v>
      </c>
      <c r="W138" s="13">
        <v>60.63</v>
      </c>
      <c r="X138" s="13">
        <v>6.68</v>
      </c>
      <c r="AG138" s="13" t="s">
        <v>903</v>
      </c>
      <c r="BY138" s="13" t="s">
        <v>3468</v>
      </c>
      <c r="BZ138" s="13" t="s">
        <v>3469</v>
      </c>
      <c r="CA138" s="13">
        <v>2024</v>
      </c>
      <c r="CC138" s="13" t="s">
        <v>416</v>
      </c>
      <c r="CD138" s="13">
        <v>15</v>
      </c>
      <c r="CF138" s="13">
        <v>1458184</v>
      </c>
      <c r="CG138" s="13" t="s">
        <v>3227</v>
      </c>
    </row>
    <row r="139" spans="1:85">
      <c r="A139" s="13" t="s">
        <v>1681</v>
      </c>
      <c r="B139" s="13" t="s">
        <v>1999</v>
      </c>
      <c r="C139" s="13" t="s">
        <v>132</v>
      </c>
      <c r="D139" s="13" t="s">
        <v>828</v>
      </c>
      <c r="E139" s="13" t="s">
        <v>630</v>
      </c>
      <c r="F139" s="13" t="s">
        <v>711</v>
      </c>
      <c r="G139" s="13" t="s">
        <v>674</v>
      </c>
      <c r="H139" s="13" t="s">
        <v>728</v>
      </c>
      <c r="J139" s="13" t="s">
        <v>726</v>
      </c>
      <c r="K139" s="14" t="s">
        <v>4043</v>
      </c>
      <c r="L139" s="13" t="s">
        <v>1962</v>
      </c>
      <c r="M139" s="13" t="s">
        <v>727</v>
      </c>
      <c r="Q139" s="2"/>
      <c r="R139" s="13">
        <v>30</v>
      </c>
      <c r="S139" s="13">
        <v>30</v>
      </c>
      <c r="T139" s="13">
        <v>0</v>
      </c>
      <c r="U139" s="15">
        <v>0</v>
      </c>
      <c r="W139" s="13">
        <v>55.4</v>
      </c>
      <c r="X139" s="13">
        <v>12</v>
      </c>
      <c r="AG139" s="13" t="s">
        <v>729</v>
      </c>
      <c r="AP139" s="13">
        <v>0.78800000000000003</v>
      </c>
      <c r="BB139" s="13">
        <v>0.56000000000000005</v>
      </c>
      <c r="BM139" s="13">
        <v>1.7</v>
      </c>
      <c r="BX139" s="22">
        <v>2.8299999999999999E-4</v>
      </c>
      <c r="BY139" s="13" t="s">
        <v>129</v>
      </c>
      <c r="BZ139" s="13" t="s">
        <v>130</v>
      </c>
      <c r="CA139" s="13">
        <v>2022</v>
      </c>
      <c r="CB139" s="21">
        <v>45317</v>
      </c>
      <c r="CC139" s="13" t="s">
        <v>61</v>
      </c>
      <c r="CD139" s="13">
        <v>12</v>
      </c>
      <c r="CE139" s="13">
        <v>1</v>
      </c>
      <c r="CF139" s="13">
        <v>1373</v>
      </c>
      <c r="CG139" s="13" t="s">
        <v>131</v>
      </c>
    </row>
    <row r="140" spans="1:85">
      <c r="A140" s="13" t="s">
        <v>1681</v>
      </c>
      <c r="B140" s="13" t="s">
        <v>1999</v>
      </c>
      <c r="C140" s="13" t="s">
        <v>132</v>
      </c>
      <c r="D140" s="13" t="s">
        <v>828</v>
      </c>
      <c r="E140" s="13" t="s">
        <v>630</v>
      </c>
      <c r="F140" s="13" t="s">
        <v>711</v>
      </c>
      <c r="G140" s="13" t="s">
        <v>674</v>
      </c>
      <c r="H140" s="13" t="s">
        <v>730</v>
      </c>
      <c r="J140" s="13" t="s">
        <v>726</v>
      </c>
      <c r="K140" s="14" t="s">
        <v>4043</v>
      </c>
      <c r="L140" s="13" t="s">
        <v>1962</v>
      </c>
      <c r="M140" s="13" t="s">
        <v>727</v>
      </c>
      <c r="Q140" s="2"/>
      <c r="R140" s="13">
        <v>30</v>
      </c>
      <c r="S140" s="13">
        <v>30</v>
      </c>
      <c r="T140" s="13">
        <v>0</v>
      </c>
      <c r="U140" s="15">
        <v>0</v>
      </c>
      <c r="W140" s="13">
        <v>55.4</v>
      </c>
      <c r="X140" s="13">
        <v>12</v>
      </c>
      <c r="AG140" s="13" t="s">
        <v>729</v>
      </c>
      <c r="AP140" s="13">
        <v>0.77</v>
      </c>
      <c r="BB140" s="13">
        <v>6.11</v>
      </c>
      <c r="BM140" s="13">
        <v>2.73</v>
      </c>
      <c r="BX140" s="22">
        <v>4.6600000000000001E-3</v>
      </c>
      <c r="BY140" s="13" t="s">
        <v>129</v>
      </c>
      <c r="BZ140" s="13" t="s">
        <v>130</v>
      </c>
      <c r="CA140" s="13">
        <v>2022</v>
      </c>
      <c r="CB140" s="21">
        <v>45317</v>
      </c>
      <c r="CC140" s="13" t="s">
        <v>61</v>
      </c>
      <c r="CD140" s="13">
        <v>12</v>
      </c>
      <c r="CE140" s="13">
        <v>1</v>
      </c>
      <c r="CF140" s="13">
        <v>1373</v>
      </c>
      <c r="CG140" s="13" t="s">
        <v>131</v>
      </c>
    </row>
    <row r="141" spans="1:85">
      <c r="A141" s="13" t="s">
        <v>1681</v>
      </c>
      <c r="B141" s="13" t="s">
        <v>1999</v>
      </c>
      <c r="C141" s="13" t="s">
        <v>132</v>
      </c>
      <c r="D141" s="13" t="s">
        <v>828</v>
      </c>
      <c r="E141" s="13" t="s">
        <v>630</v>
      </c>
      <c r="F141" s="13" t="s">
        <v>711</v>
      </c>
      <c r="G141" s="13" t="s">
        <v>674</v>
      </c>
      <c r="H141" s="13" t="s">
        <v>684</v>
      </c>
      <c r="I141" s="13" t="s">
        <v>731</v>
      </c>
      <c r="J141" s="13" t="s">
        <v>726</v>
      </c>
      <c r="K141" s="14" t="s">
        <v>4043</v>
      </c>
      <c r="L141" s="13" t="s">
        <v>1962</v>
      </c>
      <c r="M141" s="13" t="s">
        <v>727</v>
      </c>
      <c r="Q141" s="2"/>
      <c r="R141" s="13">
        <v>30</v>
      </c>
      <c r="S141" s="13">
        <v>30</v>
      </c>
      <c r="T141" s="13">
        <v>0</v>
      </c>
      <c r="U141" s="15">
        <v>0</v>
      </c>
      <c r="W141" s="13">
        <v>55.4</v>
      </c>
      <c r="X141" s="13">
        <v>12</v>
      </c>
      <c r="AP141" s="13">
        <v>0.874</v>
      </c>
      <c r="BX141" s="22"/>
      <c r="BY141" s="13" t="s">
        <v>129</v>
      </c>
      <c r="BZ141" s="13" t="s">
        <v>130</v>
      </c>
      <c r="CA141" s="13">
        <v>2022</v>
      </c>
      <c r="CB141" s="21">
        <v>45317</v>
      </c>
      <c r="CC141" s="13" t="s">
        <v>61</v>
      </c>
      <c r="CD141" s="13">
        <v>12</v>
      </c>
      <c r="CE141" s="13">
        <v>1</v>
      </c>
      <c r="CF141" s="13">
        <v>1373</v>
      </c>
      <c r="CG141" s="13" t="s">
        <v>131</v>
      </c>
    </row>
    <row r="142" spans="1:85">
      <c r="A142" s="13" t="s">
        <v>1682</v>
      </c>
      <c r="B142" s="13" t="s">
        <v>2000</v>
      </c>
      <c r="C142" s="13" t="s">
        <v>138</v>
      </c>
      <c r="D142" s="13" t="s">
        <v>829</v>
      </c>
      <c r="E142" s="13" t="s">
        <v>600</v>
      </c>
      <c r="F142" s="13" t="s">
        <v>732</v>
      </c>
      <c r="G142" s="13" t="s">
        <v>673</v>
      </c>
      <c r="H142" s="13" t="s">
        <v>675</v>
      </c>
      <c r="J142" s="13" t="s">
        <v>586</v>
      </c>
      <c r="K142" s="14" t="s">
        <v>3103</v>
      </c>
      <c r="L142" s="13" t="s">
        <v>695</v>
      </c>
      <c r="M142" s="13" t="s">
        <v>733</v>
      </c>
      <c r="N142" s="13">
        <v>58</v>
      </c>
      <c r="O142" s="2">
        <f t="shared" ref="O142:O147" si="13">N142/R142</f>
        <v>0.57425742574257421</v>
      </c>
      <c r="P142" s="13">
        <v>19</v>
      </c>
      <c r="Q142" s="2">
        <f t="shared" ref="Q142:Q147" si="14">P142/S142</f>
        <v>0.6785714285714286</v>
      </c>
      <c r="R142" s="13">
        <v>101</v>
      </c>
      <c r="S142" s="13">
        <v>28</v>
      </c>
      <c r="Y142" s="13">
        <v>65</v>
      </c>
      <c r="Z142" s="13">
        <v>55</v>
      </c>
      <c r="AA142" s="13">
        <v>71</v>
      </c>
      <c r="AD142" s="13">
        <v>58</v>
      </c>
      <c r="AE142" s="13">
        <v>49</v>
      </c>
      <c r="AF142" s="13">
        <v>71</v>
      </c>
      <c r="AG142" s="13" t="s">
        <v>639</v>
      </c>
      <c r="AH142" s="13">
        <v>110.9</v>
      </c>
      <c r="AJ142" s="13">
        <v>77</v>
      </c>
      <c r="AK142" s="13">
        <v>68</v>
      </c>
      <c r="AL142" s="13">
        <v>85</v>
      </c>
      <c r="AM142" s="13">
        <v>75</v>
      </c>
      <c r="AN142" s="13">
        <v>55</v>
      </c>
      <c r="AO142" s="13">
        <v>89</v>
      </c>
      <c r="AU142" s="13">
        <v>92</v>
      </c>
      <c r="AV142" s="13">
        <v>84</v>
      </c>
      <c r="AW142" s="13">
        <v>97</v>
      </c>
      <c r="AX142" s="13">
        <v>48</v>
      </c>
      <c r="AY142" s="13">
        <v>32</v>
      </c>
      <c r="AZ142" s="13">
        <v>63</v>
      </c>
      <c r="BG142" s="13">
        <v>218.1</v>
      </c>
      <c r="BI142" s="13">
        <v>130.69999999999999</v>
      </c>
      <c r="BJ142" s="13">
        <v>311.89999999999998</v>
      </c>
      <c r="BR142" s="13">
        <v>45.2</v>
      </c>
      <c r="BT142" s="13">
        <v>13.5</v>
      </c>
      <c r="BU142" s="13">
        <v>71.900000000000006</v>
      </c>
      <c r="BX142" s="22"/>
      <c r="BY142" s="13" t="s">
        <v>133</v>
      </c>
      <c r="BZ142" s="13" t="s">
        <v>134</v>
      </c>
      <c r="CA142" s="13">
        <v>2023</v>
      </c>
      <c r="CC142" s="13" t="s">
        <v>135</v>
      </c>
      <c r="CD142" s="13">
        <v>5</v>
      </c>
      <c r="CE142" s="13">
        <v>3</v>
      </c>
      <c r="CF142" s="13" t="s">
        <v>136</v>
      </c>
      <c r="CG142" s="13" t="s">
        <v>137</v>
      </c>
    </row>
    <row r="143" spans="1:85">
      <c r="A143" s="13" t="s">
        <v>1682</v>
      </c>
      <c r="B143" s="13" t="s">
        <v>2000</v>
      </c>
      <c r="C143" s="13" t="s">
        <v>138</v>
      </c>
      <c r="D143" s="13" t="s">
        <v>829</v>
      </c>
      <c r="E143" s="13" t="s">
        <v>4167</v>
      </c>
      <c r="F143" s="13" t="s">
        <v>732</v>
      </c>
      <c r="G143" s="13" t="s">
        <v>673</v>
      </c>
      <c r="H143" s="13" t="s">
        <v>675</v>
      </c>
      <c r="J143" s="13" t="s">
        <v>586</v>
      </c>
      <c r="K143" s="14" t="s">
        <v>3103</v>
      </c>
      <c r="L143" s="13" t="s">
        <v>695</v>
      </c>
      <c r="M143" s="13" t="s">
        <v>733</v>
      </c>
      <c r="N143" s="13">
        <v>58</v>
      </c>
      <c r="O143" s="2">
        <f t="shared" si="13"/>
        <v>0.57425742574257421</v>
      </c>
      <c r="P143" s="13">
        <v>19</v>
      </c>
      <c r="Q143" s="2">
        <f t="shared" si="14"/>
        <v>0.6785714285714286</v>
      </c>
      <c r="R143" s="13">
        <v>101</v>
      </c>
      <c r="S143" s="13">
        <v>28</v>
      </c>
      <c r="Y143" s="13">
        <v>65</v>
      </c>
      <c r="Z143" s="13">
        <v>55</v>
      </c>
      <c r="AA143" s="13">
        <v>71</v>
      </c>
      <c r="AD143" s="13">
        <v>58</v>
      </c>
      <c r="AE143" s="13">
        <v>49</v>
      </c>
      <c r="AF143" s="13">
        <v>71</v>
      </c>
      <c r="AG143" s="13" t="s">
        <v>639</v>
      </c>
      <c r="AH143" s="13">
        <v>82</v>
      </c>
      <c r="AJ143" s="13">
        <v>86</v>
      </c>
      <c r="AK143" s="13">
        <v>78</v>
      </c>
      <c r="AL143" s="13">
        <v>92</v>
      </c>
      <c r="AM143" s="13">
        <v>93</v>
      </c>
      <c r="AN143" s="13">
        <v>85</v>
      </c>
      <c r="AO143" s="13">
        <v>97</v>
      </c>
      <c r="AU143" s="13">
        <v>93</v>
      </c>
      <c r="AV143" s="13">
        <v>85</v>
      </c>
      <c r="AW143" s="13">
        <v>97</v>
      </c>
      <c r="AX143" s="13">
        <v>60</v>
      </c>
      <c r="AY143" s="13">
        <v>42</v>
      </c>
      <c r="AZ143" s="13">
        <v>76</v>
      </c>
      <c r="BG143" s="13">
        <v>218.1</v>
      </c>
      <c r="BI143" s="13">
        <v>130.69999999999999</v>
      </c>
      <c r="BJ143" s="13">
        <v>311.89999999999998</v>
      </c>
      <c r="BR143" s="13">
        <v>45.2</v>
      </c>
      <c r="BT143" s="13">
        <v>13.5</v>
      </c>
      <c r="BU143" s="13">
        <v>71.900000000000006</v>
      </c>
      <c r="BX143" s="22"/>
      <c r="BY143" s="13" t="s">
        <v>133</v>
      </c>
      <c r="BZ143" s="13" t="s">
        <v>134</v>
      </c>
      <c r="CA143" s="13">
        <v>2023</v>
      </c>
      <c r="CC143" s="13" t="s">
        <v>135</v>
      </c>
      <c r="CD143" s="13">
        <v>5</v>
      </c>
      <c r="CE143" s="13">
        <v>3</v>
      </c>
      <c r="CF143" s="13" t="s">
        <v>136</v>
      </c>
      <c r="CG143" s="13" t="s">
        <v>137</v>
      </c>
    </row>
    <row r="144" spans="1:85">
      <c r="A144" s="13" t="s">
        <v>3373</v>
      </c>
      <c r="C144" s="13" t="s">
        <v>3713</v>
      </c>
      <c r="D144" s="14" t="s">
        <v>830</v>
      </c>
      <c r="E144" s="13" t="s">
        <v>630</v>
      </c>
      <c r="F144" s="13" t="s">
        <v>3710</v>
      </c>
      <c r="G144" s="13" t="s">
        <v>672</v>
      </c>
      <c r="H144" s="13" t="s">
        <v>757</v>
      </c>
      <c r="J144" s="14" t="s">
        <v>586</v>
      </c>
      <c r="K144" s="13" t="s">
        <v>3709</v>
      </c>
      <c r="L144" s="13" t="s">
        <v>2342</v>
      </c>
      <c r="M144" s="14" t="s">
        <v>3711</v>
      </c>
      <c r="N144" s="13">
        <v>5</v>
      </c>
      <c r="O144" s="2">
        <f t="shared" si="13"/>
        <v>0.5</v>
      </c>
      <c r="P144" s="13">
        <v>18</v>
      </c>
      <c r="Q144" s="17">
        <f t="shared" si="14"/>
        <v>0.46153846153846156</v>
      </c>
      <c r="R144" s="13">
        <v>10</v>
      </c>
      <c r="S144" s="13">
        <v>39</v>
      </c>
      <c r="T144" s="13">
        <v>10</v>
      </c>
      <c r="U144" s="15">
        <v>1</v>
      </c>
      <c r="V144" s="13">
        <v>10</v>
      </c>
      <c r="Y144" s="13">
        <v>51.5</v>
      </c>
      <c r="Z144" s="13">
        <v>49.8</v>
      </c>
      <c r="AA144" s="13">
        <v>56.2</v>
      </c>
      <c r="AD144" s="13">
        <v>48.2</v>
      </c>
      <c r="AE144" s="13">
        <v>37.200000000000003</v>
      </c>
      <c r="AF144" s="13">
        <v>55.6</v>
      </c>
      <c r="AG144" s="13" t="s">
        <v>3714</v>
      </c>
      <c r="BY144" s="13" t="s">
        <v>3470</v>
      </c>
      <c r="BZ144" s="13" t="s">
        <v>3471</v>
      </c>
      <c r="CA144" s="13">
        <v>2025</v>
      </c>
      <c r="CB144" s="13" t="s">
        <v>25</v>
      </c>
      <c r="CC144" s="13" t="s">
        <v>125</v>
      </c>
      <c r="CD144" s="13">
        <v>97</v>
      </c>
      <c r="CE144" s="13">
        <v>3</v>
      </c>
      <c r="CF144" s="13" t="s">
        <v>3472</v>
      </c>
      <c r="CG144" s="13" t="s">
        <v>3228</v>
      </c>
    </row>
    <row r="145" spans="1:85">
      <c r="A145" s="13" t="s">
        <v>3373</v>
      </c>
      <c r="C145" s="13" t="s">
        <v>3713</v>
      </c>
      <c r="D145" s="14" t="s">
        <v>830</v>
      </c>
      <c r="E145" s="13" t="s">
        <v>630</v>
      </c>
      <c r="F145" s="13" t="s">
        <v>3710</v>
      </c>
      <c r="G145" s="13" t="s">
        <v>672</v>
      </c>
      <c r="H145" s="13" t="s">
        <v>675</v>
      </c>
      <c r="J145" s="14" t="s">
        <v>586</v>
      </c>
      <c r="K145" s="13" t="s">
        <v>3709</v>
      </c>
      <c r="L145" s="13" t="s">
        <v>2823</v>
      </c>
      <c r="M145" s="14" t="s">
        <v>3711</v>
      </c>
      <c r="N145" s="13">
        <v>5</v>
      </c>
      <c r="O145" s="2">
        <f t="shared" si="13"/>
        <v>0.5</v>
      </c>
      <c r="P145" s="13">
        <v>18</v>
      </c>
      <c r="Q145" s="17">
        <f t="shared" si="14"/>
        <v>0.46153846153846156</v>
      </c>
      <c r="R145" s="13">
        <v>10</v>
      </c>
      <c r="S145" s="13">
        <v>39</v>
      </c>
      <c r="T145" s="13">
        <v>10</v>
      </c>
      <c r="U145" s="15">
        <v>1</v>
      </c>
      <c r="V145" s="13">
        <v>10</v>
      </c>
      <c r="Y145" s="13">
        <v>51.5</v>
      </c>
      <c r="Z145" s="13">
        <v>49.8</v>
      </c>
      <c r="AA145" s="13">
        <v>56.2</v>
      </c>
      <c r="AD145" s="13">
        <v>48.2</v>
      </c>
      <c r="AE145" s="13">
        <v>37.200000000000003</v>
      </c>
      <c r="AF145" s="13">
        <v>55.6</v>
      </c>
      <c r="AG145" s="13" t="s">
        <v>639</v>
      </c>
      <c r="BY145" s="13" t="s">
        <v>3470</v>
      </c>
      <c r="BZ145" s="13" t="s">
        <v>3471</v>
      </c>
      <c r="CA145" s="13">
        <v>2025</v>
      </c>
      <c r="CB145" s="13" t="s">
        <v>25</v>
      </c>
      <c r="CC145" s="13" t="s">
        <v>125</v>
      </c>
      <c r="CD145" s="13">
        <v>97</v>
      </c>
      <c r="CE145" s="13">
        <v>3</v>
      </c>
      <c r="CF145" s="13" t="s">
        <v>3472</v>
      </c>
      <c r="CG145" s="13" t="s">
        <v>3228</v>
      </c>
    </row>
    <row r="146" spans="1:85">
      <c r="A146" s="13" t="s">
        <v>3373</v>
      </c>
      <c r="C146" s="13" t="s">
        <v>3712</v>
      </c>
      <c r="D146" s="14" t="s">
        <v>830</v>
      </c>
      <c r="E146" s="13" t="s">
        <v>630</v>
      </c>
      <c r="F146" s="13" t="s">
        <v>3710</v>
      </c>
      <c r="G146" s="13" t="s">
        <v>672</v>
      </c>
      <c r="H146" s="13" t="s">
        <v>757</v>
      </c>
      <c r="J146" s="14" t="s">
        <v>586</v>
      </c>
      <c r="K146" s="13" t="s">
        <v>3709</v>
      </c>
      <c r="L146" s="13" t="s">
        <v>2342</v>
      </c>
      <c r="M146" s="14" t="s">
        <v>3711</v>
      </c>
      <c r="N146" s="13">
        <v>5</v>
      </c>
      <c r="O146" s="2">
        <f t="shared" si="13"/>
        <v>0.26315789473684209</v>
      </c>
      <c r="P146" s="13">
        <v>18</v>
      </c>
      <c r="Q146" s="17">
        <f t="shared" si="14"/>
        <v>0.46153846153846156</v>
      </c>
      <c r="R146" s="13">
        <v>19</v>
      </c>
      <c r="S146" s="13">
        <v>39</v>
      </c>
      <c r="T146" s="13">
        <v>0</v>
      </c>
      <c r="U146" s="15">
        <v>0</v>
      </c>
      <c r="V146" s="13">
        <v>0</v>
      </c>
      <c r="Y146" s="13">
        <v>59.6</v>
      </c>
      <c r="Z146" s="13">
        <v>56</v>
      </c>
      <c r="AA146" s="13">
        <v>69.400000000000006</v>
      </c>
      <c r="AD146" s="13">
        <v>48.2</v>
      </c>
      <c r="AE146" s="13">
        <v>37.200000000000003</v>
      </c>
      <c r="AF146" s="13">
        <v>55.6</v>
      </c>
      <c r="AG146" s="13" t="s">
        <v>3714</v>
      </c>
      <c r="BY146" s="13" t="s">
        <v>3470</v>
      </c>
      <c r="BZ146" s="13" t="s">
        <v>3471</v>
      </c>
      <c r="CA146" s="13">
        <v>2025</v>
      </c>
      <c r="CB146" s="13" t="s">
        <v>25</v>
      </c>
      <c r="CC146" s="13" t="s">
        <v>125</v>
      </c>
      <c r="CD146" s="13">
        <v>97</v>
      </c>
      <c r="CE146" s="13">
        <v>3</v>
      </c>
      <c r="CF146" s="13" t="s">
        <v>3472</v>
      </c>
      <c r="CG146" s="13" t="s">
        <v>3228</v>
      </c>
    </row>
    <row r="147" spans="1:85">
      <c r="A147" s="13" t="s">
        <v>3373</v>
      </c>
      <c r="C147" s="13" t="s">
        <v>3712</v>
      </c>
      <c r="D147" s="14" t="s">
        <v>830</v>
      </c>
      <c r="E147" s="13" t="s">
        <v>630</v>
      </c>
      <c r="F147" s="13" t="s">
        <v>3710</v>
      </c>
      <c r="G147" s="13" t="s">
        <v>672</v>
      </c>
      <c r="H147" s="13" t="s">
        <v>675</v>
      </c>
      <c r="J147" s="14" t="s">
        <v>586</v>
      </c>
      <c r="K147" s="13" t="s">
        <v>3709</v>
      </c>
      <c r="L147" s="13" t="s">
        <v>2823</v>
      </c>
      <c r="M147" s="14" t="s">
        <v>3711</v>
      </c>
      <c r="N147" s="13">
        <v>5</v>
      </c>
      <c r="O147" s="2">
        <f t="shared" si="13"/>
        <v>0.26315789473684209</v>
      </c>
      <c r="P147" s="13">
        <v>18</v>
      </c>
      <c r="Q147" s="17">
        <f t="shared" si="14"/>
        <v>0.46153846153846156</v>
      </c>
      <c r="R147" s="13">
        <v>19</v>
      </c>
      <c r="S147" s="13">
        <v>39</v>
      </c>
      <c r="T147" s="13">
        <v>0</v>
      </c>
      <c r="U147" s="15">
        <v>0</v>
      </c>
      <c r="V147" s="13">
        <v>0</v>
      </c>
      <c r="Y147" s="13">
        <v>59.6</v>
      </c>
      <c r="Z147" s="13">
        <v>56</v>
      </c>
      <c r="AA147" s="13">
        <v>69.400000000000006</v>
      </c>
      <c r="AD147" s="13">
        <v>48.2</v>
      </c>
      <c r="AE147" s="13">
        <v>37.200000000000003</v>
      </c>
      <c r="AF147" s="13">
        <v>55.6</v>
      </c>
      <c r="AG147" s="13" t="s">
        <v>639</v>
      </c>
      <c r="BY147" s="13" t="s">
        <v>3470</v>
      </c>
      <c r="BZ147" s="13" t="s">
        <v>3471</v>
      </c>
      <c r="CA147" s="13">
        <v>2025</v>
      </c>
      <c r="CB147" s="13" t="s">
        <v>25</v>
      </c>
      <c r="CC147" s="13" t="s">
        <v>125</v>
      </c>
      <c r="CD147" s="13">
        <v>97</v>
      </c>
      <c r="CE147" s="13">
        <v>3</v>
      </c>
      <c r="CF147" s="13" t="s">
        <v>3472</v>
      </c>
      <c r="CG147" s="13" t="s">
        <v>3228</v>
      </c>
    </row>
    <row r="148" spans="1:85">
      <c r="A148" s="13" t="s">
        <v>1683</v>
      </c>
      <c r="B148" s="13" t="s">
        <v>1799</v>
      </c>
      <c r="C148" s="13" t="s">
        <v>143</v>
      </c>
      <c r="D148" s="13" t="s">
        <v>818</v>
      </c>
      <c r="E148" s="13" t="s">
        <v>630</v>
      </c>
      <c r="F148" s="13" t="s">
        <v>735</v>
      </c>
      <c r="G148" s="13" t="s">
        <v>673</v>
      </c>
      <c r="H148" s="13" t="s">
        <v>734</v>
      </c>
      <c r="J148" s="13" t="s">
        <v>647</v>
      </c>
      <c r="K148" s="14" t="s">
        <v>4044</v>
      </c>
      <c r="L148" s="13" t="s">
        <v>585</v>
      </c>
      <c r="R148" s="13">
        <v>123</v>
      </c>
      <c r="S148" s="13">
        <v>102</v>
      </c>
      <c r="V148" s="13">
        <v>11</v>
      </c>
      <c r="AG148" s="13" t="s">
        <v>639</v>
      </c>
      <c r="AP148" s="13">
        <v>0.63</v>
      </c>
      <c r="BB148" s="13">
        <v>273.60000000000002</v>
      </c>
      <c r="BC148" s="13">
        <v>257.8</v>
      </c>
      <c r="BM148" s="13">
        <v>164.6</v>
      </c>
      <c r="BN148" s="13">
        <v>181.9</v>
      </c>
      <c r="BX148" s="13">
        <v>6.9999999999999999E-4</v>
      </c>
      <c r="BY148" s="13" t="s">
        <v>139</v>
      </c>
      <c r="BZ148" s="13" t="s">
        <v>140</v>
      </c>
      <c r="CA148" s="13">
        <v>2023</v>
      </c>
      <c r="CB148" s="13" t="s">
        <v>25</v>
      </c>
      <c r="CC148" s="13" t="s">
        <v>141</v>
      </c>
      <c r="CD148" s="13">
        <v>10</v>
      </c>
      <c r="CE148" s="13">
        <v>2</v>
      </c>
      <c r="CG148" s="13" t="s">
        <v>142</v>
      </c>
    </row>
    <row r="149" spans="1:85">
      <c r="A149" s="13" t="s">
        <v>1683</v>
      </c>
      <c r="B149" s="13" t="s">
        <v>1799</v>
      </c>
      <c r="C149" s="13" t="s">
        <v>143</v>
      </c>
      <c r="D149" s="13" t="s">
        <v>818</v>
      </c>
      <c r="E149" s="13" t="s">
        <v>736</v>
      </c>
      <c r="G149" s="13" t="s">
        <v>673</v>
      </c>
      <c r="H149" s="13" t="s">
        <v>734</v>
      </c>
      <c r="J149" s="13" t="s">
        <v>647</v>
      </c>
      <c r="K149" s="14" t="s">
        <v>4044</v>
      </c>
      <c r="L149" s="13" t="s">
        <v>585</v>
      </c>
      <c r="R149" s="13">
        <v>123</v>
      </c>
      <c r="S149" s="13">
        <v>28</v>
      </c>
      <c r="V149" s="13">
        <v>11</v>
      </c>
      <c r="AG149" s="13" t="s">
        <v>639</v>
      </c>
      <c r="BB149" s="13">
        <v>273.60000000000002</v>
      </c>
      <c r="BC149" s="13">
        <v>257.8</v>
      </c>
      <c r="BM149" s="13">
        <v>57.8</v>
      </c>
      <c r="BN149" s="13">
        <v>78.2</v>
      </c>
      <c r="BX149" s="13" t="s">
        <v>701</v>
      </c>
      <c r="BY149" s="13" t="s">
        <v>139</v>
      </c>
      <c r="BZ149" s="13" t="s">
        <v>140</v>
      </c>
      <c r="CA149" s="13">
        <v>2023</v>
      </c>
      <c r="CB149" s="13" t="s">
        <v>25</v>
      </c>
      <c r="CC149" s="13" t="s">
        <v>141</v>
      </c>
      <c r="CD149" s="13">
        <v>10</v>
      </c>
      <c r="CE149" s="13">
        <v>2</v>
      </c>
      <c r="CG149" s="13" t="s">
        <v>142</v>
      </c>
    </row>
    <row r="150" spans="1:85">
      <c r="A150" s="13" t="s">
        <v>1683</v>
      </c>
      <c r="B150" s="13" t="s">
        <v>1799</v>
      </c>
      <c r="C150" s="13" t="s">
        <v>143</v>
      </c>
      <c r="D150" s="13" t="s">
        <v>818</v>
      </c>
      <c r="E150" s="13" t="s">
        <v>720</v>
      </c>
      <c r="G150" s="13" t="s">
        <v>673</v>
      </c>
      <c r="H150" s="13" t="s">
        <v>734</v>
      </c>
      <c r="J150" s="13" t="s">
        <v>647</v>
      </c>
      <c r="K150" s="14" t="s">
        <v>4044</v>
      </c>
      <c r="L150" s="13" t="s">
        <v>585</v>
      </c>
      <c r="R150" s="13">
        <v>123</v>
      </c>
      <c r="S150" s="13">
        <v>30</v>
      </c>
      <c r="V150" s="13">
        <v>11</v>
      </c>
      <c r="AG150" s="13" t="s">
        <v>639</v>
      </c>
      <c r="BB150" s="13">
        <v>273.60000000000002</v>
      </c>
      <c r="BC150" s="13">
        <v>257.8</v>
      </c>
      <c r="BM150" s="13">
        <v>75</v>
      </c>
      <c r="BN150" s="13">
        <v>126.2</v>
      </c>
      <c r="BX150" s="13" t="s">
        <v>701</v>
      </c>
      <c r="BY150" s="13" t="s">
        <v>139</v>
      </c>
      <c r="BZ150" s="13" t="s">
        <v>140</v>
      </c>
      <c r="CA150" s="13">
        <v>2023</v>
      </c>
      <c r="CB150" s="13" t="s">
        <v>25</v>
      </c>
      <c r="CC150" s="13" t="s">
        <v>141</v>
      </c>
      <c r="CD150" s="13">
        <v>10</v>
      </c>
      <c r="CE150" s="13">
        <v>2</v>
      </c>
      <c r="CG150" s="13" t="s">
        <v>142</v>
      </c>
    </row>
    <row r="151" spans="1:85">
      <c r="A151" s="13" t="s">
        <v>1683</v>
      </c>
      <c r="B151" s="13" t="s">
        <v>1799</v>
      </c>
      <c r="C151" s="13" t="s">
        <v>143</v>
      </c>
      <c r="D151" s="13" t="s">
        <v>818</v>
      </c>
      <c r="E151" s="13" t="s">
        <v>630</v>
      </c>
      <c r="F151" s="13" t="s">
        <v>735</v>
      </c>
      <c r="G151" s="13" t="s">
        <v>673</v>
      </c>
      <c r="H151" s="13" t="s">
        <v>737</v>
      </c>
      <c r="J151" s="13" t="s">
        <v>647</v>
      </c>
      <c r="K151" s="14" t="s">
        <v>4044</v>
      </c>
      <c r="L151" s="13" t="s">
        <v>585</v>
      </c>
      <c r="R151" s="13">
        <v>123</v>
      </c>
      <c r="S151" s="13">
        <v>102</v>
      </c>
      <c r="V151" s="13">
        <v>11</v>
      </c>
      <c r="AG151" s="13" t="s">
        <v>641</v>
      </c>
      <c r="AP151" s="13">
        <v>0.81</v>
      </c>
      <c r="BB151" s="13">
        <v>38.700000000000003</v>
      </c>
      <c r="BC151" s="13">
        <v>21</v>
      </c>
      <c r="BM151" s="13">
        <v>17.8</v>
      </c>
      <c r="BN151" s="13">
        <v>14</v>
      </c>
      <c r="BX151" s="13" t="s">
        <v>701</v>
      </c>
      <c r="BY151" s="13" t="s">
        <v>139</v>
      </c>
      <c r="BZ151" s="13" t="s">
        <v>140</v>
      </c>
      <c r="CA151" s="13">
        <v>2023</v>
      </c>
      <c r="CB151" s="13" t="s">
        <v>25</v>
      </c>
      <c r="CC151" s="13" t="s">
        <v>141</v>
      </c>
      <c r="CD151" s="13">
        <v>10</v>
      </c>
      <c r="CE151" s="13">
        <v>2</v>
      </c>
      <c r="CG151" s="13" t="s">
        <v>142</v>
      </c>
    </row>
    <row r="152" spans="1:85">
      <c r="A152" s="13" t="s">
        <v>1683</v>
      </c>
      <c r="B152" s="13" t="s">
        <v>1799</v>
      </c>
      <c r="C152" s="13" t="s">
        <v>143</v>
      </c>
      <c r="D152" s="13" t="s">
        <v>818</v>
      </c>
      <c r="E152" s="13" t="s">
        <v>736</v>
      </c>
      <c r="G152" s="13" t="s">
        <v>673</v>
      </c>
      <c r="H152" s="13" t="s">
        <v>737</v>
      </c>
      <c r="J152" s="13" t="s">
        <v>647</v>
      </c>
      <c r="K152" s="14" t="s">
        <v>4044</v>
      </c>
      <c r="L152" s="13" t="s">
        <v>585</v>
      </c>
      <c r="R152" s="13">
        <v>123</v>
      </c>
      <c r="S152" s="13">
        <v>28</v>
      </c>
      <c r="V152" s="13">
        <v>11</v>
      </c>
      <c r="AG152" s="13" t="s">
        <v>641</v>
      </c>
      <c r="BB152" s="13">
        <v>38.700000000000003</v>
      </c>
      <c r="BC152" s="13">
        <v>21</v>
      </c>
      <c r="BM152" s="13">
        <v>39.9</v>
      </c>
      <c r="BN152" s="13">
        <v>14.7</v>
      </c>
      <c r="BX152" s="13">
        <v>0.42</v>
      </c>
      <c r="BY152" s="13" t="s">
        <v>139</v>
      </c>
      <c r="BZ152" s="13" t="s">
        <v>140</v>
      </c>
      <c r="CA152" s="13">
        <v>2023</v>
      </c>
      <c r="CB152" s="13" t="s">
        <v>25</v>
      </c>
      <c r="CC152" s="13" t="s">
        <v>141</v>
      </c>
      <c r="CD152" s="13">
        <v>10</v>
      </c>
      <c r="CE152" s="13">
        <v>2</v>
      </c>
      <c r="CG152" s="13" t="s">
        <v>142</v>
      </c>
    </row>
    <row r="153" spans="1:85">
      <c r="A153" s="13" t="s">
        <v>1683</v>
      </c>
      <c r="B153" s="13" t="s">
        <v>1799</v>
      </c>
      <c r="C153" s="13" t="s">
        <v>143</v>
      </c>
      <c r="D153" s="13" t="s">
        <v>818</v>
      </c>
      <c r="E153" s="13" t="s">
        <v>720</v>
      </c>
      <c r="G153" s="13" t="s">
        <v>673</v>
      </c>
      <c r="H153" s="13" t="s">
        <v>737</v>
      </c>
      <c r="J153" s="13" t="s">
        <v>647</v>
      </c>
      <c r="K153" s="14" t="s">
        <v>4044</v>
      </c>
      <c r="L153" s="13" t="s">
        <v>585</v>
      </c>
      <c r="R153" s="13">
        <v>123</v>
      </c>
      <c r="S153" s="13">
        <v>30</v>
      </c>
      <c r="V153" s="13">
        <v>11</v>
      </c>
      <c r="AG153" s="13" t="s">
        <v>641</v>
      </c>
      <c r="BB153" s="13">
        <v>38.700000000000003</v>
      </c>
      <c r="BC153" s="13">
        <v>21</v>
      </c>
      <c r="BM153" s="13">
        <v>34</v>
      </c>
      <c r="BN153" s="13">
        <v>12.7</v>
      </c>
      <c r="BX153" s="13">
        <v>0.51</v>
      </c>
      <c r="BY153" s="13" t="s">
        <v>139</v>
      </c>
      <c r="BZ153" s="13" t="s">
        <v>140</v>
      </c>
      <c r="CA153" s="13">
        <v>2023</v>
      </c>
      <c r="CB153" s="13" t="s">
        <v>25</v>
      </c>
      <c r="CC153" s="13" t="s">
        <v>141</v>
      </c>
      <c r="CD153" s="13">
        <v>10</v>
      </c>
      <c r="CE153" s="13">
        <v>2</v>
      </c>
      <c r="CG153" s="13" t="s">
        <v>142</v>
      </c>
    </row>
    <row r="154" spans="1:85">
      <c r="A154" s="13" t="s">
        <v>1684</v>
      </c>
      <c r="B154" s="13" t="s">
        <v>2001</v>
      </c>
      <c r="C154" s="13" t="s">
        <v>148</v>
      </c>
      <c r="D154" s="13" t="s">
        <v>817</v>
      </c>
      <c r="E154" s="13" t="s">
        <v>630</v>
      </c>
      <c r="F154" s="13" t="s">
        <v>738</v>
      </c>
      <c r="G154" s="13" t="s">
        <v>673</v>
      </c>
      <c r="H154" s="13" t="s">
        <v>686</v>
      </c>
      <c r="J154" s="13" t="s">
        <v>739</v>
      </c>
      <c r="K154" s="14" t="s">
        <v>3105</v>
      </c>
      <c r="L154" s="13" t="s">
        <v>585</v>
      </c>
      <c r="N154" s="13">
        <v>58</v>
      </c>
      <c r="O154" s="2">
        <f t="shared" ref="O154:O166" si="15">N154/R154</f>
        <v>0.61052631578947369</v>
      </c>
      <c r="P154" s="13">
        <v>46</v>
      </c>
      <c r="Q154" s="2">
        <f t="shared" ref="Q154:Q166" si="16">P154/S154</f>
        <v>0.54117647058823526</v>
      </c>
      <c r="R154" s="13">
        <v>95</v>
      </c>
      <c r="S154" s="13">
        <v>85</v>
      </c>
      <c r="V154" s="13">
        <v>15</v>
      </c>
      <c r="Y154" s="13">
        <v>63</v>
      </c>
      <c r="Z154" s="13">
        <v>26</v>
      </c>
      <c r="AA154" s="13">
        <v>80</v>
      </c>
      <c r="AD154" s="13">
        <v>68</v>
      </c>
      <c r="AE154" s="13">
        <v>57</v>
      </c>
      <c r="AF154" s="13">
        <v>80</v>
      </c>
      <c r="AG154" s="13" t="s">
        <v>639</v>
      </c>
      <c r="AH154" s="13">
        <v>73.400000000000006</v>
      </c>
      <c r="AJ154" s="13">
        <v>67.400000000000006</v>
      </c>
      <c r="AK154" s="13">
        <v>57</v>
      </c>
      <c r="AL154" s="13">
        <v>76.599999999999994</v>
      </c>
      <c r="AM154" s="13">
        <v>90.6</v>
      </c>
      <c r="AN154" s="13">
        <v>82.3</v>
      </c>
      <c r="AO154" s="13">
        <v>95.8</v>
      </c>
      <c r="AP154" s="13">
        <v>0.83199999999999996</v>
      </c>
      <c r="AR154" s="13">
        <v>0.76900000000000002</v>
      </c>
      <c r="AS154" s="13">
        <v>0.88300000000000001</v>
      </c>
      <c r="BG154" s="13">
        <v>91</v>
      </c>
      <c r="BI154" s="13">
        <v>6</v>
      </c>
      <c r="BJ154" s="13">
        <v>342</v>
      </c>
      <c r="BR154" s="13">
        <v>30</v>
      </c>
      <c r="BT154" s="13">
        <v>6</v>
      </c>
      <c r="BU154" s="13">
        <v>146</v>
      </c>
      <c r="BX154" s="13">
        <v>0.05</v>
      </c>
      <c r="BY154" s="13" t="s">
        <v>144</v>
      </c>
      <c r="BZ154" s="13" t="s">
        <v>145</v>
      </c>
      <c r="CA154" s="13">
        <v>2019</v>
      </c>
      <c r="CB154" s="13" t="s">
        <v>32</v>
      </c>
      <c r="CC154" s="13" t="s">
        <v>26</v>
      </c>
      <c r="CD154" s="13">
        <v>6</v>
      </c>
      <c r="CE154" s="13">
        <v>10</v>
      </c>
      <c r="CF154" s="13" t="s">
        <v>146</v>
      </c>
      <c r="CG154" s="13" t="s">
        <v>147</v>
      </c>
    </row>
    <row r="155" spans="1:85">
      <c r="A155" s="13" t="s">
        <v>1684</v>
      </c>
      <c r="B155" s="13" t="s">
        <v>2001</v>
      </c>
      <c r="C155" s="13" t="s">
        <v>148</v>
      </c>
      <c r="D155" s="13" t="s">
        <v>817</v>
      </c>
      <c r="E155" s="13" t="s">
        <v>630</v>
      </c>
      <c r="F155" s="13" t="s">
        <v>738</v>
      </c>
      <c r="G155" s="13" t="s">
        <v>673</v>
      </c>
      <c r="H155" s="13" t="s">
        <v>684</v>
      </c>
      <c r="I155" s="13" t="s">
        <v>740</v>
      </c>
      <c r="J155" s="13" t="s">
        <v>739</v>
      </c>
      <c r="K155" s="14" t="s">
        <v>3105</v>
      </c>
      <c r="L155" s="13" t="s">
        <v>585</v>
      </c>
      <c r="N155" s="13">
        <v>58</v>
      </c>
      <c r="O155" s="2">
        <f t="shared" si="15"/>
        <v>0.61052631578947369</v>
      </c>
      <c r="P155" s="13">
        <v>46</v>
      </c>
      <c r="Q155" s="2">
        <f t="shared" si="16"/>
        <v>0.54117647058823526</v>
      </c>
      <c r="R155" s="13">
        <v>95</v>
      </c>
      <c r="S155" s="13">
        <v>85</v>
      </c>
      <c r="V155" s="13">
        <v>15</v>
      </c>
      <c r="Y155" s="13">
        <v>63</v>
      </c>
      <c r="Z155" s="13">
        <v>26</v>
      </c>
      <c r="AA155" s="13">
        <v>80</v>
      </c>
      <c r="AD155" s="13">
        <v>68</v>
      </c>
      <c r="AE155" s="13">
        <v>57</v>
      </c>
      <c r="AF155" s="13">
        <v>80</v>
      </c>
      <c r="AG155" s="13" t="s">
        <v>639</v>
      </c>
      <c r="AH155" s="13">
        <v>73.400000000000006</v>
      </c>
      <c r="AJ155" s="13">
        <v>82.1</v>
      </c>
      <c r="AK155" s="13">
        <v>72.900000000000006</v>
      </c>
      <c r="AL155" s="13">
        <v>89.2</v>
      </c>
      <c r="AM155" s="13">
        <v>87.1</v>
      </c>
      <c r="AN155" s="13">
        <v>78</v>
      </c>
      <c r="AO155" s="13">
        <v>93.4</v>
      </c>
      <c r="BG155" s="13">
        <v>91</v>
      </c>
      <c r="BI155" s="13">
        <v>6</v>
      </c>
      <c r="BJ155" s="13">
        <v>342</v>
      </c>
      <c r="BR155" s="13">
        <v>30</v>
      </c>
      <c r="BT155" s="13">
        <v>6</v>
      </c>
      <c r="BU155" s="13">
        <v>146</v>
      </c>
      <c r="BX155" s="13">
        <v>0.05</v>
      </c>
      <c r="BY155" s="13" t="s">
        <v>144</v>
      </c>
      <c r="BZ155" s="13" t="s">
        <v>145</v>
      </c>
      <c r="CA155" s="13">
        <v>2019</v>
      </c>
      <c r="CB155" s="13" t="s">
        <v>32</v>
      </c>
      <c r="CC155" s="13" t="s">
        <v>26</v>
      </c>
      <c r="CD155" s="13">
        <v>6</v>
      </c>
      <c r="CE155" s="13">
        <v>10</v>
      </c>
      <c r="CF155" s="13" t="s">
        <v>146</v>
      </c>
      <c r="CG155" s="13" t="s">
        <v>147</v>
      </c>
    </row>
    <row r="156" spans="1:85">
      <c r="A156" s="13" t="s">
        <v>1685</v>
      </c>
      <c r="B156" s="13" t="s">
        <v>2120</v>
      </c>
      <c r="C156" s="13" t="s">
        <v>2409</v>
      </c>
      <c r="D156" s="13" t="s">
        <v>2038</v>
      </c>
      <c r="E156" s="13" t="s">
        <v>633</v>
      </c>
      <c r="F156" s="13" t="s">
        <v>741</v>
      </c>
      <c r="G156" s="13" t="s">
        <v>672</v>
      </c>
      <c r="H156" s="13" t="s">
        <v>675</v>
      </c>
      <c r="J156" s="13" t="s">
        <v>739</v>
      </c>
      <c r="K156" s="14" t="s">
        <v>3105</v>
      </c>
      <c r="L156" s="13" t="s">
        <v>585</v>
      </c>
      <c r="N156" s="13">
        <v>29</v>
      </c>
      <c r="O156" s="2">
        <f t="shared" si="15"/>
        <v>0.53703703703703709</v>
      </c>
      <c r="P156" s="13">
        <v>40</v>
      </c>
      <c r="Q156" s="2">
        <f t="shared" si="16"/>
        <v>0.7142857142857143</v>
      </c>
      <c r="R156" s="13">
        <v>54</v>
      </c>
      <c r="S156" s="13">
        <v>56</v>
      </c>
      <c r="V156" s="13">
        <v>10</v>
      </c>
      <c r="Y156" s="13">
        <v>64</v>
      </c>
      <c r="Z156" s="13">
        <v>32</v>
      </c>
      <c r="AA156" s="13">
        <v>81</v>
      </c>
      <c r="AD156" s="13">
        <v>63</v>
      </c>
      <c r="AE156" s="13">
        <v>18</v>
      </c>
      <c r="AF156" s="13">
        <v>87</v>
      </c>
      <c r="AG156" s="13" t="s">
        <v>639</v>
      </c>
      <c r="AH156" s="13">
        <v>1682</v>
      </c>
      <c r="AJ156" s="13">
        <v>85.2</v>
      </c>
      <c r="AK156" s="13">
        <v>72.900000000000006</v>
      </c>
      <c r="AL156" s="13">
        <v>93.4</v>
      </c>
      <c r="AM156" s="13">
        <v>78.599999999999994</v>
      </c>
      <c r="AN156" s="13">
        <v>65.599999999999994</v>
      </c>
      <c r="AO156" s="13">
        <v>88.4</v>
      </c>
      <c r="AP156" s="13">
        <v>0.84799999999999998</v>
      </c>
      <c r="AR156" s="13">
        <v>0.76700000000000002</v>
      </c>
      <c r="AS156" s="13">
        <v>0.90900000000000003</v>
      </c>
      <c r="BG156" s="13">
        <v>4103</v>
      </c>
      <c r="BR156" s="13">
        <v>1025</v>
      </c>
      <c r="BY156" s="13" t="s">
        <v>149</v>
      </c>
      <c r="BZ156" s="13" t="s">
        <v>150</v>
      </c>
      <c r="CA156" s="13">
        <v>2023</v>
      </c>
      <c r="CB156" s="13" t="s">
        <v>73</v>
      </c>
      <c r="CC156" s="13" t="s">
        <v>151</v>
      </c>
      <c r="CD156" s="13">
        <v>29</v>
      </c>
      <c r="CE156" s="13">
        <v>1</v>
      </c>
      <c r="CF156" s="13" t="s">
        <v>152</v>
      </c>
      <c r="CG156" s="13" t="s">
        <v>153</v>
      </c>
    </row>
    <row r="157" spans="1:85">
      <c r="A157" s="13" t="s">
        <v>1685</v>
      </c>
      <c r="B157" s="13" t="s">
        <v>2120</v>
      </c>
      <c r="C157" s="13" t="s">
        <v>2409</v>
      </c>
      <c r="D157" s="13" t="s">
        <v>2038</v>
      </c>
      <c r="E157" s="13" t="s">
        <v>633</v>
      </c>
      <c r="F157" s="13" t="s">
        <v>741</v>
      </c>
      <c r="G157" s="13" t="s">
        <v>672</v>
      </c>
      <c r="H157" s="13" t="s">
        <v>686</v>
      </c>
      <c r="J157" s="13" t="s">
        <v>739</v>
      </c>
      <c r="K157" s="14" t="s">
        <v>3105</v>
      </c>
      <c r="L157" s="13" t="s">
        <v>585</v>
      </c>
      <c r="N157" s="13">
        <v>29</v>
      </c>
      <c r="O157" s="2">
        <f t="shared" si="15"/>
        <v>0.53703703703703709</v>
      </c>
      <c r="P157" s="13">
        <v>40</v>
      </c>
      <c r="Q157" s="2">
        <f t="shared" si="16"/>
        <v>0.7142857142857143</v>
      </c>
      <c r="R157" s="13">
        <v>54</v>
      </c>
      <c r="S157" s="13">
        <v>56</v>
      </c>
      <c r="V157" s="13">
        <v>10</v>
      </c>
      <c r="Y157" s="13">
        <v>64</v>
      </c>
      <c r="Z157" s="13">
        <v>32</v>
      </c>
      <c r="AA157" s="13">
        <v>81</v>
      </c>
      <c r="AD157" s="13">
        <v>63</v>
      </c>
      <c r="AE157" s="13">
        <v>18</v>
      </c>
      <c r="AF157" s="13">
        <v>87</v>
      </c>
      <c r="AG157" s="13" t="s">
        <v>639</v>
      </c>
      <c r="AH157" s="13">
        <v>1038</v>
      </c>
      <c r="AJ157" s="13">
        <v>81.5</v>
      </c>
      <c r="AK157" s="13">
        <v>68.599999999999994</v>
      </c>
      <c r="AL157" s="13">
        <v>90.7</v>
      </c>
      <c r="AM157" s="13">
        <v>83.9</v>
      </c>
      <c r="AN157" s="13">
        <v>71.7</v>
      </c>
      <c r="AO157" s="13">
        <v>92.4</v>
      </c>
      <c r="AP157" s="13">
        <v>0.83499999999999996</v>
      </c>
      <c r="AR157" s="13">
        <v>0.752</v>
      </c>
      <c r="AS157" s="13">
        <v>0.89900000000000002</v>
      </c>
      <c r="BG157" s="13">
        <v>2034</v>
      </c>
      <c r="BR157" s="13">
        <v>376</v>
      </c>
      <c r="BY157" s="13" t="s">
        <v>149</v>
      </c>
      <c r="BZ157" s="13" t="s">
        <v>150</v>
      </c>
      <c r="CA157" s="13">
        <v>2023</v>
      </c>
      <c r="CB157" s="13" t="s">
        <v>73</v>
      </c>
      <c r="CC157" s="13" t="s">
        <v>151</v>
      </c>
      <c r="CD157" s="13">
        <v>29</v>
      </c>
      <c r="CE157" s="13">
        <v>1</v>
      </c>
      <c r="CF157" s="13" t="s">
        <v>152</v>
      </c>
      <c r="CG157" s="13" t="s">
        <v>153</v>
      </c>
    </row>
    <row r="158" spans="1:85">
      <c r="A158" s="13" t="s">
        <v>1685</v>
      </c>
      <c r="B158" s="13" t="s">
        <v>2120</v>
      </c>
      <c r="C158" s="13" t="s">
        <v>2410</v>
      </c>
      <c r="D158" s="13" t="s">
        <v>2038</v>
      </c>
      <c r="E158" s="13" t="s">
        <v>633</v>
      </c>
      <c r="F158" s="13" t="s">
        <v>741</v>
      </c>
      <c r="G158" s="13" t="s">
        <v>672</v>
      </c>
      <c r="H158" s="13" t="s">
        <v>675</v>
      </c>
      <c r="J158" s="13" t="s">
        <v>739</v>
      </c>
      <c r="K158" s="14" t="s">
        <v>3105</v>
      </c>
      <c r="L158" s="13" t="s">
        <v>585</v>
      </c>
      <c r="N158" s="13">
        <v>33</v>
      </c>
      <c r="O158" s="2">
        <f t="shared" si="15"/>
        <v>0.56896551724137934</v>
      </c>
      <c r="P158" s="13">
        <v>40</v>
      </c>
      <c r="Q158" s="2">
        <f t="shared" si="16"/>
        <v>0.7142857142857143</v>
      </c>
      <c r="R158" s="13">
        <v>58</v>
      </c>
      <c r="S158" s="13">
        <v>56</v>
      </c>
      <c r="V158" s="13">
        <v>5</v>
      </c>
      <c r="Y158" s="13">
        <v>65</v>
      </c>
      <c r="Z158" s="13">
        <v>30</v>
      </c>
      <c r="AA158" s="13">
        <v>83</v>
      </c>
      <c r="AD158" s="13">
        <v>63</v>
      </c>
      <c r="AE158" s="13">
        <v>18</v>
      </c>
      <c r="AF158" s="13">
        <v>87</v>
      </c>
      <c r="AG158" s="13" t="s">
        <v>639</v>
      </c>
      <c r="AH158" s="13">
        <v>1733</v>
      </c>
      <c r="AJ158" s="13">
        <v>89.7</v>
      </c>
      <c r="AK158" s="13">
        <v>78.8</v>
      </c>
      <c r="AL158" s="13">
        <v>96.1</v>
      </c>
      <c r="AM158" s="13">
        <v>80.400000000000006</v>
      </c>
      <c r="AN158" s="13">
        <v>67.7</v>
      </c>
      <c r="AO158" s="13">
        <v>89.8</v>
      </c>
      <c r="AP158" s="13">
        <v>0.88</v>
      </c>
      <c r="AR158" s="13">
        <v>0.8</v>
      </c>
      <c r="AS158" s="13">
        <v>0.93</v>
      </c>
      <c r="BG158" s="13">
        <v>5493</v>
      </c>
      <c r="BR158" s="13">
        <v>1025</v>
      </c>
      <c r="BY158" s="13" t="s">
        <v>149</v>
      </c>
      <c r="BZ158" s="13" t="s">
        <v>150</v>
      </c>
      <c r="CA158" s="13">
        <v>2023</v>
      </c>
      <c r="CB158" s="13" t="s">
        <v>73</v>
      </c>
      <c r="CC158" s="13" t="s">
        <v>151</v>
      </c>
      <c r="CD158" s="13">
        <v>29</v>
      </c>
      <c r="CE158" s="13">
        <v>1</v>
      </c>
      <c r="CF158" s="13" t="s">
        <v>152</v>
      </c>
      <c r="CG158" s="13" t="s">
        <v>153</v>
      </c>
    </row>
    <row r="159" spans="1:85">
      <c r="A159" s="13" t="s">
        <v>1685</v>
      </c>
      <c r="B159" s="13" t="s">
        <v>2120</v>
      </c>
      <c r="C159" s="13" t="s">
        <v>2410</v>
      </c>
      <c r="D159" s="13" t="s">
        <v>2038</v>
      </c>
      <c r="E159" s="13" t="s">
        <v>633</v>
      </c>
      <c r="F159" s="13" t="s">
        <v>741</v>
      </c>
      <c r="G159" s="13" t="s">
        <v>672</v>
      </c>
      <c r="H159" s="13" t="s">
        <v>686</v>
      </c>
      <c r="J159" s="13" t="s">
        <v>739</v>
      </c>
      <c r="K159" s="14" t="s">
        <v>3105</v>
      </c>
      <c r="L159" s="13" t="s">
        <v>585</v>
      </c>
      <c r="N159" s="13">
        <v>33</v>
      </c>
      <c r="O159" s="2">
        <f t="shared" si="15"/>
        <v>0.56896551724137934</v>
      </c>
      <c r="P159" s="13">
        <v>40</v>
      </c>
      <c r="Q159" s="2">
        <f t="shared" si="16"/>
        <v>0.7142857142857143</v>
      </c>
      <c r="R159" s="13">
        <v>58</v>
      </c>
      <c r="S159" s="13">
        <v>56</v>
      </c>
      <c r="V159" s="13">
        <v>5</v>
      </c>
      <c r="Y159" s="13">
        <v>65</v>
      </c>
      <c r="Z159" s="13">
        <v>30</v>
      </c>
      <c r="AA159" s="13">
        <v>83</v>
      </c>
      <c r="AD159" s="13">
        <v>63</v>
      </c>
      <c r="AE159" s="13">
        <v>18</v>
      </c>
      <c r="AF159" s="13">
        <v>87</v>
      </c>
      <c r="AG159" s="13" t="s">
        <v>639</v>
      </c>
      <c r="AH159" s="13">
        <v>1101</v>
      </c>
      <c r="AJ159" s="13">
        <v>86.2</v>
      </c>
      <c r="AK159" s="13">
        <v>74.599999999999994</v>
      </c>
      <c r="AL159" s="13">
        <v>93.9</v>
      </c>
      <c r="AM159" s="13">
        <v>87.5</v>
      </c>
      <c r="AN159" s="13">
        <v>75.900000000000006</v>
      </c>
      <c r="AO159" s="13">
        <v>94.8</v>
      </c>
      <c r="AP159" s="13">
        <v>0.85</v>
      </c>
      <c r="AR159" s="13">
        <v>0.77</v>
      </c>
      <c r="AS159" s="13">
        <v>0.91</v>
      </c>
      <c r="BG159" s="13">
        <v>2144</v>
      </c>
      <c r="BR159" s="13">
        <v>376</v>
      </c>
      <c r="BY159" s="13" t="s">
        <v>149</v>
      </c>
      <c r="BZ159" s="13" t="s">
        <v>150</v>
      </c>
      <c r="CA159" s="13">
        <v>2023</v>
      </c>
      <c r="CB159" s="13" t="s">
        <v>73</v>
      </c>
      <c r="CC159" s="13" t="s">
        <v>151</v>
      </c>
      <c r="CD159" s="13">
        <v>29</v>
      </c>
      <c r="CE159" s="13">
        <v>1</v>
      </c>
      <c r="CF159" s="13" t="s">
        <v>152</v>
      </c>
      <c r="CG159" s="13" t="s">
        <v>153</v>
      </c>
    </row>
    <row r="160" spans="1:85">
      <c r="A160" s="13" t="s">
        <v>3374</v>
      </c>
      <c r="C160" s="13" t="s">
        <v>3303</v>
      </c>
      <c r="D160" s="14" t="s">
        <v>830</v>
      </c>
      <c r="E160" s="13" t="s">
        <v>630</v>
      </c>
      <c r="F160" s="13" t="s">
        <v>3715</v>
      </c>
      <c r="G160" s="13" t="s">
        <v>674</v>
      </c>
      <c r="H160" s="13" t="s">
        <v>3716</v>
      </c>
      <c r="J160" s="14" t="s">
        <v>726</v>
      </c>
      <c r="K160" s="13" t="s">
        <v>3717</v>
      </c>
      <c r="L160" s="13" t="s">
        <v>3718</v>
      </c>
      <c r="N160" s="13">
        <v>15</v>
      </c>
      <c r="O160" s="2">
        <f t="shared" si="15"/>
        <v>0.46875</v>
      </c>
      <c r="P160" s="13">
        <v>18</v>
      </c>
      <c r="Q160" s="17">
        <f t="shared" si="16"/>
        <v>0.5625</v>
      </c>
      <c r="R160" s="13">
        <v>32</v>
      </c>
      <c r="S160" s="13">
        <v>32</v>
      </c>
      <c r="T160" s="13">
        <v>10</v>
      </c>
      <c r="U160" s="15">
        <f>T160/R160</f>
        <v>0.3125</v>
      </c>
      <c r="W160" s="13">
        <v>55</v>
      </c>
      <c r="X160" s="13">
        <v>8.66</v>
      </c>
      <c r="AB160" s="13">
        <v>57.81</v>
      </c>
      <c r="AC160" s="13">
        <v>7.98</v>
      </c>
      <c r="AG160" s="13" t="s">
        <v>3719</v>
      </c>
      <c r="AP160" s="13">
        <v>0.82</v>
      </c>
      <c r="BB160" s="13">
        <v>0.71</v>
      </c>
      <c r="BC160" s="13">
        <v>0.27</v>
      </c>
      <c r="BM160" s="13">
        <v>1.03</v>
      </c>
      <c r="BN160" s="13">
        <v>0.21</v>
      </c>
      <c r="BX160" s="13" t="s">
        <v>701</v>
      </c>
      <c r="BY160" s="13" t="s">
        <v>3473</v>
      </c>
      <c r="BZ160" s="13" t="s">
        <v>3474</v>
      </c>
      <c r="CA160" s="13">
        <v>2025</v>
      </c>
      <c r="CB160" s="21">
        <v>45734</v>
      </c>
      <c r="CC160" s="13" t="s">
        <v>3475</v>
      </c>
      <c r="CG160" s="13" t="s">
        <v>3229</v>
      </c>
    </row>
    <row r="161" spans="1:85">
      <c r="A161" s="13" t="s">
        <v>3374</v>
      </c>
      <c r="C161" s="13" t="s">
        <v>3303</v>
      </c>
      <c r="D161" s="14" t="s">
        <v>830</v>
      </c>
      <c r="E161" s="13" t="s">
        <v>630</v>
      </c>
      <c r="F161" s="13" t="s">
        <v>3715</v>
      </c>
      <c r="G161" s="13" t="s">
        <v>674</v>
      </c>
      <c r="H161" s="13" t="s">
        <v>3720</v>
      </c>
      <c r="J161" s="14" t="s">
        <v>726</v>
      </c>
      <c r="K161" s="13" t="s">
        <v>3717</v>
      </c>
      <c r="L161" s="13" t="s">
        <v>3718</v>
      </c>
      <c r="N161" s="13">
        <v>15</v>
      </c>
      <c r="O161" s="2">
        <f t="shared" si="15"/>
        <v>0.46875</v>
      </c>
      <c r="P161" s="13">
        <v>18</v>
      </c>
      <c r="Q161" s="17">
        <f t="shared" si="16"/>
        <v>0.5625</v>
      </c>
      <c r="R161" s="13">
        <v>32</v>
      </c>
      <c r="S161" s="13">
        <v>32</v>
      </c>
      <c r="T161" s="13">
        <v>10</v>
      </c>
      <c r="U161" s="15">
        <f>T161/R161</f>
        <v>0.3125</v>
      </c>
      <c r="W161" s="13">
        <v>55</v>
      </c>
      <c r="X161" s="13">
        <v>8.66</v>
      </c>
      <c r="AB161" s="13">
        <v>57.81</v>
      </c>
      <c r="AC161" s="13">
        <v>7.98</v>
      </c>
      <c r="AG161" s="13" t="s">
        <v>3719</v>
      </c>
      <c r="AP161" s="13">
        <v>0.76</v>
      </c>
      <c r="BB161" s="13">
        <v>1.68</v>
      </c>
      <c r="BC161" s="13">
        <v>0.55000000000000004</v>
      </c>
      <c r="BM161" s="13">
        <v>1.1200000000000001</v>
      </c>
      <c r="BN161" s="13">
        <v>0.45</v>
      </c>
      <c r="BX161" s="13">
        <v>2.0000000000000001E-4</v>
      </c>
      <c r="BY161" s="13" t="s">
        <v>3473</v>
      </c>
      <c r="BZ161" s="13" t="s">
        <v>3474</v>
      </c>
      <c r="CA161" s="13">
        <v>2025</v>
      </c>
      <c r="CB161" s="21">
        <v>45734</v>
      </c>
      <c r="CC161" s="13" t="s">
        <v>3475</v>
      </c>
      <c r="CG161" s="13" t="s">
        <v>3229</v>
      </c>
    </row>
    <row r="162" spans="1:85">
      <c r="A162" s="13" t="s">
        <v>3374</v>
      </c>
      <c r="C162" s="13" t="s">
        <v>3303</v>
      </c>
      <c r="D162" s="14" t="s">
        <v>830</v>
      </c>
      <c r="E162" s="13" t="s">
        <v>630</v>
      </c>
      <c r="F162" s="13" t="s">
        <v>3715</v>
      </c>
      <c r="G162" s="13" t="s">
        <v>674</v>
      </c>
      <c r="H162" s="13" t="s">
        <v>2724</v>
      </c>
      <c r="J162" s="14" t="s">
        <v>726</v>
      </c>
      <c r="K162" s="13" t="s">
        <v>3717</v>
      </c>
      <c r="L162" s="13" t="s">
        <v>585</v>
      </c>
      <c r="N162" s="13">
        <v>15</v>
      </c>
      <c r="O162" s="2">
        <f t="shared" si="15"/>
        <v>0.46875</v>
      </c>
      <c r="P162" s="13">
        <v>18</v>
      </c>
      <c r="Q162" s="17">
        <f t="shared" si="16"/>
        <v>0.5625</v>
      </c>
      <c r="R162" s="13">
        <v>32</v>
      </c>
      <c r="S162" s="13">
        <v>32</v>
      </c>
      <c r="T162" s="13">
        <v>10</v>
      </c>
      <c r="U162" s="15">
        <f>T162/R162</f>
        <v>0.3125</v>
      </c>
      <c r="W162" s="13">
        <v>55</v>
      </c>
      <c r="X162" s="13">
        <v>8.66</v>
      </c>
      <c r="AB162" s="13">
        <v>57.81</v>
      </c>
      <c r="AC162" s="13">
        <v>7.98</v>
      </c>
      <c r="AG162" s="13" t="s">
        <v>639</v>
      </c>
      <c r="AP162" s="13">
        <v>0.82</v>
      </c>
      <c r="BB162" s="13">
        <v>13.2</v>
      </c>
      <c r="BC162" s="13">
        <v>3.28</v>
      </c>
      <c r="BM162" s="13">
        <v>10.3</v>
      </c>
      <c r="BN162" s="13">
        <v>1.78</v>
      </c>
      <c r="BX162" s="13">
        <v>2.9999999999999997E-4</v>
      </c>
      <c r="BY162" s="13" t="s">
        <v>3473</v>
      </c>
      <c r="BZ162" s="13" t="s">
        <v>3474</v>
      </c>
      <c r="CA162" s="13">
        <v>2025</v>
      </c>
      <c r="CB162" s="21">
        <v>45734</v>
      </c>
      <c r="CC162" s="13" t="s">
        <v>3475</v>
      </c>
      <c r="CG162" s="13" t="s">
        <v>3229</v>
      </c>
    </row>
    <row r="163" spans="1:85">
      <c r="A163" s="13" t="s">
        <v>1802</v>
      </c>
      <c r="B163" s="13" t="s">
        <v>1802</v>
      </c>
      <c r="C163" s="14" t="s">
        <v>1186</v>
      </c>
      <c r="D163" s="14" t="s">
        <v>830</v>
      </c>
      <c r="F163" s="13" t="s">
        <v>2426</v>
      </c>
      <c r="G163" s="13" t="s">
        <v>674</v>
      </c>
      <c r="H163" s="13" t="s">
        <v>2420</v>
      </c>
      <c r="J163" s="13" t="s">
        <v>703</v>
      </c>
      <c r="K163" s="14" t="s">
        <v>4064</v>
      </c>
      <c r="L163" s="13" t="s">
        <v>1972</v>
      </c>
      <c r="M163" s="13" t="s">
        <v>2427</v>
      </c>
      <c r="N163" s="13">
        <v>11</v>
      </c>
      <c r="O163" s="2">
        <f t="shared" si="15"/>
        <v>0.61111111111111116</v>
      </c>
      <c r="P163" s="13">
        <v>9</v>
      </c>
      <c r="Q163" s="17">
        <f t="shared" si="16"/>
        <v>0.5</v>
      </c>
      <c r="R163" s="13">
        <v>18</v>
      </c>
      <c r="S163" s="13">
        <v>18</v>
      </c>
      <c r="W163" s="14">
        <v>62.72</v>
      </c>
      <c r="X163" s="14">
        <v>8.82</v>
      </c>
      <c r="Y163" s="14">
        <v>63.5</v>
      </c>
      <c r="Z163" s="14">
        <v>56</v>
      </c>
      <c r="AA163" s="14">
        <v>69</v>
      </c>
      <c r="AB163" s="13">
        <v>67.61</v>
      </c>
      <c r="AC163" s="14">
        <v>7.78</v>
      </c>
      <c r="AD163" s="14">
        <v>68</v>
      </c>
      <c r="AE163" s="14">
        <v>63</v>
      </c>
      <c r="AF163" s="13">
        <v>74</v>
      </c>
      <c r="AG163" s="13" t="s">
        <v>641</v>
      </c>
      <c r="BB163" s="13">
        <v>47</v>
      </c>
      <c r="BC163" s="13">
        <v>11</v>
      </c>
      <c r="BM163" s="13">
        <v>58</v>
      </c>
      <c r="BN163" s="13">
        <v>10</v>
      </c>
      <c r="BX163" s="13">
        <v>8.9999999999999998E-4</v>
      </c>
      <c r="BY163" s="13" t="s">
        <v>1182</v>
      </c>
      <c r="BZ163" s="13" t="s">
        <v>1183</v>
      </c>
      <c r="CA163" s="13">
        <v>2023</v>
      </c>
      <c r="CB163" s="13" t="s">
        <v>2193</v>
      </c>
      <c r="CC163" s="13" t="s">
        <v>1184</v>
      </c>
      <c r="CD163" s="13">
        <v>226</v>
      </c>
      <c r="CF163" s="13" t="s">
        <v>2192</v>
      </c>
      <c r="CG163" s="13" t="s">
        <v>1185</v>
      </c>
    </row>
    <row r="164" spans="1:85">
      <c r="A164" s="13" t="s">
        <v>1802</v>
      </c>
      <c r="B164" s="13" t="s">
        <v>1802</v>
      </c>
      <c r="C164" s="14" t="s">
        <v>1186</v>
      </c>
      <c r="D164" s="14" t="s">
        <v>830</v>
      </c>
      <c r="F164" s="13" t="s">
        <v>2426</v>
      </c>
      <c r="G164" s="13" t="s">
        <v>672</v>
      </c>
      <c r="H164" s="13" t="s">
        <v>2420</v>
      </c>
      <c r="J164" s="13" t="s">
        <v>703</v>
      </c>
      <c r="K164" s="14" t="s">
        <v>4064</v>
      </c>
      <c r="L164" s="13" t="s">
        <v>1972</v>
      </c>
      <c r="M164" s="13" t="s">
        <v>2427</v>
      </c>
      <c r="N164" s="13">
        <v>11</v>
      </c>
      <c r="O164" s="2">
        <f t="shared" si="15"/>
        <v>0.7857142857142857</v>
      </c>
      <c r="P164" s="13">
        <v>9</v>
      </c>
      <c r="Q164" s="17">
        <f t="shared" si="16"/>
        <v>0.5</v>
      </c>
      <c r="R164" s="13">
        <v>14</v>
      </c>
      <c r="S164" s="13">
        <v>18</v>
      </c>
      <c r="W164" s="14">
        <v>62.72</v>
      </c>
      <c r="X164" s="14">
        <v>8.82</v>
      </c>
      <c r="Y164" s="14">
        <v>63.5</v>
      </c>
      <c r="Z164" s="14">
        <v>56</v>
      </c>
      <c r="AA164" s="14">
        <v>69</v>
      </c>
      <c r="AB164" s="13">
        <v>67.61</v>
      </c>
      <c r="AC164" s="14">
        <v>7.78</v>
      </c>
      <c r="AD164" s="14">
        <v>68</v>
      </c>
      <c r="AE164" s="14">
        <v>63</v>
      </c>
      <c r="AF164" s="13">
        <v>74</v>
      </c>
      <c r="AG164" s="13" t="s">
        <v>641</v>
      </c>
      <c r="BB164" s="13">
        <v>1.96</v>
      </c>
      <c r="BC164" s="13">
        <v>0.1</v>
      </c>
      <c r="BM164" s="13">
        <v>1.66</v>
      </c>
      <c r="BN164" s="13">
        <v>0.45</v>
      </c>
      <c r="BX164" s="13">
        <v>8.9999999999999998E-4</v>
      </c>
      <c r="BY164" s="13" t="s">
        <v>1182</v>
      </c>
      <c r="BZ164" s="13" t="s">
        <v>1183</v>
      </c>
      <c r="CA164" s="13">
        <v>2023</v>
      </c>
      <c r="CB164" s="13" t="s">
        <v>2193</v>
      </c>
      <c r="CC164" s="13" t="s">
        <v>1184</v>
      </c>
      <c r="CD164" s="13">
        <v>226</v>
      </c>
      <c r="CF164" s="13" t="s">
        <v>2192</v>
      </c>
      <c r="CG164" s="13" t="s">
        <v>1185</v>
      </c>
    </row>
    <row r="165" spans="1:85">
      <c r="A165" s="13" t="s">
        <v>1803</v>
      </c>
      <c r="B165" s="13" t="s">
        <v>1803</v>
      </c>
      <c r="C165" s="14" t="s">
        <v>1193</v>
      </c>
      <c r="D165" s="14" t="s">
        <v>898</v>
      </c>
      <c r="E165" s="13" t="s">
        <v>630</v>
      </c>
      <c r="F165" s="13" t="s">
        <v>2432</v>
      </c>
      <c r="G165" s="13" t="s">
        <v>672</v>
      </c>
      <c r="H165" s="13" t="s">
        <v>653</v>
      </c>
      <c r="J165" s="13" t="s">
        <v>2429</v>
      </c>
      <c r="K165" s="14" t="s">
        <v>4065</v>
      </c>
      <c r="L165" s="13" t="s">
        <v>2433</v>
      </c>
      <c r="M165" s="13" t="s">
        <v>2434</v>
      </c>
      <c r="N165" s="13">
        <v>13</v>
      </c>
      <c r="O165" s="2">
        <f t="shared" si="15"/>
        <v>0.54166666666666663</v>
      </c>
      <c r="P165" s="13">
        <v>10</v>
      </c>
      <c r="Q165" s="17">
        <f t="shared" si="16"/>
        <v>0.5</v>
      </c>
      <c r="R165" s="13">
        <v>24</v>
      </c>
      <c r="S165" s="13">
        <v>20</v>
      </c>
      <c r="T165" s="13">
        <v>0</v>
      </c>
      <c r="W165" s="14"/>
      <c r="X165" s="14"/>
      <c r="Y165" s="14">
        <v>64</v>
      </c>
      <c r="Z165" s="14"/>
      <c r="AA165" s="14"/>
      <c r="AC165" s="14"/>
      <c r="AD165" s="14">
        <v>60</v>
      </c>
      <c r="AE165" s="14"/>
      <c r="AG165" s="13" t="s">
        <v>2376</v>
      </c>
      <c r="BB165" s="13">
        <v>7.29</v>
      </c>
      <c r="BC165" s="13">
        <v>2.44</v>
      </c>
      <c r="BM165" s="13">
        <v>12.3</v>
      </c>
      <c r="BN165" s="13">
        <v>1.82</v>
      </c>
      <c r="BX165" s="13" t="s">
        <v>635</v>
      </c>
      <c r="BY165" s="13" t="s">
        <v>1187</v>
      </c>
      <c r="BZ165" s="13" t="s">
        <v>1188</v>
      </c>
      <c r="CA165" s="13">
        <v>2023</v>
      </c>
      <c r="CB165" s="13" t="s">
        <v>1189</v>
      </c>
      <c r="CC165" s="13" t="s">
        <v>1190</v>
      </c>
      <c r="CD165" s="13">
        <v>71</v>
      </c>
      <c r="CE165" s="13">
        <v>4</v>
      </c>
      <c r="CF165" s="13" t="s">
        <v>1191</v>
      </c>
      <c r="CG165" s="13" t="s">
        <v>1192</v>
      </c>
    </row>
    <row r="166" spans="1:85">
      <c r="A166" s="13" t="s">
        <v>1803</v>
      </c>
      <c r="B166" s="13" t="s">
        <v>1803</v>
      </c>
      <c r="C166" s="14" t="s">
        <v>1193</v>
      </c>
      <c r="D166" s="14" t="s">
        <v>898</v>
      </c>
      <c r="E166" s="13" t="s">
        <v>630</v>
      </c>
      <c r="F166" s="13" t="s">
        <v>2432</v>
      </c>
      <c r="G166" s="13" t="s">
        <v>672</v>
      </c>
      <c r="H166" s="13" t="s">
        <v>2431</v>
      </c>
      <c r="J166" s="13" t="s">
        <v>2429</v>
      </c>
      <c r="K166" s="14" t="s">
        <v>4065</v>
      </c>
      <c r="L166" s="13" t="s">
        <v>2433</v>
      </c>
      <c r="M166" s="13" t="s">
        <v>2434</v>
      </c>
      <c r="N166" s="13">
        <v>13</v>
      </c>
      <c r="O166" s="2">
        <f t="shared" si="15"/>
        <v>0.54166666666666663</v>
      </c>
      <c r="P166" s="13">
        <v>10</v>
      </c>
      <c r="Q166" s="17">
        <f t="shared" si="16"/>
        <v>0.5</v>
      </c>
      <c r="R166" s="13">
        <v>24</v>
      </c>
      <c r="S166" s="13">
        <v>20</v>
      </c>
      <c r="T166" s="13">
        <v>0</v>
      </c>
      <c r="W166" s="14"/>
      <c r="X166" s="14"/>
      <c r="Y166" s="14">
        <v>64</v>
      </c>
      <c r="Z166" s="14"/>
      <c r="AA166" s="14"/>
      <c r="AC166" s="14"/>
      <c r="AD166" s="14">
        <v>60</v>
      </c>
      <c r="AE166" s="14"/>
      <c r="AG166" s="13" t="s">
        <v>2435</v>
      </c>
      <c r="BB166" s="13">
        <v>100.87</v>
      </c>
      <c r="BC166" s="13">
        <v>29.74</v>
      </c>
      <c r="BM166" s="13">
        <v>132</v>
      </c>
      <c r="BN166" s="13">
        <v>19.57</v>
      </c>
      <c r="BX166" s="13" t="s">
        <v>635</v>
      </c>
      <c r="BY166" s="13" t="s">
        <v>1187</v>
      </c>
      <c r="BZ166" s="13" t="s">
        <v>1188</v>
      </c>
      <c r="CA166" s="13">
        <v>2023</v>
      </c>
      <c r="CB166" s="13" t="s">
        <v>1189</v>
      </c>
      <c r="CC166" s="13" t="s">
        <v>1190</v>
      </c>
      <c r="CD166" s="13">
        <v>71</v>
      </c>
      <c r="CE166" s="13">
        <v>4</v>
      </c>
      <c r="CF166" s="13" t="s">
        <v>1191</v>
      </c>
      <c r="CG166" s="13" t="s">
        <v>1192</v>
      </c>
    </row>
    <row r="167" spans="1:85">
      <c r="A167" s="13" t="s">
        <v>1686</v>
      </c>
      <c r="B167" s="13" t="s">
        <v>1804</v>
      </c>
      <c r="C167" s="13" t="s">
        <v>159</v>
      </c>
      <c r="D167" s="13" t="s">
        <v>830</v>
      </c>
      <c r="G167" s="13" t="s">
        <v>673</v>
      </c>
      <c r="H167" s="13" t="s">
        <v>742</v>
      </c>
      <c r="J167" s="13" t="s">
        <v>703</v>
      </c>
      <c r="K167" s="14" t="s">
        <v>4045</v>
      </c>
      <c r="L167" s="13" t="s">
        <v>1983</v>
      </c>
      <c r="R167" s="13">
        <v>27</v>
      </c>
      <c r="S167" s="13">
        <v>13</v>
      </c>
      <c r="T167" s="13">
        <v>3</v>
      </c>
      <c r="U167" s="15">
        <f>T167/R167</f>
        <v>0.1111111111111111</v>
      </c>
      <c r="W167" s="13">
        <v>56.6</v>
      </c>
      <c r="X167" s="13">
        <v>10.9</v>
      </c>
      <c r="AB167" s="13">
        <v>55</v>
      </c>
      <c r="AC167" s="13">
        <v>12</v>
      </c>
      <c r="AG167" s="13" t="s">
        <v>743</v>
      </c>
      <c r="BB167" s="13" t="s">
        <v>744</v>
      </c>
      <c r="BC167" s="13" t="s">
        <v>744</v>
      </c>
      <c r="BM167" s="13" t="s">
        <v>744</v>
      </c>
      <c r="BN167" s="13" t="s">
        <v>744</v>
      </c>
      <c r="BY167" s="13" t="s">
        <v>155</v>
      </c>
      <c r="BZ167" s="13" t="s">
        <v>156</v>
      </c>
      <c r="CA167" s="13">
        <v>2021</v>
      </c>
      <c r="CB167" s="21">
        <v>45302</v>
      </c>
      <c r="CC167" s="13" t="s">
        <v>157</v>
      </c>
      <c r="CD167" s="13">
        <v>7</v>
      </c>
      <c r="CE167" s="13">
        <v>1</v>
      </c>
      <c r="CF167" s="13">
        <v>4</v>
      </c>
      <c r="CG167" s="13" t="s">
        <v>158</v>
      </c>
    </row>
    <row r="168" spans="1:85">
      <c r="A168" s="13" t="s">
        <v>1687</v>
      </c>
      <c r="C168" s="13" t="s">
        <v>165</v>
      </c>
      <c r="D168" s="13" t="s">
        <v>830</v>
      </c>
      <c r="E168" s="13" t="s">
        <v>630</v>
      </c>
      <c r="F168" s="13" t="s">
        <v>746</v>
      </c>
      <c r="G168" s="13" t="s">
        <v>702</v>
      </c>
      <c r="H168" s="13" t="s">
        <v>748</v>
      </c>
      <c r="J168" s="13" t="s">
        <v>745</v>
      </c>
      <c r="K168" s="13" t="s">
        <v>3179</v>
      </c>
      <c r="L168" s="13" t="s">
        <v>1974</v>
      </c>
      <c r="M168" s="13" t="s">
        <v>747</v>
      </c>
      <c r="N168" s="13">
        <v>30</v>
      </c>
      <c r="O168" s="2">
        <f t="shared" ref="O168:O176" si="17">N168/R168</f>
        <v>0.5</v>
      </c>
      <c r="P168" s="13">
        <v>9</v>
      </c>
      <c r="Q168" s="2">
        <f t="shared" ref="Q168:Q174" si="18">P168/S168</f>
        <v>0.6</v>
      </c>
      <c r="R168" s="13">
        <v>60</v>
      </c>
      <c r="S168" s="13">
        <v>15</v>
      </c>
      <c r="W168" s="13">
        <v>67</v>
      </c>
      <c r="AD168" s="13">
        <v>53</v>
      </c>
      <c r="AG168" s="13" t="s">
        <v>750</v>
      </c>
      <c r="AJ168" s="13">
        <v>79.2</v>
      </c>
      <c r="AM168" s="13">
        <v>92.3</v>
      </c>
      <c r="AP168" s="13">
        <v>0.89400000000000002</v>
      </c>
      <c r="AR168" s="13">
        <v>0.81399999999999995</v>
      </c>
      <c r="AS168" s="13">
        <v>0.97399999999999998</v>
      </c>
      <c r="BY168" s="13" t="s">
        <v>160</v>
      </c>
      <c r="BZ168" s="13" t="s">
        <v>161</v>
      </c>
      <c r="CA168" s="13">
        <v>2019</v>
      </c>
      <c r="CB168" s="13" t="s">
        <v>162</v>
      </c>
      <c r="CC168" s="13" t="s">
        <v>120</v>
      </c>
      <c r="CD168" s="13">
        <v>56</v>
      </c>
      <c r="CE168" s="13">
        <v>12</v>
      </c>
      <c r="CF168" s="13" t="s">
        <v>163</v>
      </c>
      <c r="CG168" s="13" t="s">
        <v>164</v>
      </c>
    </row>
    <row r="169" spans="1:85">
      <c r="A169" s="13" t="s">
        <v>1687</v>
      </c>
      <c r="C169" s="13" t="s">
        <v>165</v>
      </c>
      <c r="D169" s="13" t="s">
        <v>830</v>
      </c>
      <c r="E169" s="13" t="s">
        <v>630</v>
      </c>
      <c r="F169" s="13" t="s">
        <v>746</v>
      </c>
      <c r="G169" s="13" t="s">
        <v>702</v>
      </c>
      <c r="H169" s="13" t="s">
        <v>751</v>
      </c>
      <c r="J169" s="13" t="s">
        <v>745</v>
      </c>
      <c r="K169" s="13" t="s">
        <v>3179</v>
      </c>
      <c r="L169" s="13" t="s">
        <v>1974</v>
      </c>
      <c r="M169" s="13" t="s">
        <v>747</v>
      </c>
      <c r="N169" s="13">
        <v>30</v>
      </c>
      <c r="O169" s="2">
        <f t="shared" si="17"/>
        <v>0.5</v>
      </c>
      <c r="P169" s="13">
        <v>9</v>
      </c>
      <c r="Q169" s="2">
        <f t="shared" si="18"/>
        <v>0.6</v>
      </c>
      <c r="R169" s="13">
        <v>60</v>
      </c>
      <c r="S169" s="13">
        <v>15</v>
      </c>
      <c r="W169" s="13">
        <v>67</v>
      </c>
      <c r="AD169" s="13">
        <v>53</v>
      </c>
      <c r="AG169" s="13" t="s">
        <v>750</v>
      </c>
      <c r="AJ169" s="13">
        <v>62.3</v>
      </c>
      <c r="AM169" s="13">
        <v>61.5</v>
      </c>
      <c r="AP169" s="13">
        <v>0.623</v>
      </c>
      <c r="AR169" s="13">
        <v>0.42599999999999999</v>
      </c>
      <c r="AS169" s="13">
        <v>0.81899999999999995</v>
      </c>
      <c r="BY169" s="13" t="s">
        <v>160</v>
      </c>
      <c r="BZ169" s="13" t="s">
        <v>161</v>
      </c>
      <c r="CA169" s="13">
        <v>2019</v>
      </c>
      <c r="CB169" s="13" t="s">
        <v>162</v>
      </c>
      <c r="CC169" s="13" t="s">
        <v>120</v>
      </c>
      <c r="CD169" s="13">
        <v>56</v>
      </c>
      <c r="CE169" s="13">
        <v>12</v>
      </c>
      <c r="CF169" s="13" t="s">
        <v>163</v>
      </c>
      <c r="CG169" s="13" t="s">
        <v>164</v>
      </c>
    </row>
    <row r="170" spans="1:85">
      <c r="A170" s="13" t="s">
        <v>1687</v>
      </c>
      <c r="C170" s="13" t="s">
        <v>165</v>
      </c>
      <c r="D170" s="13" t="s">
        <v>830</v>
      </c>
      <c r="E170" s="13" t="s">
        <v>630</v>
      </c>
      <c r="F170" s="13" t="s">
        <v>746</v>
      </c>
      <c r="G170" s="13" t="s">
        <v>702</v>
      </c>
      <c r="H170" s="13" t="s">
        <v>752</v>
      </c>
      <c r="J170" s="13" t="s">
        <v>745</v>
      </c>
      <c r="K170" s="13" t="s">
        <v>3179</v>
      </c>
      <c r="L170" s="13" t="s">
        <v>1974</v>
      </c>
      <c r="M170" s="13" t="s">
        <v>747</v>
      </c>
      <c r="N170" s="13">
        <v>30</v>
      </c>
      <c r="O170" s="2">
        <f t="shared" si="17"/>
        <v>0.5</v>
      </c>
      <c r="P170" s="13">
        <v>9</v>
      </c>
      <c r="Q170" s="2">
        <f t="shared" si="18"/>
        <v>0.6</v>
      </c>
      <c r="R170" s="13">
        <v>60</v>
      </c>
      <c r="S170" s="13">
        <v>15</v>
      </c>
      <c r="W170" s="13">
        <v>67</v>
      </c>
      <c r="AD170" s="13">
        <v>53</v>
      </c>
      <c r="AG170" s="13" t="s">
        <v>750</v>
      </c>
      <c r="AJ170" s="13">
        <v>83</v>
      </c>
      <c r="AM170" s="13">
        <v>61.5</v>
      </c>
      <c r="AP170" s="13">
        <v>0.67300000000000004</v>
      </c>
      <c r="AR170" s="13">
        <v>0.104</v>
      </c>
      <c r="AS170" s="13">
        <v>5.3999999999999999E-2</v>
      </c>
      <c r="BY170" s="13" t="s">
        <v>160</v>
      </c>
      <c r="BZ170" s="13" t="s">
        <v>161</v>
      </c>
      <c r="CA170" s="13">
        <v>2019</v>
      </c>
      <c r="CB170" s="13" t="s">
        <v>162</v>
      </c>
      <c r="CC170" s="13" t="s">
        <v>120</v>
      </c>
      <c r="CD170" s="13">
        <v>56</v>
      </c>
      <c r="CE170" s="13">
        <v>12</v>
      </c>
      <c r="CF170" s="13" t="s">
        <v>163</v>
      </c>
      <c r="CG170" s="13" t="s">
        <v>164</v>
      </c>
    </row>
    <row r="171" spans="1:85">
      <c r="A171" s="13" t="s">
        <v>1687</v>
      </c>
      <c r="C171" s="13" t="s">
        <v>165</v>
      </c>
      <c r="D171" s="13" t="s">
        <v>830</v>
      </c>
      <c r="E171" s="13" t="s">
        <v>630</v>
      </c>
      <c r="F171" s="13" t="s">
        <v>746</v>
      </c>
      <c r="G171" s="13" t="s">
        <v>702</v>
      </c>
      <c r="H171" s="13" t="s">
        <v>753</v>
      </c>
      <c r="J171" s="13" t="s">
        <v>745</v>
      </c>
      <c r="K171" s="13" t="s">
        <v>3179</v>
      </c>
      <c r="L171" s="13" t="s">
        <v>1974</v>
      </c>
      <c r="M171" s="13" t="s">
        <v>747</v>
      </c>
      <c r="N171" s="13">
        <v>30</v>
      </c>
      <c r="O171" s="2">
        <f t="shared" si="17"/>
        <v>0.5</v>
      </c>
      <c r="P171" s="13">
        <v>9</v>
      </c>
      <c r="Q171" s="2">
        <f t="shared" si="18"/>
        <v>0.6</v>
      </c>
      <c r="R171" s="13">
        <v>60</v>
      </c>
      <c r="S171" s="13">
        <v>15</v>
      </c>
      <c r="W171" s="13">
        <v>67</v>
      </c>
      <c r="AD171" s="13">
        <v>53</v>
      </c>
      <c r="AG171" s="13" t="s">
        <v>750</v>
      </c>
      <c r="AJ171" s="13">
        <v>73.599999999999994</v>
      </c>
      <c r="AM171" s="13">
        <v>69.2</v>
      </c>
      <c r="AP171" s="13">
        <v>0.76300000000000001</v>
      </c>
      <c r="AR171" s="13">
        <v>0.625</v>
      </c>
      <c r="AS171" s="13">
        <v>0.90200000000000002</v>
      </c>
      <c r="BY171" s="13" t="s">
        <v>160</v>
      </c>
      <c r="BZ171" s="13" t="s">
        <v>161</v>
      </c>
      <c r="CA171" s="13">
        <v>2019</v>
      </c>
      <c r="CB171" s="13" t="s">
        <v>162</v>
      </c>
      <c r="CC171" s="13" t="s">
        <v>120</v>
      </c>
      <c r="CD171" s="13">
        <v>56</v>
      </c>
      <c r="CE171" s="13">
        <v>12</v>
      </c>
      <c r="CF171" s="13" t="s">
        <v>163</v>
      </c>
      <c r="CG171" s="13" t="s">
        <v>164</v>
      </c>
    </row>
    <row r="172" spans="1:85">
      <c r="A172" s="13" t="s">
        <v>1687</v>
      </c>
      <c r="C172" s="13" t="s">
        <v>165</v>
      </c>
      <c r="D172" s="13" t="s">
        <v>830</v>
      </c>
      <c r="E172" s="13" t="s">
        <v>630</v>
      </c>
      <c r="F172" s="13" t="s">
        <v>746</v>
      </c>
      <c r="G172" s="13" t="s">
        <v>702</v>
      </c>
      <c r="H172" s="13" t="s">
        <v>754</v>
      </c>
      <c r="J172" s="13" t="s">
        <v>745</v>
      </c>
      <c r="K172" s="13" t="s">
        <v>3179</v>
      </c>
      <c r="L172" s="13" t="s">
        <v>1974</v>
      </c>
      <c r="M172" s="13" t="s">
        <v>747</v>
      </c>
      <c r="N172" s="13">
        <v>30</v>
      </c>
      <c r="O172" s="2">
        <f t="shared" si="17"/>
        <v>0.5</v>
      </c>
      <c r="P172" s="13">
        <v>9</v>
      </c>
      <c r="Q172" s="2">
        <f t="shared" si="18"/>
        <v>0.6</v>
      </c>
      <c r="R172" s="13">
        <v>60</v>
      </c>
      <c r="S172" s="13">
        <v>15</v>
      </c>
      <c r="W172" s="13">
        <v>67</v>
      </c>
      <c r="AD172" s="13">
        <v>53</v>
      </c>
      <c r="AG172" s="13" t="s">
        <v>750</v>
      </c>
      <c r="AJ172" s="13">
        <v>100</v>
      </c>
      <c r="AM172" s="13">
        <v>100</v>
      </c>
      <c r="AP172" s="13">
        <v>1</v>
      </c>
      <c r="AR172" s="13">
        <v>1</v>
      </c>
      <c r="AS172" s="13">
        <v>1</v>
      </c>
      <c r="BY172" s="13" t="s">
        <v>160</v>
      </c>
      <c r="BZ172" s="13" t="s">
        <v>161</v>
      </c>
      <c r="CA172" s="13">
        <v>2019</v>
      </c>
      <c r="CB172" s="13" t="s">
        <v>162</v>
      </c>
      <c r="CC172" s="13" t="s">
        <v>120</v>
      </c>
      <c r="CD172" s="13">
        <v>56</v>
      </c>
      <c r="CE172" s="13">
        <v>12</v>
      </c>
      <c r="CF172" s="13" t="s">
        <v>163</v>
      </c>
      <c r="CG172" s="13" t="s">
        <v>164</v>
      </c>
    </row>
    <row r="173" spans="1:85">
      <c r="A173" s="13" t="s">
        <v>1687</v>
      </c>
      <c r="C173" s="13" t="s">
        <v>165</v>
      </c>
      <c r="D173" s="13" t="s">
        <v>830</v>
      </c>
      <c r="E173" s="13" t="s">
        <v>630</v>
      </c>
      <c r="F173" s="13" t="s">
        <v>746</v>
      </c>
      <c r="G173" s="13" t="s">
        <v>702</v>
      </c>
      <c r="H173" s="13" t="s">
        <v>755</v>
      </c>
      <c r="J173" s="13" t="s">
        <v>745</v>
      </c>
      <c r="K173" s="13" t="s">
        <v>3179</v>
      </c>
      <c r="L173" s="13" t="s">
        <v>1974</v>
      </c>
      <c r="M173" s="13" t="s">
        <v>747</v>
      </c>
      <c r="N173" s="13">
        <v>30</v>
      </c>
      <c r="O173" s="2">
        <f t="shared" si="17"/>
        <v>0.5</v>
      </c>
      <c r="P173" s="13">
        <v>9</v>
      </c>
      <c r="Q173" s="2">
        <f t="shared" si="18"/>
        <v>0.6</v>
      </c>
      <c r="R173" s="13">
        <v>60</v>
      </c>
      <c r="S173" s="13">
        <v>15</v>
      </c>
      <c r="W173" s="13">
        <v>67</v>
      </c>
      <c r="AD173" s="13">
        <v>53</v>
      </c>
      <c r="AG173" s="13" t="s">
        <v>750</v>
      </c>
      <c r="AJ173" s="13">
        <v>90.6</v>
      </c>
      <c r="AM173" s="13">
        <v>92.3</v>
      </c>
      <c r="AP173" s="13">
        <v>0.95899999999999996</v>
      </c>
      <c r="AR173" s="13">
        <v>0.91400000000000003</v>
      </c>
      <c r="AS173" s="13">
        <v>1</v>
      </c>
      <c r="BY173" s="13" t="s">
        <v>160</v>
      </c>
      <c r="BZ173" s="13" t="s">
        <v>161</v>
      </c>
      <c r="CA173" s="13">
        <v>2019</v>
      </c>
      <c r="CB173" s="13" t="s">
        <v>162</v>
      </c>
      <c r="CC173" s="13" t="s">
        <v>120</v>
      </c>
      <c r="CD173" s="13">
        <v>56</v>
      </c>
      <c r="CE173" s="13">
        <v>12</v>
      </c>
      <c r="CF173" s="13" t="s">
        <v>163</v>
      </c>
      <c r="CG173" s="13" t="s">
        <v>164</v>
      </c>
    </row>
    <row r="174" spans="1:85">
      <c r="A174" s="13" t="s">
        <v>1687</v>
      </c>
      <c r="C174" s="13" t="s">
        <v>165</v>
      </c>
      <c r="D174" s="13" t="s">
        <v>830</v>
      </c>
      <c r="E174" s="13" t="s">
        <v>630</v>
      </c>
      <c r="F174" s="13" t="s">
        <v>746</v>
      </c>
      <c r="G174" s="13" t="s">
        <v>702</v>
      </c>
      <c r="H174" s="13" t="s">
        <v>756</v>
      </c>
      <c r="J174" s="13" t="s">
        <v>745</v>
      </c>
      <c r="K174" s="13" t="s">
        <v>3179</v>
      </c>
      <c r="L174" s="13" t="s">
        <v>1974</v>
      </c>
      <c r="M174" s="13" t="s">
        <v>747</v>
      </c>
      <c r="N174" s="13">
        <v>30</v>
      </c>
      <c r="O174" s="2">
        <f t="shared" si="17"/>
        <v>0.5</v>
      </c>
      <c r="P174" s="13">
        <v>9</v>
      </c>
      <c r="Q174" s="2">
        <f t="shared" si="18"/>
        <v>0.6</v>
      </c>
      <c r="R174" s="13">
        <v>60</v>
      </c>
      <c r="S174" s="13">
        <v>15</v>
      </c>
      <c r="W174" s="13">
        <v>67</v>
      </c>
      <c r="AD174" s="13">
        <v>53</v>
      </c>
      <c r="AG174" s="13" t="s">
        <v>750</v>
      </c>
      <c r="AJ174" s="13">
        <v>90</v>
      </c>
      <c r="AM174" s="13">
        <v>93.3</v>
      </c>
      <c r="AP174" s="13">
        <v>0.95199999999999996</v>
      </c>
      <c r="AR174" s="13">
        <v>0.90700000000000003</v>
      </c>
      <c r="AS174" s="13">
        <v>0.997</v>
      </c>
      <c r="BY174" s="13" t="s">
        <v>160</v>
      </c>
      <c r="BZ174" s="13" t="s">
        <v>161</v>
      </c>
      <c r="CA174" s="13">
        <v>2019</v>
      </c>
      <c r="CB174" s="13" t="s">
        <v>162</v>
      </c>
      <c r="CC174" s="13" t="s">
        <v>120</v>
      </c>
      <c r="CD174" s="13">
        <v>56</v>
      </c>
      <c r="CE174" s="13">
        <v>12</v>
      </c>
      <c r="CF174" s="13" t="s">
        <v>163</v>
      </c>
      <c r="CG174" s="13" t="s">
        <v>164</v>
      </c>
    </row>
    <row r="175" spans="1:85">
      <c r="A175" s="13" t="s">
        <v>3375</v>
      </c>
      <c r="B175" s="16"/>
      <c r="C175" s="13" t="s">
        <v>3304</v>
      </c>
      <c r="D175" s="14" t="s">
        <v>2039</v>
      </c>
      <c r="E175" s="13" t="s">
        <v>657</v>
      </c>
      <c r="F175" s="13" t="s">
        <v>3721</v>
      </c>
      <c r="G175" s="13" t="s">
        <v>673</v>
      </c>
      <c r="H175" s="13" t="s">
        <v>675</v>
      </c>
      <c r="J175" s="14" t="s">
        <v>712</v>
      </c>
      <c r="K175" s="13" t="s">
        <v>3722</v>
      </c>
      <c r="L175" s="13" t="s">
        <v>652</v>
      </c>
      <c r="N175" s="13">
        <v>70</v>
      </c>
      <c r="O175" s="2">
        <f t="shared" si="17"/>
        <v>0.53435114503816794</v>
      </c>
      <c r="R175" s="13">
        <v>131</v>
      </c>
      <c r="S175" s="13">
        <v>21</v>
      </c>
      <c r="Y175" s="13">
        <v>54</v>
      </c>
      <c r="Z175" s="13">
        <v>46</v>
      </c>
      <c r="AA175" s="13">
        <v>62</v>
      </c>
      <c r="AG175" s="13" t="s">
        <v>639</v>
      </c>
      <c r="AH175" s="13">
        <v>19.12</v>
      </c>
      <c r="AJ175" s="13">
        <v>96.12</v>
      </c>
      <c r="AK175" s="13">
        <v>91.09</v>
      </c>
      <c r="AL175" s="13">
        <v>98.73</v>
      </c>
      <c r="AM175" s="13">
        <v>90.48</v>
      </c>
      <c r="AN175" s="13">
        <v>69.62</v>
      </c>
      <c r="AO175" s="13">
        <v>98.83</v>
      </c>
      <c r="AP175" s="13">
        <v>0.96350000000000002</v>
      </c>
      <c r="AR175" s="13">
        <v>0.91590000000000005</v>
      </c>
      <c r="AS175" s="13">
        <v>1.0109999999999999</v>
      </c>
      <c r="BY175" s="13" t="s">
        <v>3476</v>
      </c>
      <c r="BZ175" s="13" t="s">
        <v>3477</v>
      </c>
      <c r="CA175" s="13">
        <v>2025</v>
      </c>
      <c r="CB175" s="13" t="s">
        <v>73</v>
      </c>
      <c r="CC175" s="13" t="s">
        <v>336</v>
      </c>
      <c r="CD175" s="13">
        <v>15</v>
      </c>
      <c r="CE175" s="13">
        <v>1</v>
      </c>
      <c r="CF175" s="13" t="s">
        <v>3478</v>
      </c>
      <c r="CG175" s="13" t="s">
        <v>3230</v>
      </c>
    </row>
    <row r="176" spans="1:85">
      <c r="A176" s="13" t="s">
        <v>3375</v>
      </c>
      <c r="B176" s="16"/>
      <c r="C176" s="13" t="s">
        <v>3304</v>
      </c>
      <c r="D176" s="14" t="s">
        <v>2039</v>
      </c>
      <c r="E176" s="13" t="s">
        <v>657</v>
      </c>
      <c r="F176" s="13" t="s">
        <v>3721</v>
      </c>
      <c r="G176" s="13" t="s">
        <v>672</v>
      </c>
      <c r="H176" s="13" t="s">
        <v>675</v>
      </c>
      <c r="J176" s="14" t="s">
        <v>712</v>
      </c>
      <c r="K176" s="13" t="s">
        <v>3722</v>
      </c>
      <c r="L176" s="13" t="s">
        <v>652</v>
      </c>
      <c r="N176" s="13">
        <v>38</v>
      </c>
      <c r="O176" s="2">
        <f t="shared" si="17"/>
        <v>0.47499999999999998</v>
      </c>
      <c r="R176" s="13">
        <v>80</v>
      </c>
      <c r="S176" s="13">
        <v>21</v>
      </c>
      <c r="Y176" s="13">
        <v>56</v>
      </c>
      <c r="Z176" s="13">
        <v>47</v>
      </c>
      <c r="AA176" s="13">
        <v>65</v>
      </c>
      <c r="AG176" s="13" t="s">
        <v>641</v>
      </c>
      <c r="AH176" s="13">
        <v>0.67849999999999999</v>
      </c>
      <c r="AJ176" s="13">
        <v>90</v>
      </c>
      <c r="AK176" s="13">
        <v>81.239999999999995</v>
      </c>
      <c r="AL176" s="13">
        <v>95.58</v>
      </c>
      <c r="AM176" s="13">
        <v>90.48</v>
      </c>
      <c r="AN176" s="13">
        <v>69.62</v>
      </c>
      <c r="AO176" s="13">
        <v>98.83</v>
      </c>
      <c r="AP176" s="13">
        <v>0.9446</v>
      </c>
      <c r="AR176" s="13">
        <v>0.89339999999999997</v>
      </c>
      <c r="AS176" s="13">
        <v>0.99590000000000001</v>
      </c>
      <c r="BY176" s="13" t="s">
        <v>3476</v>
      </c>
      <c r="BZ176" s="13" t="s">
        <v>3477</v>
      </c>
      <c r="CA176" s="13">
        <v>2025</v>
      </c>
      <c r="CB176" s="13" t="s">
        <v>73</v>
      </c>
      <c r="CC176" s="13" t="s">
        <v>336</v>
      </c>
      <c r="CD176" s="13">
        <v>15</v>
      </c>
      <c r="CE176" s="13">
        <v>1</v>
      </c>
      <c r="CF176" s="13" t="s">
        <v>3478</v>
      </c>
      <c r="CG176" s="13" t="s">
        <v>3230</v>
      </c>
    </row>
    <row r="177" spans="1:85">
      <c r="A177" s="13" t="s">
        <v>3376</v>
      </c>
      <c r="C177" s="13" t="s">
        <v>3305</v>
      </c>
      <c r="D177" s="14" t="s">
        <v>2371</v>
      </c>
      <c r="E177" s="13" t="s">
        <v>630</v>
      </c>
      <c r="F177" s="13" t="s">
        <v>3726</v>
      </c>
      <c r="G177" s="13" t="s">
        <v>702</v>
      </c>
      <c r="H177" s="13" t="s">
        <v>3727</v>
      </c>
      <c r="I177" s="13" t="s">
        <v>3728</v>
      </c>
      <c r="J177" s="14" t="s">
        <v>703</v>
      </c>
      <c r="K177" s="13" t="s">
        <v>3729</v>
      </c>
      <c r="L177" s="13" t="s">
        <v>576</v>
      </c>
      <c r="M177" s="13" t="s">
        <v>3730</v>
      </c>
      <c r="R177" s="13">
        <v>48</v>
      </c>
      <c r="S177" s="13">
        <v>19</v>
      </c>
      <c r="BY177" s="13" t="s">
        <v>3479</v>
      </c>
      <c r="BZ177" s="13" t="s">
        <v>3480</v>
      </c>
      <c r="CA177" s="13">
        <v>2025</v>
      </c>
      <c r="CB177" s="13" t="s">
        <v>25</v>
      </c>
      <c r="CC177" s="13" t="s">
        <v>1363</v>
      </c>
      <c r="CD177" s="13">
        <v>206</v>
      </c>
      <c r="CF177" s="13">
        <v>106823</v>
      </c>
      <c r="CG177" s="13" t="s">
        <v>3231</v>
      </c>
    </row>
    <row r="178" spans="1:85">
      <c r="A178" s="13" t="s">
        <v>1805</v>
      </c>
      <c r="B178" s="13" t="s">
        <v>1805</v>
      </c>
      <c r="C178" s="13" t="s">
        <v>1194</v>
      </c>
      <c r="D178" s="13" t="s">
        <v>1015</v>
      </c>
      <c r="E178" s="13" t="s">
        <v>801</v>
      </c>
      <c r="F178" s="13" t="s">
        <v>1986</v>
      </c>
      <c r="G178" s="13" t="s">
        <v>672</v>
      </c>
      <c r="H178" s="13" t="s">
        <v>675</v>
      </c>
      <c r="J178" s="13" t="s">
        <v>669</v>
      </c>
      <c r="K178" s="14" t="s">
        <v>4038</v>
      </c>
      <c r="L178" s="13" t="s">
        <v>585</v>
      </c>
      <c r="M178" s="13" t="s">
        <v>2307</v>
      </c>
      <c r="N178" s="13">
        <v>94</v>
      </c>
      <c r="O178" s="2">
        <f t="shared" ref="O178:O187" si="19">N178/R178</f>
        <v>0.60256410256410253</v>
      </c>
      <c r="P178" s="13">
        <v>28</v>
      </c>
      <c r="Q178" s="17">
        <f t="shared" ref="Q178:Q187" si="20">P178/S178</f>
        <v>0.5</v>
      </c>
      <c r="R178" s="13">
        <v>156</v>
      </c>
      <c r="S178" s="13">
        <v>56</v>
      </c>
      <c r="Y178" s="13">
        <v>63.92</v>
      </c>
      <c r="Z178" s="13">
        <v>57.04</v>
      </c>
      <c r="AA178" s="13">
        <v>70.64</v>
      </c>
      <c r="AG178" s="13" t="s">
        <v>639</v>
      </c>
      <c r="AH178" s="13">
        <v>2946</v>
      </c>
      <c r="AJ178" s="13">
        <v>87.8</v>
      </c>
      <c r="AM178" s="13">
        <v>78.599999999999994</v>
      </c>
      <c r="AP178" s="13">
        <v>0.89500000000000002</v>
      </c>
      <c r="AR178" s="13">
        <v>0.84899999999999998</v>
      </c>
      <c r="AS178" s="13">
        <v>0.94099999999999995</v>
      </c>
      <c r="BG178" s="13">
        <v>7693.8</v>
      </c>
      <c r="BI178" s="13">
        <v>4365.79</v>
      </c>
      <c r="BJ178" s="13">
        <v>12752.28</v>
      </c>
      <c r="BR178" s="13">
        <v>1309.76</v>
      </c>
      <c r="BT178" s="13">
        <v>824.59</v>
      </c>
      <c r="BU178" s="13">
        <v>2813.01</v>
      </c>
      <c r="BY178" s="13" t="s">
        <v>1195</v>
      </c>
      <c r="BZ178" s="13" t="s">
        <v>1196</v>
      </c>
      <c r="CA178" s="13">
        <v>2021</v>
      </c>
      <c r="CC178" s="13" t="s">
        <v>1197</v>
      </c>
      <c r="CD178" s="13">
        <v>15</v>
      </c>
      <c r="CF178" s="13" t="s">
        <v>2190</v>
      </c>
      <c r="CG178" s="13" t="s">
        <v>1198</v>
      </c>
    </row>
    <row r="179" spans="1:85">
      <c r="A179" s="13" t="s">
        <v>1805</v>
      </c>
      <c r="B179" s="13" t="s">
        <v>1805</v>
      </c>
      <c r="C179" s="13" t="s">
        <v>1194</v>
      </c>
      <c r="D179" s="13" t="s">
        <v>1015</v>
      </c>
      <c r="E179" s="13" t="s">
        <v>633</v>
      </c>
      <c r="F179" s="13" t="s">
        <v>1987</v>
      </c>
      <c r="G179" s="13" t="s">
        <v>672</v>
      </c>
      <c r="H179" s="13" t="s">
        <v>675</v>
      </c>
      <c r="J179" s="13" t="s">
        <v>669</v>
      </c>
      <c r="K179" s="14" t="s">
        <v>4038</v>
      </c>
      <c r="L179" s="13" t="s">
        <v>585</v>
      </c>
      <c r="N179" s="13">
        <v>94</v>
      </c>
      <c r="O179" s="2">
        <f t="shared" si="19"/>
        <v>0.60256410256410253</v>
      </c>
      <c r="P179" s="13">
        <v>10</v>
      </c>
      <c r="Q179" s="17">
        <f t="shared" si="20"/>
        <v>0.90909090909090906</v>
      </c>
      <c r="R179" s="13">
        <v>156</v>
      </c>
      <c r="S179" s="13">
        <v>11</v>
      </c>
      <c r="Y179" s="13">
        <v>63.92</v>
      </c>
      <c r="Z179" s="13">
        <v>57.04</v>
      </c>
      <c r="AA179" s="13">
        <v>70.64</v>
      </c>
      <c r="AG179" s="13" t="s">
        <v>639</v>
      </c>
      <c r="AH179" s="13">
        <v>2259.5</v>
      </c>
      <c r="AJ179" s="13">
        <v>91</v>
      </c>
      <c r="AM179" s="13">
        <v>90.9</v>
      </c>
      <c r="AP179" s="13">
        <v>0.94099999999999995</v>
      </c>
      <c r="AR179" s="13">
        <v>0.89700000000000002</v>
      </c>
      <c r="AS179" s="13">
        <v>0.98499999999999999</v>
      </c>
      <c r="BG179" s="13">
        <v>7693.8</v>
      </c>
      <c r="BI179" s="13">
        <v>4365.79</v>
      </c>
      <c r="BJ179" s="13">
        <v>12752.28</v>
      </c>
      <c r="BR179" s="13">
        <v>1495.14</v>
      </c>
      <c r="BT179" s="13">
        <v>1205.8699999999999</v>
      </c>
      <c r="BU179" s="13">
        <v>1979.03</v>
      </c>
      <c r="BY179" s="13" t="s">
        <v>1195</v>
      </c>
      <c r="BZ179" s="13" t="s">
        <v>1196</v>
      </c>
      <c r="CA179" s="13">
        <v>2021</v>
      </c>
      <c r="CC179" s="13" t="s">
        <v>1197</v>
      </c>
      <c r="CD179" s="13">
        <v>15</v>
      </c>
      <c r="CF179" s="13" t="s">
        <v>2190</v>
      </c>
      <c r="CG179" s="13" t="s">
        <v>1198</v>
      </c>
    </row>
    <row r="180" spans="1:85">
      <c r="A180" s="13" t="s">
        <v>1805</v>
      </c>
      <c r="B180" s="13" t="s">
        <v>1805</v>
      </c>
      <c r="C180" s="13" t="s">
        <v>1194</v>
      </c>
      <c r="D180" s="13" t="s">
        <v>1015</v>
      </c>
      <c r="E180" s="13" t="s">
        <v>799</v>
      </c>
      <c r="F180" s="13" t="s">
        <v>1988</v>
      </c>
      <c r="G180" s="13" t="s">
        <v>672</v>
      </c>
      <c r="H180" s="13" t="s">
        <v>675</v>
      </c>
      <c r="J180" s="13" t="s">
        <v>669</v>
      </c>
      <c r="K180" s="14" t="s">
        <v>4038</v>
      </c>
      <c r="L180" s="13" t="s">
        <v>585</v>
      </c>
      <c r="N180" s="13">
        <v>94</v>
      </c>
      <c r="O180" s="2">
        <f t="shared" si="19"/>
        <v>0.60256410256410253</v>
      </c>
      <c r="P180" s="13">
        <v>10</v>
      </c>
      <c r="Q180" s="17">
        <f t="shared" si="20"/>
        <v>0.66666666666666663</v>
      </c>
      <c r="R180" s="13">
        <v>156</v>
      </c>
      <c r="S180" s="13">
        <v>15</v>
      </c>
      <c r="Y180" s="13">
        <v>63.92</v>
      </c>
      <c r="Z180" s="13">
        <v>57.04</v>
      </c>
      <c r="AA180" s="13">
        <v>70.64</v>
      </c>
      <c r="AG180" s="13" t="s">
        <v>639</v>
      </c>
      <c r="AH180" s="13">
        <v>1620.5</v>
      </c>
      <c r="AJ180" s="13">
        <v>96.15</v>
      </c>
      <c r="AM180" s="13">
        <v>100</v>
      </c>
      <c r="AP180" s="13">
        <v>0.99299999999999999</v>
      </c>
      <c r="AR180" s="13">
        <v>0.98399999999999999</v>
      </c>
      <c r="AS180" s="13">
        <v>1</v>
      </c>
      <c r="BG180" s="13">
        <v>7693.8</v>
      </c>
      <c r="BI180" s="13">
        <v>4365.79</v>
      </c>
      <c r="BJ180" s="13">
        <v>12752.28</v>
      </c>
      <c r="BR180" s="13">
        <v>529</v>
      </c>
      <c r="BT180" s="13">
        <v>319</v>
      </c>
      <c r="BU180" s="13">
        <v>845.79</v>
      </c>
      <c r="BY180" s="13" t="s">
        <v>1195</v>
      </c>
      <c r="BZ180" s="13" t="s">
        <v>1196</v>
      </c>
      <c r="CA180" s="13">
        <v>2021</v>
      </c>
      <c r="CC180" s="13" t="s">
        <v>1197</v>
      </c>
      <c r="CD180" s="13">
        <v>15</v>
      </c>
      <c r="CF180" s="13" t="s">
        <v>2190</v>
      </c>
      <c r="CG180" s="13" t="s">
        <v>1198</v>
      </c>
    </row>
    <row r="181" spans="1:85">
      <c r="A181" s="13" t="s">
        <v>3377</v>
      </c>
      <c r="C181" s="13" t="s">
        <v>3306</v>
      </c>
      <c r="D181" s="14" t="s">
        <v>831</v>
      </c>
      <c r="E181" s="13" t="s">
        <v>630</v>
      </c>
      <c r="F181" s="13" t="s">
        <v>3732</v>
      </c>
      <c r="G181" s="13" t="s">
        <v>673</v>
      </c>
      <c r="H181" s="13" t="s">
        <v>2327</v>
      </c>
      <c r="J181" s="14" t="s">
        <v>703</v>
      </c>
      <c r="K181" s="13" t="s">
        <v>3731</v>
      </c>
      <c r="L181" s="13" t="s">
        <v>3734</v>
      </c>
      <c r="M181" s="13" t="s">
        <v>3735</v>
      </c>
      <c r="N181" s="13">
        <v>41</v>
      </c>
      <c r="O181" s="2">
        <f t="shared" si="19"/>
        <v>0.63076923076923075</v>
      </c>
      <c r="P181" s="13">
        <v>20</v>
      </c>
      <c r="Q181" s="17">
        <f t="shared" si="20"/>
        <v>0.625</v>
      </c>
      <c r="R181" s="13">
        <v>65</v>
      </c>
      <c r="S181" s="13">
        <v>32</v>
      </c>
      <c r="V181" s="13">
        <v>5</v>
      </c>
      <c r="Y181" s="13">
        <v>68</v>
      </c>
      <c r="Z181" s="13">
        <f t="shared" ref="Z181:Z187" si="21">Y181-17.5/2</f>
        <v>59.25</v>
      </c>
      <c r="AA181" s="13">
        <f t="shared" ref="AA181:AA187" si="22">Y181+17.5/2</f>
        <v>76.75</v>
      </c>
      <c r="AD181" s="13">
        <v>64.5</v>
      </c>
      <c r="AE181" s="13">
        <f t="shared" ref="AE181:AE187" si="23">AD181-12.3/2</f>
        <v>58.35</v>
      </c>
      <c r="AF181" s="13">
        <f t="shared" ref="AF181:AF187" si="24">AD181+12.3/2</f>
        <v>70.650000000000006</v>
      </c>
      <c r="AG181" s="13" t="s">
        <v>3733</v>
      </c>
      <c r="BY181" s="13" t="s">
        <v>3481</v>
      </c>
      <c r="BZ181" s="13" t="s">
        <v>3482</v>
      </c>
      <c r="CA181" s="13">
        <v>2024</v>
      </c>
      <c r="CB181" s="13" t="s">
        <v>32</v>
      </c>
      <c r="CC181" s="13" t="s">
        <v>19</v>
      </c>
      <c r="CD181" s="13">
        <v>31</v>
      </c>
      <c r="CE181" s="13">
        <v>10</v>
      </c>
      <c r="CF181" s="13" t="s">
        <v>3483</v>
      </c>
      <c r="CG181" s="13" t="s">
        <v>3232</v>
      </c>
    </row>
    <row r="182" spans="1:85">
      <c r="A182" s="13" t="s">
        <v>3377</v>
      </c>
      <c r="C182" s="13" t="s">
        <v>3306</v>
      </c>
      <c r="D182" s="14" t="s">
        <v>831</v>
      </c>
      <c r="E182" s="13" t="s">
        <v>630</v>
      </c>
      <c r="F182" s="13" t="s">
        <v>3732</v>
      </c>
      <c r="G182" s="13" t="s">
        <v>673</v>
      </c>
      <c r="H182" s="13" t="s">
        <v>2325</v>
      </c>
      <c r="J182" s="14" t="s">
        <v>703</v>
      </c>
      <c r="K182" s="13" t="s">
        <v>3731</v>
      </c>
      <c r="L182" s="13" t="s">
        <v>3734</v>
      </c>
      <c r="M182" s="13" t="s">
        <v>3735</v>
      </c>
      <c r="N182" s="13">
        <v>41</v>
      </c>
      <c r="O182" s="2">
        <f t="shared" si="19"/>
        <v>0.63076923076923075</v>
      </c>
      <c r="P182" s="13">
        <v>20</v>
      </c>
      <c r="Q182" s="17">
        <f t="shared" si="20"/>
        <v>0.625</v>
      </c>
      <c r="R182" s="13">
        <v>65</v>
      </c>
      <c r="S182" s="13">
        <v>32</v>
      </c>
      <c r="V182" s="13">
        <v>5</v>
      </c>
      <c r="Y182" s="13">
        <v>68</v>
      </c>
      <c r="Z182" s="13">
        <f t="shared" si="21"/>
        <v>59.25</v>
      </c>
      <c r="AA182" s="13">
        <f t="shared" si="22"/>
        <v>76.75</v>
      </c>
      <c r="AD182" s="13">
        <v>64.5</v>
      </c>
      <c r="AE182" s="13">
        <f t="shared" si="23"/>
        <v>58.35</v>
      </c>
      <c r="AF182" s="13">
        <f t="shared" si="24"/>
        <v>70.650000000000006</v>
      </c>
      <c r="AG182" s="13" t="s">
        <v>3733</v>
      </c>
      <c r="BY182" s="13" t="s">
        <v>3481</v>
      </c>
      <c r="BZ182" s="13" t="s">
        <v>3482</v>
      </c>
      <c r="CA182" s="13">
        <v>2024</v>
      </c>
      <c r="CB182" s="13" t="s">
        <v>32</v>
      </c>
      <c r="CC182" s="13" t="s">
        <v>19</v>
      </c>
      <c r="CD182" s="13">
        <v>31</v>
      </c>
      <c r="CE182" s="13">
        <v>10</v>
      </c>
      <c r="CF182" s="13" t="s">
        <v>3483</v>
      </c>
      <c r="CG182" s="13" t="s">
        <v>3232</v>
      </c>
    </row>
    <row r="183" spans="1:85">
      <c r="A183" s="13" t="s">
        <v>3377</v>
      </c>
      <c r="C183" s="13" t="s">
        <v>3306</v>
      </c>
      <c r="D183" s="14" t="s">
        <v>831</v>
      </c>
      <c r="E183" s="13" t="s">
        <v>630</v>
      </c>
      <c r="F183" s="13" t="s">
        <v>3732</v>
      </c>
      <c r="G183" s="13" t="s">
        <v>673</v>
      </c>
      <c r="H183" s="13" t="s">
        <v>2329</v>
      </c>
      <c r="J183" s="14" t="s">
        <v>703</v>
      </c>
      <c r="K183" s="13" t="s">
        <v>3731</v>
      </c>
      <c r="L183" s="13" t="s">
        <v>3734</v>
      </c>
      <c r="M183" s="13" t="s">
        <v>3735</v>
      </c>
      <c r="N183" s="13">
        <v>41</v>
      </c>
      <c r="O183" s="2">
        <f t="shared" si="19"/>
        <v>0.63076923076923075</v>
      </c>
      <c r="P183" s="13">
        <v>20</v>
      </c>
      <c r="Q183" s="17">
        <f t="shared" si="20"/>
        <v>0.625</v>
      </c>
      <c r="R183" s="13">
        <v>65</v>
      </c>
      <c r="S183" s="13">
        <v>32</v>
      </c>
      <c r="V183" s="13">
        <v>5</v>
      </c>
      <c r="Y183" s="13">
        <v>68</v>
      </c>
      <c r="Z183" s="13">
        <f t="shared" si="21"/>
        <v>59.25</v>
      </c>
      <c r="AA183" s="13">
        <f t="shared" si="22"/>
        <v>76.75</v>
      </c>
      <c r="AD183" s="13">
        <v>64.5</v>
      </c>
      <c r="AE183" s="13">
        <f t="shared" si="23"/>
        <v>58.35</v>
      </c>
      <c r="AF183" s="13">
        <f t="shared" si="24"/>
        <v>70.650000000000006</v>
      </c>
      <c r="AG183" s="13" t="s">
        <v>3733</v>
      </c>
      <c r="BY183" s="13" t="s">
        <v>3481</v>
      </c>
      <c r="BZ183" s="13" t="s">
        <v>3482</v>
      </c>
      <c r="CA183" s="13">
        <v>2024</v>
      </c>
      <c r="CB183" s="13" t="s">
        <v>32</v>
      </c>
      <c r="CC183" s="13" t="s">
        <v>19</v>
      </c>
      <c r="CD183" s="13">
        <v>31</v>
      </c>
      <c r="CE183" s="13">
        <v>10</v>
      </c>
      <c r="CF183" s="13" t="s">
        <v>3483</v>
      </c>
      <c r="CG183" s="13" t="s">
        <v>3232</v>
      </c>
    </row>
    <row r="184" spans="1:85">
      <c r="A184" s="13" t="s">
        <v>3377</v>
      </c>
      <c r="C184" s="13" t="s">
        <v>3306</v>
      </c>
      <c r="D184" s="14" t="s">
        <v>831</v>
      </c>
      <c r="E184" s="13" t="s">
        <v>630</v>
      </c>
      <c r="F184" s="13" t="s">
        <v>3732</v>
      </c>
      <c r="G184" s="13" t="s">
        <v>673</v>
      </c>
      <c r="H184" s="13" t="s">
        <v>2328</v>
      </c>
      <c r="J184" s="14" t="s">
        <v>703</v>
      </c>
      <c r="K184" s="13" t="s">
        <v>3731</v>
      </c>
      <c r="L184" s="13" t="s">
        <v>3734</v>
      </c>
      <c r="M184" s="13" t="s">
        <v>3735</v>
      </c>
      <c r="N184" s="13">
        <v>41</v>
      </c>
      <c r="O184" s="2">
        <f t="shared" si="19"/>
        <v>0.63076923076923075</v>
      </c>
      <c r="P184" s="13">
        <v>20</v>
      </c>
      <c r="Q184" s="17">
        <f t="shared" si="20"/>
        <v>0.625</v>
      </c>
      <c r="R184" s="13">
        <v>65</v>
      </c>
      <c r="S184" s="13">
        <v>32</v>
      </c>
      <c r="V184" s="13">
        <v>5</v>
      </c>
      <c r="Y184" s="13">
        <v>68</v>
      </c>
      <c r="Z184" s="13">
        <f t="shared" si="21"/>
        <v>59.25</v>
      </c>
      <c r="AA184" s="13">
        <f t="shared" si="22"/>
        <v>76.75</v>
      </c>
      <c r="AD184" s="13">
        <v>64.5</v>
      </c>
      <c r="AE184" s="13">
        <f t="shared" si="23"/>
        <v>58.35</v>
      </c>
      <c r="AF184" s="13">
        <f t="shared" si="24"/>
        <v>70.650000000000006</v>
      </c>
      <c r="AG184" s="13" t="s">
        <v>3733</v>
      </c>
      <c r="BY184" s="13" t="s">
        <v>3481</v>
      </c>
      <c r="BZ184" s="13" t="s">
        <v>3482</v>
      </c>
      <c r="CA184" s="13">
        <v>2024</v>
      </c>
      <c r="CB184" s="13" t="s">
        <v>32</v>
      </c>
      <c r="CC184" s="13" t="s">
        <v>19</v>
      </c>
      <c r="CD184" s="13">
        <v>31</v>
      </c>
      <c r="CE184" s="13">
        <v>10</v>
      </c>
      <c r="CF184" s="13" t="s">
        <v>3483</v>
      </c>
      <c r="CG184" s="13" t="s">
        <v>3232</v>
      </c>
    </row>
    <row r="185" spans="1:85">
      <c r="A185" s="13" t="s">
        <v>3377</v>
      </c>
      <c r="C185" s="13" t="s">
        <v>3306</v>
      </c>
      <c r="D185" s="14" t="s">
        <v>831</v>
      </c>
      <c r="E185" s="13" t="s">
        <v>630</v>
      </c>
      <c r="F185" s="13" t="s">
        <v>3732</v>
      </c>
      <c r="G185" s="13" t="s">
        <v>673</v>
      </c>
      <c r="H185" s="13" t="s">
        <v>3737</v>
      </c>
      <c r="J185" s="14" t="s">
        <v>703</v>
      </c>
      <c r="K185" s="13" t="s">
        <v>3731</v>
      </c>
      <c r="L185" s="13" t="s">
        <v>3734</v>
      </c>
      <c r="M185" s="13" t="s">
        <v>3735</v>
      </c>
      <c r="N185" s="13">
        <v>41</v>
      </c>
      <c r="O185" s="2">
        <f t="shared" si="19"/>
        <v>0.63076923076923075</v>
      </c>
      <c r="P185" s="13">
        <v>20</v>
      </c>
      <c r="Q185" s="17">
        <f t="shared" si="20"/>
        <v>0.625</v>
      </c>
      <c r="R185" s="13">
        <v>65</v>
      </c>
      <c r="S185" s="13">
        <v>32</v>
      </c>
      <c r="V185" s="13">
        <v>5</v>
      </c>
      <c r="Y185" s="13">
        <v>68</v>
      </c>
      <c r="Z185" s="13">
        <f t="shared" si="21"/>
        <v>59.25</v>
      </c>
      <c r="AA185" s="13">
        <f t="shared" si="22"/>
        <v>76.75</v>
      </c>
      <c r="AD185" s="13">
        <v>64.5</v>
      </c>
      <c r="AE185" s="13">
        <f t="shared" si="23"/>
        <v>58.35</v>
      </c>
      <c r="AF185" s="13">
        <f t="shared" si="24"/>
        <v>70.650000000000006</v>
      </c>
      <c r="AG185" s="13" t="s">
        <v>3733</v>
      </c>
      <c r="BY185" s="13" t="s">
        <v>3481</v>
      </c>
      <c r="BZ185" s="13" t="s">
        <v>3482</v>
      </c>
      <c r="CA185" s="13">
        <v>2024</v>
      </c>
      <c r="CB185" s="13" t="s">
        <v>32</v>
      </c>
      <c r="CC185" s="13" t="s">
        <v>19</v>
      </c>
      <c r="CD185" s="13">
        <v>31</v>
      </c>
      <c r="CE185" s="13">
        <v>10</v>
      </c>
      <c r="CF185" s="13" t="s">
        <v>3483</v>
      </c>
      <c r="CG185" s="13" t="s">
        <v>3232</v>
      </c>
    </row>
    <row r="186" spans="1:85">
      <c r="A186" s="13" t="s">
        <v>3377</v>
      </c>
      <c r="C186" s="13" t="s">
        <v>3306</v>
      </c>
      <c r="D186" s="14" t="s">
        <v>831</v>
      </c>
      <c r="E186" s="13" t="s">
        <v>630</v>
      </c>
      <c r="F186" s="13" t="s">
        <v>3732</v>
      </c>
      <c r="G186" s="13" t="s">
        <v>673</v>
      </c>
      <c r="H186" s="13" t="s">
        <v>3738</v>
      </c>
      <c r="J186" s="14" t="s">
        <v>703</v>
      </c>
      <c r="K186" s="13" t="s">
        <v>3731</v>
      </c>
      <c r="L186" s="13" t="s">
        <v>3734</v>
      </c>
      <c r="M186" s="13" t="s">
        <v>3735</v>
      </c>
      <c r="N186" s="13">
        <v>41</v>
      </c>
      <c r="O186" s="2">
        <f t="shared" si="19"/>
        <v>0.63076923076923075</v>
      </c>
      <c r="P186" s="13">
        <v>20</v>
      </c>
      <c r="Q186" s="17">
        <f t="shared" si="20"/>
        <v>0.625</v>
      </c>
      <c r="R186" s="13">
        <v>65</v>
      </c>
      <c r="S186" s="13">
        <v>32</v>
      </c>
      <c r="V186" s="13">
        <v>5</v>
      </c>
      <c r="Y186" s="13">
        <v>68</v>
      </c>
      <c r="Z186" s="13">
        <f t="shared" si="21"/>
        <v>59.25</v>
      </c>
      <c r="AA186" s="13">
        <f t="shared" si="22"/>
        <v>76.75</v>
      </c>
      <c r="AD186" s="13">
        <v>64.5</v>
      </c>
      <c r="AE186" s="13">
        <f t="shared" si="23"/>
        <v>58.35</v>
      </c>
      <c r="AF186" s="13">
        <f t="shared" si="24"/>
        <v>70.650000000000006</v>
      </c>
      <c r="AG186" s="13" t="s">
        <v>3733</v>
      </c>
      <c r="BY186" s="13" t="s">
        <v>3481</v>
      </c>
      <c r="BZ186" s="13" t="s">
        <v>3482</v>
      </c>
      <c r="CA186" s="13">
        <v>2024</v>
      </c>
      <c r="CB186" s="13" t="s">
        <v>32</v>
      </c>
      <c r="CC186" s="13" t="s">
        <v>19</v>
      </c>
      <c r="CD186" s="13">
        <v>31</v>
      </c>
      <c r="CE186" s="13">
        <v>10</v>
      </c>
      <c r="CF186" s="13" t="s">
        <v>3483</v>
      </c>
      <c r="CG186" s="13" t="s">
        <v>3232</v>
      </c>
    </row>
    <row r="187" spans="1:85">
      <c r="A187" s="13" t="s">
        <v>3377</v>
      </c>
      <c r="C187" s="13" t="s">
        <v>3306</v>
      </c>
      <c r="D187" s="14" t="s">
        <v>831</v>
      </c>
      <c r="E187" s="13" t="s">
        <v>630</v>
      </c>
      <c r="F187" s="13" t="s">
        <v>3732</v>
      </c>
      <c r="G187" s="13" t="s">
        <v>673</v>
      </c>
      <c r="H187" s="13" t="s">
        <v>3739</v>
      </c>
      <c r="J187" s="14" t="s">
        <v>703</v>
      </c>
      <c r="K187" s="13" t="s">
        <v>3731</v>
      </c>
      <c r="L187" s="13" t="s">
        <v>3734</v>
      </c>
      <c r="M187" s="13" t="s">
        <v>3735</v>
      </c>
      <c r="N187" s="13">
        <v>41</v>
      </c>
      <c r="O187" s="2">
        <f t="shared" si="19"/>
        <v>0.63076923076923075</v>
      </c>
      <c r="P187" s="13">
        <v>20</v>
      </c>
      <c r="Q187" s="17">
        <f t="shared" si="20"/>
        <v>0.625</v>
      </c>
      <c r="R187" s="13">
        <v>65</v>
      </c>
      <c r="S187" s="13">
        <v>32</v>
      </c>
      <c r="V187" s="13">
        <v>5</v>
      </c>
      <c r="Y187" s="13">
        <v>68</v>
      </c>
      <c r="Z187" s="13">
        <f t="shared" si="21"/>
        <v>59.25</v>
      </c>
      <c r="AA187" s="13">
        <f t="shared" si="22"/>
        <v>76.75</v>
      </c>
      <c r="AD187" s="13">
        <v>64.5</v>
      </c>
      <c r="AE187" s="13">
        <f t="shared" si="23"/>
        <v>58.35</v>
      </c>
      <c r="AF187" s="13">
        <f t="shared" si="24"/>
        <v>70.650000000000006</v>
      </c>
      <c r="AG187" s="13" t="s">
        <v>3733</v>
      </c>
      <c r="BY187" s="13" t="s">
        <v>3481</v>
      </c>
      <c r="BZ187" s="13" t="s">
        <v>3482</v>
      </c>
      <c r="CA187" s="13">
        <v>2024</v>
      </c>
      <c r="CB187" s="13" t="s">
        <v>32</v>
      </c>
      <c r="CC187" s="13" t="s">
        <v>19</v>
      </c>
      <c r="CD187" s="13">
        <v>31</v>
      </c>
      <c r="CE187" s="13">
        <v>10</v>
      </c>
      <c r="CF187" s="13" t="s">
        <v>3483</v>
      </c>
      <c r="CG187" s="13" t="s">
        <v>3232</v>
      </c>
    </row>
    <row r="188" spans="1:85">
      <c r="A188" s="13" t="s">
        <v>1760</v>
      </c>
      <c r="C188" s="13" t="s">
        <v>169</v>
      </c>
      <c r="D188" s="13" t="s">
        <v>831</v>
      </c>
      <c r="E188" s="13" t="s">
        <v>852</v>
      </c>
      <c r="F188" s="13" t="s">
        <v>1055</v>
      </c>
      <c r="G188" s="13" t="s">
        <v>672</v>
      </c>
      <c r="H188" s="13" t="s">
        <v>1057</v>
      </c>
      <c r="J188" s="13" t="s">
        <v>669</v>
      </c>
      <c r="L188" s="13" t="s">
        <v>1980</v>
      </c>
      <c r="M188" s="13" t="s">
        <v>1056</v>
      </c>
      <c r="R188" s="13">
        <v>33</v>
      </c>
      <c r="S188" s="13">
        <v>32</v>
      </c>
      <c r="V188" s="13">
        <v>3</v>
      </c>
      <c r="W188" s="13">
        <v>63</v>
      </c>
      <c r="X188" s="13">
        <v>9</v>
      </c>
      <c r="BY188" s="13" t="s">
        <v>166</v>
      </c>
      <c r="BZ188" s="13" t="s">
        <v>167</v>
      </c>
      <c r="CA188" s="13">
        <v>2023</v>
      </c>
      <c r="CB188" s="21">
        <v>45435</v>
      </c>
      <c r="CC188" s="13" t="s">
        <v>94</v>
      </c>
      <c r="CD188" s="13">
        <v>12</v>
      </c>
      <c r="CE188" s="13">
        <v>11</v>
      </c>
      <c r="CG188" s="13" t="s">
        <v>168</v>
      </c>
    </row>
    <row r="189" spans="1:85">
      <c r="A189" s="13" t="s">
        <v>1806</v>
      </c>
      <c r="B189" s="13" t="s">
        <v>1806</v>
      </c>
      <c r="C189" s="13" t="s">
        <v>1203</v>
      </c>
      <c r="D189" s="13" t="s">
        <v>830</v>
      </c>
      <c r="E189" s="13" t="s">
        <v>630</v>
      </c>
      <c r="F189" s="13" t="s">
        <v>2444</v>
      </c>
      <c r="G189" s="13" t="s">
        <v>673</v>
      </c>
      <c r="H189" s="13" t="s">
        <v>2440</v>
      </c>
      <c r="J189" s="13" t="s">
        <v>716</v>
      </c>
      <c r="K189" s="14" t="s">
        <v>3100</v>
      </c>
      <c r="L189" s="13" t="s">
        <v>2445</v>
      </c>
      <c r="N189" s="13">
        <v>13</v>
      </c>
      <c r="O189" s="2">
        <f t="shared" ref="O189:O198" si="25">N189/R189</f>
        <v>0.56521739130434778</v>
      </c>
      <c r="P189" s="13">
        <v>5</v>
      </c>
      <c r="Q189" s="17">
        <f t="shared" ref="Q189:Q198" si="26">P189/S189</f>
        <v>0.41666666666666669</v>
      </c>
      <c r="R189" s="13">
        <v>23</v>
      </c>
      <c r="S189" s="13">
        <v>12</v>
      </c>
      <c r="W189" s="13">
        <v>61.4</v>
      </c>
      <c r="X189" s="13">
        <v>11.2</v>
      </c>
      <c r="AB189" s="13">
        <v>50.8</v>
      </c>
      <c r="AC189" s="13">
        <v>9.6</v>
      </c>
      <c r="AG189" s="13" t="s">
        <v>639</v>
      </c>
      <c r="BB189" s="13">
        <v>23424.7</v>
      </c>
      <c r="BC189" s="13">
        <v>12082.3</v>
      </c>
      <c r="BM189" s="13">
        <v>20895.400000000001</v>
      </c>
      <c r="BN189" s="13">
        <v>12254.5</v>
      </c>
      <c r="BX189" s="13">
        <v>0.44</v>
      </c>
      <c r="BY189" s="13" t="s">
        <v>1199</v>
      </c>
      <c r="BZ189" s="13" t="s">
        <v>1200</v>
      </c>
      <c r="CA189" s="13">
        <v>2020</v>
      </c>
      <c r="CB189" s="13" t="s">
        <v>12</v>
      </c>
      <c r="CC189" s="13" t="s">
        <v>1201</v>
      </c>
      <c r="CD189" s="13">
        <v>139</v>
      </c>
      <c r="CF189" s="13" t="s">
        <v>2189</v>
      </c>
      <c r="CG189" s="13" t="s">
        <v>1202</v>
      </c>
    </row>
    <row r="190" spans="1:85">
      <c r="A190" s="13" t="s">
        <v>1806</v>
      </c>
      <c r="B190" s="13" t="s">
        <v>1806</v>
      </c>
      <c r="C190" s="13" t="s">
        <v>1203</v>
      </c>
      <c r="D190" s="13" t="s">
        <v>830</v>
      </c>
      <c r="E190" s="13" t="s">
        <v>630</v>
      </c>
      <c r="F190" s="13" t="s">
        <v>2444</v>
      </c>
      <c r="G190" s="13" t="s">
        <v>673</v>
      </c>
      <c r="H190" s="13" t="s">
        <v>2442</v>
      </c>
      <c r="J190" s="13" t="s">
        <v>716</v>
      </c>
      <c r="K190" s="14" t="s">
        <v>3100</v>
      </c>
      <c r="L190" s="13" t="s">
        <v>2445</v>
      </c>
      <c r="N190" s="13">
        <v>13</v>
      </c>
      <c r="O190" s="2">
        <f t="shared" si="25"/>
        <v>0.56521739130434778</v>
      </c>
      <c r="P190" s="13">
        <v>5</v>
      </c>
      <c r="Q190" s="17">
        <f t="shared" si="26"/>
        <v>0.41666666666666669</v>
      </c>
      <c r="R190" s="13">
        <v>23</v>
      </c>
      <c r="S190" s="13">
        <v>12</v>
      </c>
      <c r="W190" s="13">
        <v>61.4</v>
      </c>
      <c r="X190" s="13">
        <v>11.2</v>
      </c>
      <c r="AB190" s="13">
        <v>50.8</v>
      </c>
      <c r="AC190" s="13">
        <v>9.6</v>
      </c>
      <c r="AG190" s="13" t="s">
        <v>639</v>
      </c>
      <c r="BB190" s="13">
        <v>1632.3</v>
      </c>
      <c r="BC190" s="13">
        <v>725</v>
      </c>
      <c r="BM190" s="13">
        <v>1930</v>
      </c>
      <c r="BN190" s="13">
        <v>834.7</v>
      </c>
      <c r="BX190" s="13">
        <v>0.71</v>
      </c>
      <c r="BY190" s="13" t="s">
        <v>1199</v>
      </c>
      <c r="BZ190" s="13" t="s">
        <v>1200</v>
      </c>
      <c r="CA190" s="13">
        <v>2020</v>
      </c>
      <c r="CB190" s="13" t="s">
        <v>12</v>
      </c>
      <c r="CC190" s="13" t="s">
        <v>1201</v>
      </c>
      <c r="CD190" s="13">
        <v>139</v>
      </c>
      <c r="CF190" s="13" t="s">
        <v>2189</v>
      </c>
      <c r="CG190" s="13" t="s">
        <v>1202</v>
      </c>
    </row>
    <row r="191" spans="1:85">
      <c r="A191" s="13" t="s">
        <v>1806</v>
      </c>
      <c r="B191" s="13" t="s">
        <v>1806</v>
      </c>
      <c r="C191" s="13" t="s">
        <v>1203</v>
      </c>
      <c r="D191" s="13" t="s">
        <v>830</v>
      </c>
      <c r="E191" s="13" t="s">
        <v>630</v>
      </c>
      <c r="F191" s="13" t="s">
        <v>2444</v>
      </c>
      <c r="G191" s="13" t="s">
        <v>673</v>
      </c>
      <c r="H191" s="13" t="s">
        <v>2443</v>
      </c>
      <c r="J191" s="13" t="s">
        <v>716</v>
      </c>
      <c r="K191" s="14" t="s">
        <v>3100</v>
      </c>
      <c r="L191" s="13" t="s">
        <v>2445</v>
      </c>
      <c r="N191" s="13">
        <v>13</v>
      </c>
      <c r="O191" s="2">
        <f t="shared" si="25"/>
        <v>0.56521739130434778</v>
      </c>
      <c r="P191" s="13">
        <v>5</v>
      </c>
      <c r="Q191" s="17">
        <f t="shared" si="26"/>
        <v>0.41666666666666669</v>
      </c>
      <c r="R191" s="13">
        <v>23</v>
      </c>
      <c r="S191" s="13">
        <v>12</v>
      </c>
      <c r="W191" s="13">
        <v>61.4</v>
      </c>
      <c r="X191" s="13">
        <v>11.2</v>
      </c>
      <c r="AB191" s="13">
        <v>50.8</v>
      </c>
      <c r="AC191" s="13">
        <v>9.6</v>
      </c>
      <c r="AG191" s="13" t="s">
        <v>639</v>
      </c>
      <c r="BB191" s="13">
        <v>942.5</v>
      </c>
      <c r="BC191" s="13">
        <v>404.1</v>
      </c>
      <c r="BM191" s="13">
        <v>800.2</v>
      </c>
      <c r="BN191" s="13">
        <v>437.5</v>
      </c>
      <c r="BX191" s="13">
        <v>0.19</v>
      </c>
      <c r="BY191" s="13" t="s">
        <v>1199</v>
      </c>
      <c r="BZ191" s="13" t="s">
        <v>1200</v>
      </c>
      <c r="CA191" s="13">
        <v>2020</v>
      </c>
      <c r="CB191" s="13" t="s">
        <v>12</v>
      </c>
      <c r="CC191" s="13" t="s">
        <v>1201</v>
      </c>
      <c r="CD191" s="13">
        <v>139</v>
      </c>
      <c r="CF191" s="13" t="s">
        <v>2189</v>
      </c>
      <c r="CG191" s="13" t="s">
        <v>1202</v>
      </c>
    </row>
    <row r="192" spans="1:85">
      <c r="A192" s="13" t="s">
        <v>1761</v>
      </c>
      <c r="B192" s="13" t="s">
        <v>2002</v>
      </c>
      <c r="C192" s="13" t="s">
        <v>175</v>
      </c>
      <c r="D192" s="13" t="s">
        <v>830</v>
      </c>
      <c r="E192" s="13" t="s">
        <v>630</v>
      </c>
      <c r="F192" s="13" t="s">
        <v>1058</v>
      </c>
      <c r="G192" s="13" t="s">
        <v>673</v>
      </c>
      <c r="H192" s="13" t="s">
        <v>684</v>
      </c>
      <c r="I192" s="13" t="s">
        <v>1059</v>
      </c>
      <c r="J192" s="13" t="s">
        <v>637</v>
      </c>
      <c r="K192" s="13" t="s">
        <v>4055</v>
      </c>
      <c r="L192" s="13" t="s">
        <v>1981</v>
      </c>
      <c r="M192" s="13" t="s">
        <v>1060</v>
      </c>
      <c r="N192" s="13">
        <v>15</v>
      </c>
      <c r="O192" s="2">
        <f t="shared" si="25"/>
        <v>0.46875</v>
      </c>
      <c r="P192" s="13">
        <v>40</v>
      </c>
      <c r="Q192" s="2">
        <f t="shared" si="26"/>
        <v>0.5</v>
      </c>
      <c r="R192" s="13">
        <v>32</v>
      </c>
      <c r="S192" s="13">
        <v>80</v>
      </c>
      <c r="W192" s="13">
        <v>64.44</v>
      </c>
      <c r="X192" s="13">
        <v>10.42</v>
      </c>
      <c r="AJ192" s="13">
        <v>57.1</v>
      </c>
      <c r="AM192" s="13">
        <v>98</v>
      </c>
      <c r="AP192" s="13">
        <v>0.95</v>
      </c>
      <c r="BY192" s="13" t="s">
        <v>170</v>
      </c>
      <c r="BZ192" s="13" t="s">
        <v>171</v>
      </c>
      <c r="CA192" s="13">
        <v>2019</v>
      </c>
      <c r="CB192" s="21">
        <v>45511</v>
      </c>
      <c r="CC192" s="13" t="s">
        <v>172</v>
      </c>
      <c r="CD192" s="13">
        <v>144</v>
      </c>
      <c r="CE192" s="13">
        <v>15</v>
      </c>
      <c r="CF192" s="13" t="s">
        <v>173</v>
      </c>
      <c r="CG192" s="13" t="s">
        <v>174</v>
      </c>
    </row>
    <row r="193" spans="1:85">
      <c r="A193" s="13" t="s">
        <v>1762</v>
      </c>
      <c r="C193" s="13" t="s">
        <v>180</v>
      </c>
      <c r="D193" s="13" t="s">
        <v>4173</v>
      </c>
      <c r="E193" s="13" t="s">
        <v>1985</v>
      </c>
      <c r="F193" s="13" t="s">
        <v>1061</v>
      </c>
      <c r="G193" s="13" t="s">
        <v>672</v>
      </c>
      <c r="H193" s="13" t="s">
        <v>675</v>
      </c>
      <c r="J193" s="13" t="s">
        <v>637</v>
      </c>
      <c r="K193" s="13" t="s">
        <v>3646</v>
      </c>
      <c r="L193" s="13" t="s">
        <v>652</v>
      </c>
      <c r="N193" s="13">
        <v>11</v>
      </c>
      <c r="O193" s="2">
        <f t="shared" si="25"/>
        <v>0.37931034482758619</v>
      </c>
      <c r="P193" s="13">
        <v>5</v>
      </c>
      <c r="Q193" s="2">
        <f t="shared" si="26"/>
        <v>0.5</v>
      </c>
      <c r="R193" s="13">
        <v>29</v>
      </c>
      <c r="S193" s="13">
        <v>10</v>
      </c>
      <c r="Y193" s="13">
        <v>66</v>
      </c>
      <c r="AD193" s="13">
        <v>66.5</v>
      </c>
      <c r="AG193" s="13" t="s">
        <v>639</v>
      </c>
      <c r="AH193" s="13">
        <v>1000</v>
      </c>
      <c r="AJ193" s="13">
        <v>73.31</v>
      </c>
      <c r="AM193" s="13">
        <v>80</v>
      </c>
      <c r="AP193" s="13">
        <v>0.83799999999999997</v>
      </c>
      <c r="BG193" s="13">
        <v>2990</v>
      </c>
      <c r="BI193" s="13">
        <v>1101</v>
      </c>
      <c r="BJ193" s="13">
        <v>4360</v>
      </c>
      <c r="BR193" s="13">
        <v>756</v>
      </c>
      <c r="BT193" s="13">
        <v>606</v>
      </c>
      <c r="BU193" s="13">
        <v>1000</v>
      </c>
      <c r="BX193" s="13">
        <v>1.6000000000000001E-3</v>
      </c>
      <c r="BY193" s="13" t="s">
        <v>176</v>
      </c>
      <c r="BZ193" s="13" t="s">
        <v>177</v>
      </c>
      <c r="CA193" s="13">
        <v>2022</v>
      </c>
      <c r="CB193" s="13" t="s">
        <v>25</v>
      </c>
      <c r="CC193" s="13" t="s">
        <v>13</v>
      </c>
      <c r="CD193" s="13">
        <v>269</v>
      </c>
      <c r="CE193" s="13">
        <v>3</v>
      </c>
      <c r="CF193" s="13" t="s">
        <v>178</v>
      </c>
      <c r="CG193" s="13" t="s">
        <v>179</v>
      </c>
    </row>
    <row r="194" spans="1:85">
      <c r="A194" s="13" t="s">
        <v>1762</v>
      </c>
      <c r="C194" s="13" t="s">
        <v>180</v>
      </c>
      <c r="D194" s="13" t="s">
        <v>3644</v>
      </c>
      <c r="E194" s="13" t="s">
        <v>1985</v>
      </c>
      <c r="F194" s="13" t="s">
        <v>1061</v>
      </c>
      <c r="G194" s="13" t="s">
        <v>674</v>
      </c>
      <c r="H194" s="13" t="s">
        <v>675</v>
      </c>
      <c r="J194" s="13" t="s">
        <v>637</v>
      </c>
      <c r="K194" s="13" t="s">
        <v>3646</v>
      </c>
      <c r="L194" s="13" t="s">
        <v>652</v>
      </c>
      <c r="N194" s="13">
        <v>11</v>
      </c>
      <c r="O194" s="2">
        <f t="shared" si="25"/>
        <v>0.37931034482758619</v>
      </c>
      <c r="P194" s="13">
        <v>5</v>
      </c>
      <c r="Q194" s="2">
        <f t="shared" si="26"/>
        <v>0.5</v>
      </c>
      <c r="R194" s="13">
        <v>29</v>
      </c>
      <c r="S194" s="13">
        <v>10</v>
      </c>
      <c r="Y194" s="13">
        <v>66</v>
      </c>
      <c r="AD194" s="13">
        <v>66.5</v>
      </c>
      <c r="AG194" s="13" t="s">
        <v>639</v>
      </c>
      <c r="AH194" s="13">
        <v>16.04</v>
      </c>
      <c r="AJ194" s="13">
        <v>86.21</v>
      </c>
      <c r="AM194" s="13">
        <v>90</v>
      </c>
      <c r="AP194" s="13">
        <v>0.88600000000000001</v>
      </c>
      <c r="BG194" s="13">
        <v>46</v>
      </c>
      <c r="BI194" s="13">
        <v>21.5</v>
      </c>
      <c r="BJ194" s="13">
        <v>86.2</v>
      </c>
      <c r="BR194" s="13">
        <v>14.1</v>
      </c>
      <c r="BT194" s="13">
        <v>11.8</v>
      </c>
      <c r="BU194" s="13">
        <v>16</v>
      </c>
      <c r="BX194" s="13">
        <v>2.9999999999999997E-4</v>
      </c>
      <c r="BY194" s="13" t="s">
        <v>176</v>
      </c>
      <c r="BZ194" s="13" t="s">
        <v>177</v>
      </c>
      <c r="CA194" s="13">
        <v>2022</v>
      </c>
      <c r="CB194" s="13" t="s">
        <v>25</v>
      </c>
      <c r="CC194" s="13" t="s">
        <v>13</v>
      </c>
      <c r="CD194" s="13">
        <v>269</v>
      </c>
      <c r="CE194" s="13">
        <v>3</v>
      </c>
      <c r="CF194" s="13" t="s">
        <v>178</v>
      </c>
      <c r="CG194" s="13" t="s">
        <v>179</v>
      </c>
    </row>
    <row r="195" spans="1:85">
      <c r="A195" s="13" t="s">
        <v>1762</v>
      </c>
      <c r="C195" s="13" t="s">
        <v>180</v>
      </c>
      <c r="D195" s="13" t="s">
        <v>3644</v>
      </c>
      <c r="E195" s="13" t="s">
        <v>1985</v>
      </c>
      <c r="F195" s="13" t="s">
        <v>1061</v>
      </c>
      <c r="G195" s="13" t="s">
        <v>672</v>
      </c>
      <c r="H195" s="13" t="s">
        <v>686</v>
      </c>
      <c r="J195" s="13" t="s">
        <v>637</v>
      </c>
      <c r="K195" s="13" t="s">
        <v>3646</v>
      </c>
      <c r="L195" s="13" t="s">
        <v>652</v>
      </c>
      <c r="N195" s="13">
        <v>11</v>
      </c>
      <c r="O195" s="2">
        <f t="shared" si="25"/>
        <v>0.37931034482758619</v>
      </c>
      <c r="P195" s="13">
        <v>5</v>
      </c>
      <c r="Q195" s="2">
        <f t="shared" si="26"/>
        <v>0.5</v>
      </c>
      <c r="R195" s="13">
        <v>29</v>
      </c>
      <c r="S195" s="13">
        <v>10</v>
      </c>
      <c r="Y195" s="13">
        <v>66</v>
      </c>
      <c r="AD195" s="13">
        <v>66.5</v>
      </c>
      <c r="AG195" s="13" t="s">
        <v>639</v>
      </c>
      <c r="BG195" s="13">
        <v>246.5</v>
      </c>
      <c r="BI195" s="13">
        <v>200.5</v>
      </c>
      <c r="BJ195" s="13">
        <v>463.3</v>
      </c>
      <c r="BR195" s="13">
        <v>270</v>
      </c>
      <c r="BT195" s="13">
        <v>227.8</v>
      </c>
      <c r="BU195" s="13">
        <v>360</v>
      </c>
      <c r="BX195" s="13">
        <v>0.89080000000000004</v>
      </c>
      <c r="BY195" s="13" t="s">
        <v>176</v>
      </c>
      <c r="BZ195" s="13" t="s">
        <v>177</v>
      </c>
      <c r="CA195" s="13">
        <v>2022</v>
      </c>
      <c r="CB195" s="13" t="s">
        <v>25</v>
      </c>
      <c r="CC195" s="13" t="s">
        <v>13</v>
      </c>
      <c r="CD195" s="13">
        <v>269</v>
      </c>
      <c r="CE195" s="13">
        <v>3</v>
      </c>
      <c r="CF195" s="13" t="s">
        <v>178</v>
      </c>
      <c r="CG195" s="13" t="s">
        <v>179</v>
      </c>
    </row>
    <row r="196" spans="1:85">
      <c r="A196" s="13" t="s">
        <v>1762</v>
      </c>
      <c r="C196" s="13" t="s">
        <v>180</v>
      </c>
      <c r="D196" s="13" t="s">
        <v>3644</v>
      </c>
      <c r="E196" s="13" t="s">
        <v>1985</v>
      </c>
      <c r="F196" s="13" t="s">
        <v>1061</v>
      </c>
      <c r="G196" s="13" t="s">
        <v>674</v>
      </c>
      <c r="H196" s="13" t="s">
        <v>686</v>
      </c>
      <c r="J196" s="13" t="s">
        <v>637</v>
      </c>
      <c r="K196" s="13" t="s">
        <v>3646</v>
      </c>
      <c r="L196" s="13" t="s">
        <v>652</v>
      </c>
      <c r="N196" s="13">
        <v>11</v>
      </c>
      <c r="O196" s="2">
        <f t="shared" si="25"/>
        <v>0.37931034482758619</v>
      </c>
      <c r="P196" s="13">
        <v>5</v>
      </c>
      <c r="Q196" s="2">
        <f t="shared" si="26"/>
        <v>0.5</v>
      </c>
      <c r="R196" s="13">
        <v>29</v>
      </c>
      <c r="S196" s="13">
        <v>10</v>
      </c>
      <c r="Y196" s="13">
        <v>66</v>
      </c>
      <c r="AD196" s="13">
        <v>66.5</v>
      </c>
      <c r="AG196" s="13" t="s">
        <v>639</v>
      </c>
      <c r="BG196" s="13">
        <v>56</v>
      </c>
      <c r="BI196" s="13">
        <v>20.100000000000001</v>
      </c>
      <c r="BJ196" s="13">
        <v>104.5</v>
      </c>
      <c r="BR196" s="13">
        <v>40.4</v>
      </c>
      <c r="BT196" s="13">
        <v>18.8</v>
      </c>
      <c r="BU196" s="13">
        <v>81.599999999999994</v>
      </c>
      <c r="BX196" s="13">
        <v>1.6000000000000001E-3</v>
      </c>
      <c r="BY196" s="13" t="s">
        <v>176</v>
      </c>
      <c r="BZ196" s="13" t="s">
        <v>177</v>
      </c>
      <c r="CA196" s="13">
        <v>2022</v>
      </c>
      <c r="CB196" s="13" t="s">
        <v>25</v>
      </c>
      <c r="CC196" s="13" t="s">
        <v>13</v>
      </c>
      <c r="CD196" s="13">
        <v>269</v>
      </c>
      <c r="CE196" s="13">
        <v>3</v>
      </c>
      <c r="CF196" s="13" t="s">
        <v>178</v>
      </c>
      <c r="CG196" s="13" t="s">
        <v>179</v>
      </c>
    </row>
    <row r="197" spans="1:85">
      <c r="A197" s="13" t="s">
        <v>1762</v>
      </c>
      <c r="C197" s="13" t="s">
        <v>3645</v>
      </c>
      <c r="D197" s="13" t="s">
        <v>4174</v>
      </c>
      <c r="E197" s="13" t="s">
        <v>1985</v>
      </c>
      <c r="F197" s="13" t="s">
        <v>1061</v>
      </c>
      <c r="G197" s="13" t="s">
        <v>674</v>
      </c>
      <c r="H197" s="13" t="s">
        <v>675</v>
      </c>
      <c r="J197" s="13" t="s">
        <v>637</v>
      </c>
      <c r="K197" s="13" t="s">
        <v>3646</v>
      </c>
      <c r="L197" s="13" t="s">
        <v>652</v>
      </c>
      <c r="N197" s="13">
        <v>21</v>
      </c>
      <c r="O197" s="2">
        <f t="shared" si="25"/>
        <v>0.40384615384615385</v>
      </c>
      <c r="P197" s="13">
        <v>6</v>
      </c>
      <c r="Q197" s="17">
        <f t="shared" si="26"/>
        <v>0.5</v>
      </c>
      <c r="R197" s="13">
        <v>52</v>
      </c>
      <c r="S197" s="13">
        <v>12</v>
      </c>
      <c r="AD197" s="13">
        <v>66</v>
      </c>
      <c r="AG197" s="13" t="s">
        <v>639</v>
      </c>
      <c r="AH197" s="13">
        <v>16.04</v>
      </c>
      <c r="AJ197" s="13">
        <v>92.31</v>
      </c>
      <c r="AM197" s="13">
        <v>91.67</v>
      </c>
      <c r="AP197" s="13">
        <v>0.93400000000000005</v>
      </c>
      <c r="BR197" s="13">
        <v>13.6</v>
      </c>
      <c r="BT197" s="13">
        <v>11.7</v>
      </c>
      <c r="BU197" s="13">
        <v>15.7</v>
      </c>
      <c r="BY197" s="13" t="s">
        <v>176</v>
      </c>
      <c r="BZ197" s="13" t="s">
        <v>177</v>
      </c>
      <c r="CA197" s="13">
        <v>2022</v>
      </c>
      <c r="CB197" s="13" t="s">
        <v>25</v>
      </c>
      <c r="CC197" s="13" t="s">
        <v>13</v>
      </c>
      <c r="CD197" s="13">
        <v>269</v>
      </c>
      <c r="CE197" s="13">
        <v>3</v>
      </c>
      <c r="CF197" s="13" t="s">
        <v>178</v>
      </c>
      <c r="CG197" s="13" t="s">
        <v>179</v>
      </c>
    </row>
    <row r="198" spans="1:85">
      <c r="A198" s="13" t="s">
        <v>1762</v>
      </c>
      <c r="C198" s="13" t="s">
        <v>3645</v>
      </c>
      <c r="D198" s="13" t="s">
        <v>4174</v>
      </c>
      <c r="E198" s="13" t="s">
        <v>1985</v>
      </c>
      <c r="F198" s="13" t="s">
        <v>1061</v>
      </c>
      <c r="G198" s="13" t="s">
        <v>674</v>
      </c>
      <c r="H198" s="13" t="s">
        <v>686</v>
      </c>
      <c r="J198" s="13" t="s">
        <v>637</v>
      </c>
      <c r="K198" s="13" t="s">
        <v>3646</v>
      </c>
      <c r="L198" s="13" t="s">
        <v>652</v>
      </c>
      <c r="N198" s="13">
        <v>21</v>
      </c>
      <c r="O198" s="2">
        <f t="shared" si="25"/>
        <v>0.40384615384615385</v>
      </c>
      <c r="P198" s="13">
        <v>6</v>
      </c>
      <c r="Q198" s="17">
        <f t="shared" si="26"/>
        <v>0.5</v>
      </c>
      <c r="R198" s="13">
        <v>52</v>
      </c>
      <c r="S198" s="13">
        <v>12</v>
      </c>
      <c r="AD198" s="13">
        <v>66</v>
      </c>
      <c r="AG198" s="13" t="s">
        <v>639</v>
      </c>
      <c r="AH198" s="13">
        <v>9.76</v>
      </c>
      <c r="AJ198" s="13">
        <v>83.67</v>
      </c>
      <c r="AM198" s="13">
        <v>53.85</v>
      </c>
      <c r="AP198" s="13">
        <v>0.69699999999999995</v>
      </c>
      <c r="BR198" s="13">
        <v>31.9</v>
      </c>
      <c r="BT198" s="13">
        <v>7.2</v>
      </c>
      <c r="BU198" s="13">
        <v>74.099999999999994</v>
      </c>
      <c r="BY198" s="13" t="s">
        <v>176</v>
      </c>
      <c r="BZ198" s="13" t="s">
        <v>177</v>
      </c>
      <c r="CA198" s="13">
        <v>2022</v>
      </c>
      <c r="CB198" s="13" t="s">
        <v>25</v>
      </c>
      <c r="CC198" s="13" t="s">
        <v>13</v>
      </c>
      <c r="CD198" s="13">
        <v>269</v>
      </c>
      <c r="CE198" s="13">
        <v>3</v>
      </c>
      <c r="CF198" s="13" t="s">
        <v>178</v>
      </c>
      <c r="CG198" s="13" t="s">
        <v>179</v>
      </c>
    </row>
    <row r="199" spans="1:85">
      <c r="A199" s="13" t="s">
        <v>3378</v>
      </c>
      <c r="C199" s="13" t="s">
        <v>3307</v>
      </c>
      <c r="D199" s="14" t="s">
        <v>3741</v>
      </c>
      <c r="E199" s="13" t="s">
        <v>630</v>
      </c>
      <c r="F199" s="13" t="s">
        <v>2972</v>
      </c>
      <c r="G199" s="13" t="s">
        <v>725</v>
      </c>
      <c r="H199" s="13" t="s">
        <v>3742</v>
      </c>
      <c r="J199" s="14" t="s">
        <v>3743</v>
      </c>
      <c r="K199" s="13" t="s">
        <v>3744</v>
      </c>
      <c r="L199" s="13" t="s">
        <v>3743</v>
      </c>
      <c r="R199" s="13">
        <v>117</v>
      </c>
      <c r="S199" s="13">
        <v>117</v>
      </c>
      <c r="BY199" s="13" t="s">
        <v>3484</v>
      </c>
      <c r="BZ199" s="13" t="s">
        <v>3485</v>
      </c>
      <c r="CA199" s="13">
        <v>2024</v>
      </c>
      <c r="CB199" s="13" t="s">
        <v>162</v>
      </c>
      <c r="CC199" s="13" t="s">
        <v>3486</v>
      </c>
      <c r="CD199" s="13">
        <v>113</v>
      </c>
      <c r="CF199" s="13">
        <v>108211</v>
      </c>
      <c r="CG199" s="13" t="s">
        <v>3233</v>
      </c>
    </row>
    <row r="200" spans="1:85">
      <c r="A200" s="13" t="s">
        <v>1688</v>
      </c>
      <c r="B200" s="13" t="s">
        <v>1808</v>
      </c>
      <c r="C200" s="13" t="s">
        <v>185</v>
      </c>
      <c r="D200" s="13" t="s">
        <v>818</v>
      </c>
      <c r="E200" s="13" t="s">
        <v>630</v>
      </c>
      <c r="F200" s="13" t="s">
        <v>763</v>
      </c>
      <c r="G200" s="13" t="s">
        <v>673</v>
      </c>
      <c r="H200" s="13" t="s">
        <v>675</v>
      </c>
      <c r="J200" s="13" t="s">
        <v>703</v>
      </c>
      <c r="K200" s="13" t="s">
        <v>4046</v>
      </c>
      <c r="L200" s="13" t="s">
        <v>652</v>
      </c>
      <c r="N200" s="13">
        <v>87</v>
      </c>
      <c r="O200" s="2">
        <f t="shared" ref="O200:O237" si="27">N200/R200</f>
        <v>0.60839160839160844</v>
      </c>
      <c r="P200" s="13">
        <v>25</v>
      </c>
      <c r="Q200" s="2">
        <f t="shared" ref="Q200:Q237" si="28">P200/S200</f>
        <v>0.55555555555555558</v>
      </c>
      <c r="R200" s="13">
        <v>143</v>
      </c>
      <c r="S200" s="13">
        <v>45</v>
      </c>
      <c r="V200" s="13">
        <v>20</v>
      </c>
      <c r="Y200" s="13">
        <v>64</v>
      </c>
      <c r="Z200" s="13">
        <v>55</v>
      </c>
      <c r="AA200" s="13">
        <v>72</v>
      </c>
      <c r="AD200" s="13">
        <v>62</v>
      </c>
      <c r="AE200" s="13">
        <v>58</v>
      </c>
      <c r="AF200" s="13">
        <v>70</v>
      </c>
      <c r="AG200" s="13" t="s">
        <v>639</v>
      </c>
      <c r="AH200" s="13">
        <v>31.7</v>
      </c>
      <c r="AJ200" s="13">
        <v>96</v>
      </c>
      <c r="AK200" s="13">
        <v>91</v>
      </c>
      <c r="AL200" s="13">
        <v>98</v>
      </c>
      <c r="AM200" s="13">
        <v>98</v>
      </c>
      <c r="AN200" s="13">
        <v>88</v>
      </c>
      <c r="AO200" s="13">
        <v>100</v>
      </c>
      <c r="AP200" s="13">
        <v>0.99</v>
      </c>
      <c r="AR200" s="13">
        <v>0.97799999999999998</v>
      </c>
      <c r="AS200" s="13">
        <v>1</v>
      </c>
      <c r="BG200" s="13">
        <v>112.1</v>
      </c>
      <c r="BI200" s="13">
        <v>70.8</v>
      </c>
      <c r="BJ200" s="13">
        <v>184.9</v>
      </c>
      <c r="BR200" s="13">
        <v>14.1</v>
      </c>
      <c r="BT200" s="13">
        <v>10.9</v>
      </c>
      <c r="BU200" s="13">
        <v>19.2</v>
      </c>
      <c r="BX200" s="13" t="s">
        <v>760</v>
      </c>
      <c r="BY200" s="13" t="s">
        <v>181</v>
      </c>
      <c r="BZ200" s="13" t="s">
        <v>182</v>
      </c>
      <c r="CA200" s="13">
        <v>2022</v>
      </c>
      <c r="CB200" s="13" t="s">
        <v>53</v>
      </c>
      <c r="CC200" s="13" t="s">
        <v>19</v>
      </c>
      <c r="CD200" s="13">
        <v>29</v>
      </c>
      <c r="CE200" s="13">
        <v>7</v>
      </c>
      <c r="CF200" s="13" t="s">
        <v>183</v>
      </c>
      <c r="CG200" s="13" t="s">
        <v>184</v>
      </c>
    </row>
    <row r="201" spans="1:85">
      <c r="A201" s="13" t="s">
        <v>1688</v>
      </c>
      <c r="B201" s="13" t="s">
        <v>1808</v>
      </c>
      <c r="C201" s="13" t="s">
        <v>185</v>
      </c>
      <c r="D201" s="13" t="s">
        <v>818</v>
      </c>
      <c r="E201" s="13" t="s">
        <v>630</v>
      </c>
      <c r="F201" s="13" t="s">
        <v>763</v>
      </c>
      <c r="G201" s="13" t="s">
        <v>673</v>
      </c>
      <c r="H201" s="13" t="s">
        <v>757</v>
      </c>
      <c r="J201" s="13" t="s">
        <v>703</v>
      </c>
      <c r="K201" s="13" t="s">
        <v>4046</v>
      </c>
      <c r="L201" s="13" t="s">
        <v>652</v>
      </c>
      <c r="N201" s="13">
        <v>87</v>
      </c>
      <c r="O201" s="2">
        <f t="shared" si="27"/>
        <v>0.60839160839160844</v>
      </c>
      <c r="P201" s="13">
        <v>25</v>
      </c>
      <c r="Q201" s="2">
        <f t="shared" si="28"/>
        <v>0.55555555555555558</v>
      </c>
      <c r="R201" s="13">
        <v>143</v>
      </c>
      <c r="S201" s="13">
        <v>45</v>
      </c>
      <c r="V201" s="13">
        <v>20</v>
      </c>
      <c r="Y201" s="13">
        <v>64</v>
      </c>
      <c r="Z201" s="13">
        <v>55</v>
      </c>
      <c r="AA201" s="13">
        <v>72</v>
      </c>
      <c r="AD201" s="13">
        <v>62</v>
      </c>
      <c r="AE201" s="13">
        <v>58</v>
      </c>
      <c r="AF201" s="13">
        <v>70</v>
      </c>
      <c r="AG201" s="13" t="s">
        <v>639</v>
      </c>
      <c r="AH201" s="13">
        <v>39.299999999999997</v>
      </c>
      <c r="AJ201" s="13">
        <v>57</v>
      </c>
      <c r="AK201" s="13">
        <v>48</v>
      </c>
      <c r="AL201" s="13">
        <v>65</v>
      </c>
      <c r="AM201" s="13">
        <v>86</v>
      </c>
      <c r="AN201" s="13">
        <v>73</v>
      </c>
      <c r="AO201" s="13">
        <v>95</v>
      </c>
      <c r="AP201" s="13">
        <v>0.76100000000000001</v>
      </c>
      <c r="AR201" s="13">
        <v>0.67500000000000004</v>
      </c>
      <c r="AS201" s="13">
        <v>0.83699999999999997</v>
      </c>
      <c r="BG201" s="13">
        <v>41.9</v>
      </c>
      <c r="BI201" s="13">
        <v>28</v>
      </c>
      <c r="BJ201" s="13">
        <v>62.8</v>
      </c>
      <c r="BR201" s="13">
        <v>25.8</v>
      </c>
      <c r="BT201" s="13">
        <v>17.2</v>
      </c>
      <c r="BU201" s="13">
        <v>36.200000000000003</v>
      </c>
      <c r="BX201" s="13" t="s">
        <v>760</v>
      </c>
      <c r="BY201" s="13" t="s">
        <v>181</v>
      </c>
      <c r="BZ201" s="13" t="s">
        <v>182</v>
      </c>
      <c r="CA201" s="13">
        <v>2022</v>
      </c>
      <c r="CB201" s="13" t="s">
        <v>53</v>
      </c>
      <c r="CC201" s="13" t="s">
        <v>19</v>
      </c>
      <c r="CD201" s="13">
        <v>29</v>
      </c>
      <c r="CE201" s="13">
        <v>7</v>
      </c>
      <c r="CF201" s="13" t="s">
        <v>183</v>
      </c>
      <c r="CG201" s="13" t="s">
        <v>184</v>
      </c>
    </row>
    <row r="202" spans="1:85">
      <c r="A202" s="13" t="s">
        <v>1688</v>
      </c>
      <c r="B202" s="13" t="s">
        <v>1808</v>
      </c>
      <c r="C202" s="13" t="s">
        <v>185</v>
      </c>
      <c r="D202" s="13" t="s">
        <v>818</v>
      </c>
      <c r="E202" s="13" t="s">
        <v>630</v>
      </c>
      <c r="F202" s="13" t="s">
        <v>763</v>
      </c>
      <c r="G202" s="13" t="s">
        <v>673</v>
      </c>
      <c r="H202" s="13" t="s">
        <v>758</v>
      </c>
      <c r="J202" s="13" t="s">
        <v>703</v>
      </c>
      <c r="K202" s="13" t="s">
        <v>4046</v>
      </c>
      <c r="L202" s="13" t="s">
        <v>652</v>
      </c>
      <c r="N202" s="13">
        <v>87</v>
      </c>
      <c r="O202" s="2">
        <f t="shared" si="27"/>
        <v>0.60839160839160844</v>
      </c>
      <c r="P202" s="13">
        <v>25</v>
      </c>
      <c r="Q202" s="2">
        <f t="shared" si="28"/>
        <v>0.55555555555555558</v>
      </c>
      <c r="R202" s="13">
        <v>143</v>
      </c>
      <c r="S202" s="13">
        <v>45</v>
      </c>
      <c r="V202" s="13">
        <v>20</v>
      </c>
      <c r="Y202" s="13">
        <v>64</v>
      </c>
      <c r="Z202" s="13">
        <v>55</v>
      </c>
      <c r="AA202" s="13">
        <v>72</v>
      </c>
      <c r="AD202" s="13">
        <v>62</v>
      </c>
      <c r="AE202" s="13">
        <v>58</v>
      </c>
      <c r="AF202" s="13">
        <v>70</v>
      </c>
      <c r="AG202" s="13" t="s">
        <v>639</v>
      </c>
      <c r="AH202" s="13">
        <v>164.1</v>
      </c>
      <c r="AJ202" s="13">
        <v>31</v>
      </c>
      <c r="AK202" s="13">
        <v>23</v>
      </c>
      <c r="AL202" s="13">
        <v>39</v>
      </c>
      <c r="AM202" s="13">
        <v>84</v>
      </c>
      <c r="AN202" s="13">
        <v>70</v>
      </c>
      <c r="AO202" s="13">
        <v>93</v>
      </c>
      <c r="AP202" s="13">
        <v>0.56100000000000005</v>
      </c>
      <c r="AR202" s="13">
        <v>0.46600000000000003</v>
      </c>
      <c r="AS202" s="13">
        <v>0.65600000000000003</v>
      </c>
      <c r="BG202" s="13">
        <v>131.4</v>
      </c>
      <c r="BI202" s="13">
        <v>92.6</v>
      </c>
      <c r="BJ202" s="13">
        <v>173.4</v>
      </c>
      <c r="BR202" s="13">
        <v>125.9</v>
      </c>
      <c r="BT202" s="13">
        <v>84.2</v>
      </c>
      <c r="BU202" s="13">
        <v>156.6</v>
      </c>
      <c r="BX202" s="13" t="s">
        <v>761</v>
      </c>
      <c r="BY202" s="13" t="s">
        <v>181</v>
      </c>
      <c r="BZ202" s="13" t="s">
        <v>182</v>
      </c>
      <c r="CA202" s="13">
        <v>2022</v>
      </c>
      <c r="CB202" s="13" t="s">
        <v>53</v>
      </c>
      <c r="CC202" s="13" t="s">
        <v>19</v>
      </c>
      <c r="CD202" s="13">
        <v>29</v>
      </c>
      <c r="CE202" s="13">
        <v>7</v>
      </c>
      <c r="CF202" s="13" t="s">
        <v>183</v>
      </c>
      <c r="CG202" s="13" t="s">
        <v>184</v>
      </c>
    </row>
    <row r="203" spans="1:85">
      <c r="A203" s="13" t="s">
        <v>1688</v>
      </c>
      <c r="B203" s="13" t="s">
        <v>1808</v>
      </c>
      <c r="C203" s="13" t="s">
        <v>185</v>
      </c>
      <c r="D203" s="13" t="s">
        <v>818</v>
      </c>
      <c r="E203" s="13" t="s">
        <v>630</v>
      </c>
      <c r="F203" s="13" t="s">
        <v>763</v>
      </c>
      <c r="G203" s="13" t="s">
        <v>673</v>
      </c>
      <c r="H203" s="13" t="s">
        <v>676</v>
      </c>
      <c r="J203" s="13" t="s">
        <v>703</v>
      </c>
      <c r="K203" s="13" t="s">
        <v>4046</v>
      </c>
      <c r="L203" s="13" t="s">
        <v>652</v>
      </c>
      <c r="N203" s="13">
        <v>87</v>
      </c>
      <c r="O203" s="2">
        <f t="shared" si="27"/>
        <v>0.60839160839160844</v>
      </c>
      <c r="P203" s="13">
        <v>25</v>
      </c>
      <c r="Q203" s="2">
        <f t="shared" si="28"/>
        <v>0.55555555555555558</v>
      </c>
      <c r="R203" s="13">
        <v>143</v>
      </c>
      <c r="S203" s="13">
        <v>45</v>
      </c>
      <c r="V203" s="13">
        <v>20</v>
      </c>
      <c r="Y203" s="13">
        <v>64</v>
      </c>
      <c r="Z203" s="13">
        <v>55</v>
      </c>
      <c r="AA203" s="13">
        <v>72</v>
      </c>
      <c r="AD203" s="13">
        <v>62</v>
      </c>
      <c r="AE203" s="13">
        <v>58</v>
      </c>
      <c r="AF203" s="13">
        <v>70</v>
      </c>
      <c r="AG203" s="13" t="s">
        <v>639</v>
      </c>
      <c r="AH203" s="13">
        <v>1.2</v>
      </c>
      <c r="AJ203" s="13">
        <v>72</v>
      </c>
      <c r="AK203" s="13">
        <v>48</v>
      </c>
      <c r="AL203" s="13">
        <v>65</v>
      </c>
      <c r="AM203" s="13">
        <v>61</v>
      </c>
      <c r="AN203" s="13">
        <v>73</v>
      </c>
      <c r="AO203" s="13">
        <v>95</v>
      </c>
      <c r="AP203" s="13">
        <v>0.67900000000000005</v>
      </c>
      <c r="AR203" s="13">
        <v>0.59499999999999997</v>
      </c>
      <c r="AS203" s="13">
        <v>0.77500000000000002</v>
      </c>
      <c r="BG203" s="13">
        <v>0.8</v>
      </c>
      <c r="BI203" s="13">
        <v>0.5</v>
      </c>
      <c r="BJ203" s="13">
        <v>1.3</v>
      </c>
      <c r="BR203" s="13">
        <v>1.1000000000000001</v>
      </c>
      <c r="BT203" s="13">
        <v>0.7</v>
      </c>
      <c r="BU203" s="13">
        <v>2</v>
      </c>
      <c r="BX203" s="13" t="s">
        <v>760</v>
      </c>
      <c r="BY203" s="13" t="s">
        <v>181</v>
      </c>
      <c r="BZ203" s="13" t="s">
        <v>182</v>
      </c>
      <c r="CA203" s="13">
        <v>2022</v>
      </c>
      <c r="CB203" s="13" t="s">
        <v>53</v>
      </c>
      <c r="CC203" s="13" t="s">
        <v>19</v>
      </c>
      <c r="CD203" s="13">
        <v>29</v>
      </c>
      <c r="CE203" s="13">
        <v>7</v>
      </c>
      <c r="CF203" s="13" t="s">
        <v>183</v>
      </c>
      <c r="CG203" s="13" t="s">
        <v>184</v>
      </c>
    </row>
    <row r="204" spans="1:85">
      <c r="A204" s="13" t="s">
        <v>1688</v>
      </c>
      <c r="B204" s="13" t="s">
        <v>1808</v>
      </c>
      <c r="C204" s="13" t="s">
        <v>185</v>
      </c>
      <c r="D204" s="13" t="s">
        <v>818</v>
      </c>
      <c r="E204" s="13" t="s">
        <v>657</v>
      </c>
      <c r="F204" s="13" t="s">
        <v>759</v>
      </c>
      <c r="G204" s="13" t="s">
        <v>673</v>
      </c>
      <c r="H204" s="13" t="s">
        <v>675</v>
      </c>
      <c r="J204" s="13" t="s">
        <v>703</v>
      </c>
      <c r="K204" s="13" t="s">
        <v>4046</v>
      </c>
      <c r="L204" s="13" t="s">
        <v>652</v>
      </c>
      <c r="N204" s="13">
        <v>87</v>
      </c>
      <c r="O204" s="2">
        <f t="shared" si="27"/>
        <v>0.60839160839160844</v>
      </c>
      <c r="P204" s="13">
        <v>42</v>
      </c>
      <c r="Q204" s="2">
        <f t="shared" si="28"/>
        <v>0.6</v>
      </c>
      <c r="R204" s="13">
        <v>143</v>
      </c>
      <c r="S204" s="13">
        <v>70</v>
      </c>
      <c r="V204" s="13">
        <v>20</v>
      </c>
      <c r="Y204" s="13">
        <v>64</v>
      </c>
      <c r="Z204" s="13">
        <v>55</v>
      </c>
      <c r="AA204" s="13">
        <v>72</v>
      </c>
      <c r="AD204" s="13">
        <v>66</v>
      </c>
      <c r="AE204" s="13">
        <v>61.8</v>
      </c>
      <c r="AF204" s="13">
        <v>72.3</v>
      </c>
      <c r="AG204" s="13" t="s">
        <v>639</v>
      </c>
      <c r="AH204" s="13">
        <v>56.9</v>
      </c>
      <c r="AJ204" s="13">
        <v>87</v>
      </c>
      <c r="AK204" s="13">
        <v>80</v>
      </c>
      <c r="AL204" s="13">
        <v>92</v>
      </c>
      <c r="AM204" s="13">
        <v>94</v>
      </c>
      <c r="AN204" s="13">
        <v>86</v>
      </c>
      <c r="AO204" s="13">
        <v>98</v>
      </c>
      <c r="AP204" s="13">
        <v>0.94599999999999995</v>
      </c>
      <c r="AR204" s="13">
        <v>0.91600000000000004</v>
      </c>
      <c r="AS204" s="13">
        <v>0.97599999999999998</v>
      </c>
      <c r="BG204" s="13">
        <v>112.1</v>
      </c>
      <c r="BI204" s="13">
        <v>70.8</v>
      </c>
      <c r="BJ204" s="13">
        <v>184.9</v>
      </c>
      <c r="BR204" s="13">
        <v>24.5</v>
      </c>
      <c r="BT204" s="13">
        <v>15.8</v>
      </c>
      <c r="BU204" s="13">
        <v>37.4</v>
      </c>
      <c r="BX204" s="13" t="s">
        <v>760</v>
      </c>
      <c r="BY204" s="13" t="s">
        <v>181</v>
      </c>
      <c r="BZ204" s="13" t="s">
        <v>182</v>
      </c>
      <c r="CA204" s="13">
        <v>2022</v>
      </c>
      <c r="CB204" s="13" t="s">
        <v>53</v>
      </c>
      <c r="CC204" s="13" t="s">
        <v>19</v>
      </c>
      <c r="CD204" s="13">
        <v>29</v>
      </c>
      <c r="CE204" s="13">
        <v>7</v>
      </c>
      <c r="CF204" s="13" t="s">
        <v>183</v>
      </c>
      <c r="CG204" s="13" t="s">
        <v>184</v>
      </c>
    </row>
    <row r="205" spans="1:85">
      <c r="A205" s="13" t="s">
        <v>1688</v>
      </c>
      <c r="B205" s="13" t="s">
        <v>1808</v>
      </c>
      <c r="C205" s="13" t="s">
        <v>185</v>
      </c>
      <c r="D205" s="13" t="s">
        <v>818</v>
      </c>
      <c r="E205" s="13" t="s">
        <v>657</v>
      </c>
      <c r="F205" s="13" t="s">
        <v>759</v>
      </c>
      <c r="G205" s="13" t="s">
        <v>673</v>
      </c>
      <c r="H205" s="13" t="s">
        <v>757</v>
      </c>
      <c r="J205" s="13" t="s">
        <v>703</v>
      </c>
      <c r="K205" s="13" t="s">
        <v>4046</v>
      </c>
      <c r="L205" s="13" t="s">
        <v>652</v>
      </c>
      <c r="N205" s="13">
        <v>87</v>
      </c>
      <c r="O205" s="2">
        <f t="shared" si="27"/>
        <v>0.60839160839160844</v>
      </c>
      <c r="P205" s="13">
        <v>42</v>
      </c>
      <c r="Q205" s="2">
        <f t="shared" si="28"/>
        <v>0.6</v>
      </c>
      <c r="R205" s="13">
        <v>143</v>
      </c>
      <c r="S205" s="13">
        <v>70</v>
      </c>
      <c r="V205" s="13">
        <v>20</v>
      </c>
      <c r="Y205" s="13">
        <v>64</v>
      </c>
      <c r="Z205" s="13">
        <v>55</v>
      </c>
      <c r="AA205" s="13">
        <v>72</v>
      </c>
      <c r="AD205" s="13">
        <v>66</v>
      </c>
      <c r="AE205" s="13">
        <v>61.8</v>
      </c>
      <c r="AF205" s="13">
        <v>72.3</v>
      </c>
      <c r="AG205" s="13" t="s">
        <v>639</v>
      </c>
      <c r="AH205" s="13">
        <v>44.1</v>
      </c>
      <c r="AJ205" s="13">
        <v>55</v>
      </c>
      <c r="AK205" s="13">
        <v>47</v>
      </c>
      <c r="AL205" s="13">
        <v>64</v>
      </c>
      <c r="AM205" s="13">
        <v>60</v>
      </c>
      <c r="AN205" s="13">
        <v>47</v>
      </c>
      <c r="AO205" s="13">
        <v>72</v>
      </c>
      <c r="AP205" s="13">
        <v>0.53900000000000003</v>
      </c>
      <c r="AR205" s="13">
        <v>0.46400000000000002</v>
      </c>
      <c r="AS205" s="13">
        <v>0.626</v>
      </c>
      <c r="BG205" s="13">
        <v>41.9</v>
      </c>
      <c r="BI205" s="13">
        <v>28</v>
      </c>
      <c r="BJ205" s="13">
        <v>62.8</v>
      </c>
      <c r="BR205" s="13">
        <v>49.7</v>
      </c>
      <c r="BT205" s="13">
        <v>26.3</v>
      </c>
      <c r="BU205" s="13">
        <v>62.9</v>
      </c>
      <c r="BX205" s="13" t="s">
        <v>761</v>
      </c>
      <c r="BY205" s="13" t="s">
        <v>181</v>
      </c>
      <c r="BZ205" s="13" t="s">
        <v>182</v>
      </c>
      <c r="CA205" s="13">
        <v>2022</v>
      </c>
      <c r="CB205" s="13" t="s">
        <v>53</v>
      </c>
      <c r="CC205" s="13" t="s">
        <v>19</v>
      </c>
      <c r="CD205" s="13">
        <v>29</v>
      </c>
      <c r="CE205" s="13">
        <v>7</v>
      </c>
      <c r="CF205" s="13" t="s">
        <v>183</v>
      </c>
      <c r="CG205" s="13" t="s">
        <v>184</v>
      </c>
    </row>
    <row r="206" spans="1:85">
      <c r="A206" s="13" t="s">
        <v>1688</v>
      </c>
      <c r="B206" s="13" t="s">
        <v>1808</v>
      </c>
      <c r="C206" s="13" t="s">
        <v>185</v>
      </c>
      <c r="D206" s="13" t="s">
        <v>818</v>
      </c>
      <c r="E206" s="13" t="s">
        <v>657</v>
      </c>
      <c r="F206" s="13" t="s">
        <v>759</v>
      </c>
      <c r="G206" s="13" t="s">
        <v>673</v>
      </c>
      <c r="H206" s="13" t="s">
        <v>758</v>
      </c>
      <c r="J206" s="13" t="s">
        <v>703</v>
      </c>
      <c r="K206" s="13" t="s">
        <v>4046</v>
      </c>
      <c r="L206" s="13" t="s">
        <v>652</v>
      </c>
      <c r="N206" s="13">
        <v>87</v>
      </c>
      <c r="O206" s="2">
        <f t="shared" si="27"/>
        <v>0.60839160839160844</v>
      </c>
      <c r="P206" s="13">
        <v>42</v>
      </c>
      <c r="Q206" s="2">
        <f t="shared" si="28"/>
        <v>0.6</v>
      </c>
      <c r="R206" s="13">
        <v>143</v>
      </c>
      <c r="S206" s="13">
        <v>70</v>
      </c>
      <c r="V206" s="13">
        <v>20</v>
      </c>
      <c r="Y206" s="13">
        <v>64</v>
      </c>
      <c r="Z206" s="13">
        <v>55</v>
      </c>
      <c r="AA206" s="13">
        <v>72</v>
      </c>
      <c r="AD206" s="13">
        <v>66</v>
      </c>
      <c r="AE206" s="13">
        <v>61.8</v>
      </c>
      <c r="AF206" s="13">
        <v>72.3</v>
      </c>
      <c r="AG206" s="13" t="s">
        <v>639</v>
      </c>
      <c r="AH206" s="13">
        <v>200.3</v>
      </c>
      <c r="AJ206" s="13">
        <v>84</v>
      </c>
      <c r="AK206" s="13">
        <v>77</v>
      </c>
      <c r="AL206" s="13">
        <v>90</v>
      </c>
      <c r="AM206" s="13">
        <v>53</v>
      </c>
      <c r="AN206" s="13">
        <v>40</v>
      </c>
      <c r="AO206" s="13">
        <v>65</v>
      </c>
      <c r="AP206" s="13">
        <v>0.68700000000000006</v>
      </c>
      <c r="AR206" s="13">
        <v>0.60599999999999998</v>
      </c>
      <c r="AS206" s="13">
        <v>0.70599999999999996</v>
      </c>
      <c r="BG206" s="13">
        <v>131.4</v>
      </c>
      <c r="BI206" s="13">
        <v>92.6</v>
      </c>
      <c r="BJ206" s="13">
        <v>173.4</v>
      </c>
      <c r="BR206" s="13">
        <v>206.2</v>
      </c>
      <c r="BT206" s="13">
        <v>118.5</v>
      </c>
      <c r="BU206" s="13">
        <v>277.2</v>
      </c>
      <c r="BX206" s="13" t="s">
        <v>760</v>
      </c>
      <c r="BY206" s="13" t="s">
        <v>181</v>
      </c>
      <c r="BZ206" s="13" t="s">
        <v>182</v>
      </c>
      <c r="CA206" s="13">
        <v>2022</v>
      </c>
      <c r="CB206" s="13" t="s">
        <v>53</v>
      </c>
      <c r="CC206" s="13" t="s">
        <v>19</v>
      </c>
      <c r="CD206" s="13">
        <v>29</v>
      </c>
      <c r="CE206" s="13">
        <v>7</v>
      </c>
      <c r="CF206" s="13" t="s">
        <v>183</v>
      </c>
      <c r="CG206" s="13" t="s">
        <v>184</v>
      </c>
    </row>
    <row r="207" spans="1:85">
      <c r="A207" s="13" t="s">
        <v>1688</v>
      </c>
      <c r="B207" s="13" t="s">
        <v>1808</v>
      </c>
      <c r="C207" s="13" t="s">
        <v>185</v>
      </c>
      <c r="D207" s="13" t="s">
        <v>818</v>
      </c>
      <c r="E207" s="13" t="s">
        <v>657</v>
      </c>
      <c r="F207" s="13" t="s">
        <v>759</v>
      </c>
      <c r="G207" s="13" t="s">
        <v>673</v>
      </c>
      <c r="H207" s="13" t="s">
        <v>676</v>
      </c>
      <c r="J207" s="13" t="s">
        <v>703</v>
      </c>
      <c r="K207" s="13" t="s">
        <v>4046</v>
      </c>
      <c r="L207" s="13" t="s">
        <v>652</v>
      </c>
      <c r="N207" s="13">
        <v>87</v>
      </c>
      <c r="O207" s="2">
        <f t="shared" si="27"/>
        <v>0.60839160839160844</v>
      </c>
      <c r="P207" s="13">
        <v>42</v>
      </c>
      <c r="Q207" s="2">
        <f t="shared" si="28"/>
        <v>0.6</v>
      </c>
      <c r="R207" s="13">
        <v>143</v>
      </c>
      <c r="S207" s="13">
        <v>70</v>
      </c>
      <c r="V207" s="13">
        <v>20</v>
      </c>
      <c r="Y207" s="13">
        <v>64</v>
      </c>
      <c r="Z207" s="13">
        <v>55</v>
      </c>
      <c r="AA207" s="13">
        <v>72</v>
      </c>
      <c r="AD207" s="13">
        <v>66</v>
      </c>
      <c r="AE207" s="13">
        <v>61.8</v>
      </c>
      <c r="AF207" s="13">
        <v>72.3</v>
      </c>
      <c r="AG207" s="13" t="s">
        <v>639</v>
      </c>
      <c r="AH207" s="13">
        <v>1.1000000000000001</v>
      </c>
      <c r="AJ207" s="13">
        <v>70</v>
      </c>
      <c r="AK207" s="13">
        <v>62</v>
      </c>
      <c r="AL207" s="13">
        <v>78</v>
      </c>
      <c r="AM207" s="13">
        <v>57</v>
      </c>
      <c r="AN207" s="13">
        <v>44</v>
      </c>
      <c r="AO207" s="13">
        <v>69</v>
      </c>
      <c r="AP207" s="13">
        <v>0.58499999999999996</v>
      </c>
      <c r="AR207" s="13">
        <v>0.495</v>
      </c>
      <c r="AS207" s="13">
        <v>0.67500000000000004</v>
      </c>
      <c r="BG207" s="13">
        <v>0.8</v>
      </c>
      <c r="BI207" s="13">
        <v>0.5</v>
      </c>
      <c r="BJ207" s="13">
        <v>1.3</v>
      </c>
      <c r="BR207" s="13">
        <v>1.2</v>
      </c>
      <c r="BT207" s="13">
        <v>0.4</v>
      </c>
      <c r="BU207" s="13">
        <v>1.8</v>
      </c>
      <c r="BX207" s="13" t="s">
        <v>761</v>
      </c>
      <c r="BY207" s="13" t="s">
        <v>181</v>
      </c>
      <c r="BZ207" s="13" t="s">
        <v>182</v>
      </c>
      <c r="CA207" s="13">
        <v>2022</v>
      </c>
      <c r="CB207" s="13" t="s">
        <v>53</v>
      </c>
      <c r="CC207" s="13" t="s">
        <v>19</v>
      </c>
      <c r="CD207" s="13">
        <v>29</v>
      </c>
      <c r="CE207" s="13">
        <v>7</v>
      </c>
      <c r="CF207" s="13" t="s">
        <v>183</v>
      </c>
      <c r="CG207" s="13" t="s">
        <v>184</v>
      </c>
    </row>
    <row r="208" spans="1:85">
      <c r="A208" s="13" t="s">
        <v>1688</v>
      </c>
      <c r="B208" s="13" t="s">
        <v>1808</v>
      </c>
      <c r="C208" s="13" t="s">
        <v>185</v>
      </c>
      <c r="D208" s="13" t="s">
        <v>818</v>
      </c>
      <c r="E208" s="13" t="s">
        <v>633</v>
      </c>
      <c r="F208" s="13" t="s">
        <v>762</v>
      </c>
      <c r="G208" s="13" t="s">
        <v>673</v>
      </c>
      <c r="H208" s="13" t="s">
        <v>675</v>
      </c>
      <c r="J208" s="13" t="s">
        <v>703</v>
      </c>
      <c r="K208" s="13" t="s">
        <v>4046</v>
      </c>
      <c r="L208" s="13" t="s">
        <v>652</v>
      </c>
      <c r="N208" s="13">
        <v>87</v>
      </c>
      <c r="O208" s="2">
        <f t="shared" si="27"/>
        <v>0.60839160839160844</v>
      </c>
      <c r="P208" s="13">
        <v>44</v>
      </c>
      <c r="Q208" s="2">
        <f t="shared" si="28"/>
        <v>0.62857142857142856</v>
      </c>
      <c r="R208" s="13">
        <v>143</v>
      </c>
      <c r="S208" s="13">
        <v>70</v>
      </c>
      <c r="V208" s="13">
        <v>20</v>
      </c>
      <c r="Y208" s="13">
        <v>64</v>
      </c>
      <c r="Z208" s="13">
        <v>55</v>
      </c>
      <c r="AA208" s="13">
        <v>72</v>
      </c>
      <c r="AD208" s="13">
        <v>68</v>
      </c>
      <c r="AE208" s="13">
        <v>54.8</v>
      </c>
      <c r="AF208" s="13">
        <v>77</v>
      </c>
      <c r="AG208" s="13" t="s">
        <v>639</v>
      </c>
      <c r="AH208" s="13">
        <v>56.6</v>
      </c>
      <c r="AJ208" s="13">
        <v>87</v>
      </c>
      <c r="AK208" s="13">
        <v>80</v>
      </c>
      <c r="AL208" s="13">
        <v>92</v>
      </c>
      <c r="AM208" s="13">
        <v>78</v>
      </c>
      <c r="AN208" s="13">
        <v>67</v>
      </c>
      <c r="AO208" s="13">
        <v>87</v>
      </c>
      <c r="AP208" s="13">
        <v>0.85</v>
      </c>
      <c r="AR208" s="13">
        <v>0.78500000000000003</v>
      </c>
      <c r="AS208" s="13">
        <v>0.91400000000000003</v>
      </c>
      <c r="BG208" s="13">
        <v>112.1</v>
      </c>
      <c r="BI208" s="13">
        <v>70.8</v>
      </c>
      <c r="BJ208" s="13">
        <v>184.9</v>
      </c>
      <c r="BR208" s="13">
        <v>27.6</v>
      </c>
      <c r="BT208" s="13">
        <v>16.899999999999999</v>
      </c>
      <c r="BU208" s="13">
        <v>53</v>
      </c>
      <c r="BX208" s="13" t="s">
        <v>760</v>
      </c>
      <c r="BY208" s="13" t="s">
        <v>181</v>
      </c>
      <c r="BZ208" s="13" t="s">
        <v>182</v>
      </c>
      <c r="CA208" s="13">
        <v>2022</v>
      </c>
      <c r="CB208" s="13" t="s">
        <v>53</v>
      </c>
      <c r="CC208" s="13" t="s">
        <v>19</v>
      </c>
      <c r="CD208" s="13">
        <v>29</v>
      </c>
      <c r="CE208" s="13">
        <v>7</v>
      </c>
      <c r="CF208" s="13" t="s">
        <v>183</v>
      </c>
      <c r="CG208" s="13" t="s">
        <v>184</v>
      </c>
    </row>
    <row r="209" spans="1:85">
      <c r="A209" s="13" t="s">
        <v>1688</v>
      </c>
      <c r="B209" s="13" t="s">
        <v>1808</v>
      </c>
      <c r="C209" s="13" t="s">
        <v>185</v>
      </c>
      <c r="D209" s="13" t="s">
        <v>818</v>
      </c>
      <c r="E209" s="13" t="s">
        <v>633</v>
      </c>
      <c r="F209" s="13" t="s">
        <v>762</v>
      </c>
      <c r="G209" s="13" t="s">
        <v>673</v>
      </c>
      <c r="H209" s="13" t="s">
        <v>757</v>
      </c>
      <c r="J209" s="13" t="s">
        <v>703</v>
      </c>
      <c r="K209" s="13" t="s">
        <v>4046</v>
      </c>
      <c r="L209" s="13" t="s">
        <v>652</v>
      </c>
      <c r="N209" s="13">
        <v>87</v>
      </c>
      <c r="O209" s="2">
        <f t="shared" si="27"/>
        <v>0.60839160839160844</v>
      </c>
      <c r="P209" s="13">
        <v>44</v>
      </c>
      <c r="Q209" s="2">
        <f t="shared" si="28"/>
        <v>0.62857142857142856</v>
      </c>
      <c r="R209" s="13">
        <v>143</v>
      </c>
      <c r="S209" s="13">
        <v>70</v>
      </c>
      <c r="V209" s="13">
        <v>20</v>
      </c>
      <c r="Y209" s="13">
        <v>64</v>
      </c>
      <c r="Z209" s="13">
        <v>55</v>
      </c>
      <c r="AA209" s="13">
        <v>72</v>
      </c>
      <c r="AD209" s="13">
        <v>68</v>
      </c>
      <c r="AE209" s="13">
        <v>54.8</v>
      </c>
      <c r="AF209" s="13">
        <v>77</v>
      </c>
      <c r="AG209" s="13" t="s">
        <v>639</v>
      </c>
      <c r="AH209" s="13">
        <v>52.7</v>
      </c>
      <c r="AJ209" s="13">
        <v>66</v>
      </c>
      <c r="AK209" s="13">
        <v>58</v>
      </c>
      <c r="AL209" s="13">
        <v>74</v>
      </c>
      <c r="AM209" s="13">
        <v>45</v>
      </c>
      <c r="AN209" s="13">
        <v>33</v>
      </c>
      <c r="AO209" s="13">
        <v>57</v>
      </c>
      <c r="AP209" s="13">
        <v>0.50800000000000001</v>
      </c>
      <c r="AR209" s="13">
        <v>0.42199999999999999</v>
      </c>
      <c r="AS209" s="13">
        <v>0.59399999999999997</v>
      </c>
      <c r="BG209" s="13">
        <v>41.9</v>
      </c>
      <c r="BI209" s="13">
        <v>28</v>
      </c>
      <c r="BJ209" s="13">
        <v>62.8</v>
      </c>
      <c r="BR209" s="13">
        <v>44.5</v>
      </c>
      <c r="BT209" s="13">
        <v>24.5</v>
      </c>
      <c r="BU209" s="13">
        <v>67.400000000000006</v>
      </c>
      <c r="BX209" s="13" t="s">
        <v>761</v>
      </c>
      <c r="BY209" s="13" t="s">
        <v>181</v>
      </c>
      <c r="BZ209" s="13" t="s">
        <v>182</v>
      </c>
      <c r="CA209" s="13">
        <v>2022</v>
      </c>
      <c r="CB209" s="13" t="s">
        <v>53</v>
      </c>
      <c r="CC209" s="13" t="s">
        <v>19</v>
      </c>
      <c r="CD209" s="13">
        <v>29</v>
      </c>
      <c r="CE209" s="13">
        <v>7</v>
      </c>
      <c r="CF209" s="13" t="s">
        <v>183</v>
      </c>
      <c r="CG209" s="13" t="s">
        <v>184</v>
      </c>
    </row>
    <row r="210" spans="1:85">
      <c r="A210" s="13" t="s">
        <v>1688</v>
      </c>
      <c r="B210" s="13" t="s">
        <v>1808</v>
      </c>
      <c r="C210" s="13" t="s">
        <v>185</v>
      </c>
      <c r="D210" s="13" t="s">
        <v>818</v>
      </c>
      <c r="E210" s="13" t="s">
        <v>633</v>
      </c>
      <c r="F210" s="13" t="s">
        <v>762</v>
      </c>
      <c r="G210" s="13" t="s">
        <v>673</v>
      </c>
      <c r="H210" s="13" t="s">
        <v>758</v>
      </c>
      <c r="J210" s="13" t="s">
        <v>703</v>
      </c>
      <c r="K210" s="13" t="s">
        <v>4046</v>
      </c>
      <c r="L210" s="13" t="s">
        <v>652</v>
      </c>
      <c r="N210" s="13">
        <v>87</v>
      </c>
      <c r="O210" s="2">
        <f t="shared" si="27"/>
        <v>0.60839160839160844</v>
      </c>
      <c r="P210" s="13">
        <v>44</v>
      </c>
      <c r="Q210" s="2">
        <f t="shared" si="28"/>
        <v>0.62857142857142856</v>
      </c>
      <c r="R210" s="13">
        <v>143</v>
      </c>
      <c r="S210" s="13">
        <v>70</v>
      </c>
      <c r="V210" s="13">
        <v>20</v>
      </c>
      <c r="Y210" s="13">
        <v>64</v>
      </c>
      <c r="Z210" s="13">
        <v>55</v>
      </c>
      <c r="AA210" s="13">
        <v>72</v>
      </c>
      <c r="AD210" s="13">
        <v>68</v>
      </c>
      <c r="AE210" s="13">
        <v>54.8</v>
      </c>
      <c r="AF210" s="13">
        <v>77</v>
      </c>
      <c r="AG210" s="13" t="s">
        <v>639</v>
      </c>
      <c r="AH210" s="13">
        <v>145.6</v>
      </c>
      <c r="AJ210" s="13">
        <v>61</v>
      </c>
      <c r="AK210" s="13">
        <v>52</v>
      </c>
      <c r="AL210" s="13">
        <v>69</v>
      </c>
      <c r="AM210" s="13">
        <v>55</v>
      </c>
      <c r="AN210" s="13">
        <v>43</v>
      </c>
      <c r="AO210" s="13">
        <v>67</v>
      </c>
      <c r="AP210" s="13">
        <v>0.55700000000000005</v>
      </c>
      <c r="AR210" s="13">
        <v>0.47</v>
      </c>
      <c r="AS210" s="13">
        <v>0.64300000000000002</v>
      </c>
      <c r="BG210" s="13">
        <v>131.4</v>
      </c>
      <c r="BI210" s="13">
        <v>92.6</v>
      </c>
      <c r="BJ210" s="13">
        <v>173.4</v>
      </c>
      <c r="BR210" s="13">
        <v>149.80000000000001</v>
      </c>
      <c r="BT210" s="13">
        <v>96</v>
      </c>
      <c r="BU210" s="13">
        <v>212.3</v>
      </c>
      <c r="BX210" s="13" t="s">
        <v>761</v>
      </c>
      <c r="BY210" s="13" t="s">
        <v>181</v>
      </c>
      <c r="BZ210" s="13" t="s">
        <v>182</v>
      </c>
      <c r="CA210" s="13">
        <v>2022</v>
      </c>
      <c r="CB210" s="13" t="s">
        <v>53</v>
      </c>
      <c r="CC210" s="13" t="s">
        <v>19</v>
      </c>
      <c r="CD210" s="13">
        <v>29</v>
      </c>
      <c r="CE210" s="13">
        <v>7</v>
      </c>
      <c r="CF210" s="13" t="s">
        <v>183</v>
      </c>
      <c r="CG210" s="13" t="s">
        <v>184</v>
      </c>
    </row>
    <row r="211" spans="1:85">
      <c r="A211" s="13" t="s">
        <v>1688</v>
      </c>
      <c r="B211" s="13" t="s">
        <v>1808</v>
      </c>
      <c r="C211" s="13" t="s">
        <v>185</v>
      </c>
      <c r="D211" s="13" t="s">
        <v>818</v>
      </c>
      <c r="E211" s="13" t="s">
        <v>633</v>
      </c>
      <c r="F211" s="13" t="s">
        <v>762</v>
      </c>
      <c r="G211" s="13" t="s">
        <v>673</v>
      </c>
      <c r="H211" s="13" t="s">
        <v>676</v>
      </c>
      <c r="J211" s="13" t="s">
        <v>703</v>
      </c>
      <c r="K211" s="13" t="s">
        <v>4046</v>
      </c>
      <c r="L211" s="13" t="s">
        <v>652</v>
      </c>
      <c r="N211" s="13">
        <v>87</v>
      </c>
      <c r="O211" s="2">
        <f t="shared" si="27"/>
        <v>0.60839160839160844</v>
      </c>
      <c r="P211" s="13">
        <v>44</v>
      </c>
      <c r="Q211" s="2">
        <f t="shared" si="28"/>
        <v>0.62857142857142856</v>
      </c>
      <c r="R211" s="13">
        <v>143</v>
      </c>
      <c r="S211" s="13">
        <v>70</v>
      </c>
      <c r="V211" s="13">
        <v>20</v>
      </c>
      <c r="Y211" s="13">
        <v>64</v>
      </c>
      <c r="Z211" s="13">
        <v>55</v>
      </c>
      <c r="AA211" s="13">
        <v>72</v>
      </c>
      <c r="AD211" s="13">
        <v>68</v>
      </c>
      <c r="AE211" s="13">
        <v>54.8</v>
      </c>
      <c r="AF211" s="13">
        <v>77</v>
      </c>
      <c r="AG211" s="13" t="s">
        <v>639</v>
      </c>
      <c r="AH211" s="13">
        <v>0.6</v>
      </c>
      <c r="AJ211" s="13">
        <v>65</v>
      </c>
      <c r="AK211" s="13">
        <v>57</v>
      </c>
      <c r="AL211" s="13">
        <v>73</v>
      </c>
      <c r="AM211" s="13">
        <v>54</v>
      </c>
      <c r="AN211" s="13">
        <v>41</v>
      </c>
      <c r="AO211" s="13">
        <v>66</v>
      </c>
      <c r="AP211" s="13">
        <v>0.58299999999999996</v>
      </c>
      <c r="AR211" s="13">
        <v>0.499</v>
      </c>
      <c r="AS211" s="13">
        <v>0.66800000000000004</v>
      </c>
      <c r="BG211" s="13">
        <v>0.8</v>
      </c>
      <c r="BI211" s="13">
        <v>0.5</v>
      </c>
      <c r="BJ211" s="13">
        <v>1.3</v>
      </c>
      <c r="BR211" s="13">
        <v>0.6</v>
      </c>
      <c r="BT211" s="13">
        <v>0.3</v>
      </c>
      <c r="BU211" s="13">
        <v>1.1000000000000001</v>
      </c>
      <c r="BX211" s="13" t="s">
        <v>761</v>
      </c>
      <c r="BY211" s="13" t="s">
        <v>181</v>
      </c>
      <c r="BZ211" s="13" t="s">
        <v>182</v>
      </c>
      <c r="CA211" s="13">
        <v>2022</v>
      </c>
      <c r="CB211" s="13" t="s">
        <v>53</v>
      </c>
      <c r="CC211" s="13" t="s">
        <v>19</v>
      </c>
      <c r="CD211" s="13">
        <v>29</v>
      </c>
      <c r="CE211" s="13">
        <v>7</v>
      </c>
      <c r="CF211" s="13" t="s">
        <v>183</v>
      </c>
      <c r="CG211" s="13" t="s">
        <v>184</v>
      </c>
    </row>
    <row r="212" spans="1:85">
      <c r="A212" s="13" t="s">
        <v>3379</v>
      </c>
      <c r="C212" s="13" t="s">
        <v>3308</v>
      </c>
      <c r="D212" s="14" t="s">
        <v>831</v>
      </c>
      <c r="E212" s="13" t="s">
        <v>657</v>
      </c>
      <c r="F212" s="13" t="s">
        <v>3745</v>
      </c>
      <c r="G212" s="13" t="s">
        <v>672</v>
      </c>
      <c r="H212" s="13" t="s">
        <v>2724</v>
      </c>
      <c r="J212" s="14" t="s">
        <v>703</v>
      </c>
      <c r="K212" s="13" t="s">
        <v>4168</v>
      </c>
      <c r="L212" s="13" t="s">
        <v>3747</v>
      </c>
      <c r="M212" s="13" t="s">
        <v>3746</v>
      </c>
      <c r="N212" s="13">
        <v>37</v>
      </c>
      <c r="O212" s="2">
        <f t="shared" si="27"/>
        <v>0.6607142857142857</v>
      </c>
      <c r="P212" s="13">
        <v>28</v>
      </c>
      <c r="Q212" s="17">
        <f t="shared" si="28"/>
        <v>0.5957446808510638</v>
      </c>
      <c r="R212" s="13">
        <v>56</v>
      </c>
      <c r="S212" s="13">
        <v>47</v>
      </c>
      <c r="Y212" s="13">
        <v>62.7</v>
      </c>
      <c r="Z212" s="13">
        <v>55.6</v>
      </c>
      <c r="AA212" s="13">
        <v>72.099999999999994</v>
      </c>
      <c r="AD212" s="13">
        <v>59.1</v>
      </c>
      <c r="AE212" s="13">
        <v>51.9</v>
      </c>
      <c r="AF212" s="13">
        <v>65.5</v>
      </c>
      <c r="AG212" s="13" t="s">
        <v>639</v>
      </c>
      <c r="BG212" s="13">
        <v>0.03</v>
      </c>
      <c r="BI212" s="13">
        <v>0</v>
      </c>
      <c r="BJ212" s="13">
        <v>0.7</v>
      </c>
      <c r="BR212" s="13">
        <v>0</v>
      </c>
      <c r="BT212" s="13">
        <v>0</v>
      </c>
      <c r="BU212" s="13">
        <v>0.06</v>
      </c>
      <c r="BX212" s="13">
        <v>3.1E-2</v>
      </c>
      <c r="BY212" s="13" t="s">
        <v>3487</v>
      </c>
      <c r="BZ212" s="13" t="s">
        <v>3488</v>
      </c>
      <c r="CA212" s="13">
        <v>2024</v>
      </c>
      <c r="CB212" s="21">
        <v>45896</v>
      </c>
      <c r="CC212" s="13" t="s">
        <v>61</v>
      </c>
      <c r="CD212" s="13">
        <v>14</v>
      </c>
      <c r="CE212" s="13">
        <v>1</v>
      </c>
      <c r="CF212" s="13">
        <v>19796</v>
      </c>
      <c r="CG212" s="13" t="s">
        <v>3234</v>
      </c>
    </row>
    <row r="213" spans="1:85">
      <c r="A213" s="13" t="s">
        <v>3379</v>
      </c>
      <c r="C213" s="13" t="s">
        <v>3308</v>
      </c>
      <c r="D213" s="14" t="s">
        <v>831</v>
      </c>
      <c r="E213" s="13" t="s">
        <v>657</v>
      </c>
      <c r="F213" s="13" t="s">
        <v>3745</v>
      </c>
      <c r="G213" s="13" t="s">
        <v>672</v>
      </c>
      <c r="H213" s="13" t="s">
        <v>2720</v>
      </c>
      <c r="J213" s="14" t="s">
        <v>703</v>
      </c>
      <c r="K213" s="13" t="s">
        <v>4168</v>
      </c>
      <c r="L213" s="13" t="s">
        <v>3747</v>
      </c>
      <c r="M213" s="13" t="s">
        <v>3746</v>
      </c>
      <c r="N213" s="13">
        <v>37</v>
      </c>
      <c r="O213" s="2">
        <f t="shared" si="27"/>
        <v>0.6607142857142857</v>
      </c>
      <c r="P213" s="13">
        <v>28</v>
      </c>
      <c r="Q213" s="17">
        <f t="shared" si="28"/>
        <v>0.5957446808510638</v>
      </c>
      <c r="R213" s="13">
        <v>56</v>
      </c>
      <c r="S213" s="13">
        <v>47</v>
      </c>
      <c r="Y213" s="13">
        <v>62.7</v>
      </c>
      <c r="Z213" s="13">
        <v>55.6</v>
      </c>
      <c r="AA213" s="13">
        <v>72.099999999999994</v>
      </c>
      <c r="AD213" s="13">
        <v>59.1</v>
      </c>
      <c r="AE213" s="13">
        <v>51.9</v>
      </c>
      <c r="AF213" s="13">
        <v>65.5</v>
      </c>
      <c r="AG213" s="13" t="s">
        <v>639</v>
      </c>
      <c r="BG213" s="13">
        <v>0</v>
      </c>
      <c r="BI213" s="13">
        <v>0</v>
      </c>
      <c r="BJ213" s="13">
        <v>0.28999999999999998</v>
      </c>
      <c r="BR213" s="13">
        <v>0</v>
      </c>
      <c r="BT213" s="13">
        <v>0</v>
      </c>
      <c r="BU213" s="13">
        <v>0</v>
      </c>
      <c r="BX213" s="13">
        <v>7.0000000000000001E-3</v>
      </c>
      <c r="BY213" s="13" t="s">
        <v>3487</v>
      </c>
      <c r="BZ213" s="13" t="s">
        <v>3488</v>
      </c>
      <c r="CA213" s="13">
        <v>2024</v>
      </c>
      <c r="CB213" s="21">
        <v>45896</v>
      </c>
      <c r="CC213" s="13" t="s">
        <v>61</v>
      </c>
      <c r="CD213" s="13">
        <v>14</v>
      </c>
      <c r="CE213" s="13">
        <v>1</v>
      </c>
      <c r="CF213" s="13">
        <v>19796</v>
      </c>
      <c r="CG213" s="13" t="s">
        <v>3234</v>
      </c>
    </row>
    <row r="214" spans="1:85">
      <c r="A214" s="13" t="s">
        <v>3379</v>
      </c>
      <c r="C214" s="13" t="s">
        <v>3308</v>
      </c>
      <c r="D214" s="14" t="s">
        <v>831</v>
      </c>
      <c r="E214" s="13" t="s">
        <v>657</v>
      </c>
      <c r="F214" s="13" t="s">
        <v>3745</v>
      </c>
      <c r="G214" s="13" t="s">
        <v>672</v>
      </c>
      <c r="H214" s="13" t="s">
        <v>2721</v>
      </c>
      <c r="J214" s="14" t="s">
        <v>703</v>
      </c>
      <c r="K214" s="13" t="s">
        <v>4168</v>
      </c>
      <c r="L214" s="13" t="s">
        <v>3747</v>
      </c>
      <c r="M214" s="13" t="s">
        <v>3746</v>
      </c>
      <c r="N214" s="13">
        <v>37</v>
      </c>
      <c r="O214" s="2">
        <f t="shared" si="27"/>
        <v>0.6607142857142857</v>
      </c>
      <c r="P214" s="13">
        <v>28</v>
      </c>
      <c r="Q214" s="17">
        <f t="shared" si="28"/>
        <v>0.5957446808510638</v>
      </c>
      <c r="R214" s="13">
        <v>56</v>
      </c>
      <c r="S214" s="13">
        <v>47</v>
      </c>
      <c r="Y214" s="13">
        <v>62.7</v>
      </c>
      <c r="Z214" s="13">
        <v>55.6</v>
      </c>
      <c r="AA214" s="13">
        <v>72.099999999999994</v>
      </c>
      <c r="AD214" s="13">
        <v>59.1</v>
      </c>
      <c r="AE214" s="13">
        <v>51.9</v>
      </c>
      <c r="AF214" s="13">
        <v>65.5</v>
      </c>
      <c r="AG214" s="13" t="s">
        <v>639</v>
      </c>
      <c r="BG214" s="13">
        <v>0.1</v>
      </c>
      <c r="BI214" s="13">
        <v>0</v>
      </c>
      <c r="BJ214" s="13">
        <v>0.16</v>
      </c>
      <c r="BR214" s="13">
        <v>0.02</v>
      </c>
      <c r="BT214" s="13">
        <v>0</v>
      </c>
      <c r="BU214" s="13">
        <v>0.1</v>
      </c>
      <c r="BX214" s="13">
        <v>3.6999999999999998E-2</v>
      </c>
      <c r="BY214" s="13" t="s">
        <v>3487</v>
      </c>
      <c r="BZ214" s="13" t="s">
        <v>3488</v>
      </c>
      <c r="CA214" s="13">
        <v>2024</v>
      </c>
      <c r="CB214" s="21">
        <v>45896</v>
      </c>
      <c r="CC214" s="13" t="s">
        <v>61</v>
      </c>
      <c r="CD214" s="13">
        <v>14</v>
      </c>
      <c r="CE214" s="13">
        <v>1</v>
      </c>
      <c r="CF214" s="13">
        <v>19796</v>
      </c>
      <c r="CG214" s="13" t="s">
        <v>3234</v>
      </c>
    </row>
    <row r="215" spans="1:85">
      <c r="A215" s="13" t="s">
        <v>3379</v>
      </c>
      <c r="C215" s="13" t="s">
        <v>3308</v>
      </c>
      <c r="D215" s="14" t="s">
        <v>831</v>
      </c>
      <c r="E215" s="13" t="s">
        <v>657</v>
      </c>
      <c r="F215" s="13" t="s">
        <v>3745</v>
      </c>
      <c r="G215" s="13" t="s">
        <v>672</v>
      </c>
      <c r="H215" s="13" t="s">
        <v>3748</v>
      </c>
      <c r="J215" s="14" t="s">
        <v>703</v>
      </c>
      <c r="K215" s="13" t="s">
        <v>4168</v>
      </c>
      <c r="L215" s="13" t="s">
        <v>3747</v>
      </c>
      <c r="M215" s="13" t="s">
        <v>3746</v>
      </c>
      <c r="N215" s="13">
        <v>37</v>
      </c>
      <c r="O215" s="2">
        <f t="shared" si="27"/>
        <v>0.6607142857142857</v>
      </c>
      <c r="P215" s="13">
        <v>28</v>
      </c>
      <c r="Q215" s="17">
        <f t="shared" si="28"/>
        <v>0.5957446808510638</v>
      </c>
      <c r="R215" s="13">
        <v>56</v>
      </c>
      <c r="S215" s="13">
        <v>47</v>
      </c>
      <c r="Y215" s="13">
        <v>62.7</v>
      </c>
      <c r="Z215" s="13">
        <v>55.6</v>
      </c>
      <c r="AA215" s="13">
        <v>72.099999999999994</v>
      </c>
      <c r="AD215" s="13">
        <v>59.1</v>
      </c>
      <c r="AE215" s="13">
        <v>51.9</v>
      </c>
      <c r="AF215" s="13">
        <v>65.5</v>
      </c>
      <c r="AG215" s="13" t="s">
        <v>639</v>
      </c>
      <c r="BG215" s="13">
        <v>1.92</v>
      </c>
      <c r="BI215" s="13">
        <v>0</v>
      </c>
      <c r="BJ215" s="13">
        <v>4.13</v>
      </c>
      <c r="BR215" s="13">
        <v>1.74</v>
      </c>
      <c r="BT215" s="13">
        <v>0.11</v>
      </c>
      <c r="BU215" s="13">
        <v>2.46</v>
      </c>
      <c r="BX215" s="13">
        <v>0.34300000000000003</v>
      </c>
      <c r="BY215" s="13" t="s">
        <v>3487</v>
      </c>
      <c r="BZ215" s="13" t="s">
        <v>3488</v>
      </c>
      <c r="CA215" s="13">
        <v>2024</v>
      </c>
      <c r="CB215" s="21">
        <v>45896</v>
      </c>
      <c r="CC215" s="13" t="s">
        <v>61</v>
      </c>
      <c r="CD215" s="13">
        <v>14</v>
      </c>
      <c r="CE215" s="13">
        <v>1</v>
      </c>
      <c r="CF215" s="13">
        <v>19796</v>
      </c>
      <c r="CG215" s="13" t="s">
        <v>3234</v>
      </c>
    </row>
    <row r="216" spans="1:85">
      <c r="A216" s="13" t="s">
        <v>3379</v>
      </c>
      <c r="C216" s="13" t="s">
        <v>3308</v>
      </c>
      <c r="D216" s="14" t="s">
        <v>831</v>
      </c>
      <c r="E216" s="13" t="s">
        <v>657</v>
      </c>
      <c r="F216" s="13" t="s">
        <v>3745</v>
      </c>
      <c r="G216" s="13" t="s">
        <v>672</v>
      </c>
      <c r="H216" s="13" t="s">
        <v>2382</v>
      </c>
      <c r="J216" s="14" t="s">
        <v>703</v>
      </c>
      <c r="K216" s="13" t="s">
        <v>4168</v>
      </c>
      <c r="L216" s="13" t="s">
        <v>3747</v>
      </c>
      <c r="M216" s="13" t="s">
        <v>3746</v>
      </c>
      <c r="N216" s="13">
        <v>37</v>
      </c>
      <c r="O216" s="2">
        <f t="shared" si="27"/>
        <v>0.6607142857142857</v>
      </c>
      <c r="P216" s="13">
        <v>28</v>
      </c>
      <c r="Q216" s="17">
        <f t="shared" si="28"/>
        <v>0.5957446808510638</v>
      </c>
      <c r="R216" s="13">
        <v>56</v>
      </c>
      <c r="S216" s="13">
        <v>47</v>
      </c>
      <c r="Y216" s="13">
        <v>62.7</v>
      </c>
      <c r="Z216" s="13">
        <v>55.6</v>
      </c>
      <c r="AA216" s="13">
        <v>72.099999999999994</v>
      </c>
      <c r="AD216" s="13">
        <v>59.1</v>
      </c>
      <c r="AE216" s="13">
        <v>51.9</v>
      </c>
      <c r="AF216" s="13">
        <v>65.5</v>
      </c>
      <c r="AG216" s="13" t="s">
        <v>639</v>
      </c>
      <c r="BG216" s="13">
        <v>0.37</v>
      </c>
      <c r="BI216" s="13">
        <v>0.03</v>
      </c>
      <c r="BJ216" s="13">
        <v>1.36</v>
      </c>
      <c r="BR216" s="13">
        <v>0.05</v>
      </c>
      <c r="BT216" s="13">
        <v>0</v>
      </c>
      <c r="BU216" s="13">
        <v>0.76</v>
      </c>
      <c r="BX216" s="13">
        <v>0.01</v>
      </c>
      <c r="BY216" s="13" t="s">
        <v>3487</v>
      </c>
      <c r="BZ216" s="13" t="s">
        <v>3488</v>
      </c>
      <c r="CA216" s="13">
        <v>2024</v>
      </c>
      <c r="CB216" s="21">
        <v>45896</v>
      </c>
      <c r="CC216" s="13" t="s">
        <v>61</v>
      </c>
      <c r="CD216" s="13">
        <v>14</v>
      </c>
      <c r="CE216" s="13">
        <v>1</v>
      </c>
      <c r="CF216" s="13">
        <v>19796</v>
      </c>
      <c r="CG216" s="13" t="s">
        <v>3234</v>
      </c>
    </row>
    <row r="217" spans="1:85">
      <c r="A217" s="13" t="s">
        <v>3379</v>
      </c>
      <c r="C217" s="13" t="s">
        <v>3308</v>
      </c>
      <c r="D217" s="14" t="s">
        <v>831</v>
      </c>
      <c r="E217" s="13" t="s">
        <v>657</v>
      </c>
      <c r="F217" s="13" t="s">
        <v>3745</v>
      </c>
      <c r="G217" s="13" t="s">
        <v>672</v>
      </c>
      <c r="H217" s="13" t="s">
        <v>3749</v>
      </c>
      <c r="J217" s="14" t="s">
        <v>703</v>
      </c>
      <c r="K217" s="13" t="s">
        <v>4168</v>
      </c>
      <c r="L217" s="13" t="s">
        <v>3747</v>
      </c>
      <c r="M217" s="13" t="s">
        <v>3746</v>
      </c>
      <c r="N217" s="13">
        <v>37</v>
      </c>
      <c r="O217" s="2">
        <f t="shared" si="27"/>
        <v>0.6607142857142857</v>
      </c>
      <c r="P217" s="13">
        <v>28</v>
      </c>
      <c r="Q217" s="17">
        <f t="shared" si="28"/>
        <v>0.5957446808510638</v>
      </c>
      <c r="R217" s="13">
        <v>56</v>
      </c>
      <c r="S217" s="13">
        <v>47</v>
      </c>
      <c r="Y217" s="13">
        <v>62.7</v>
      </c>
      <c r="Z217" s="13">
        <v>55.6</v>
      </c>
      <c r="AA217" s="13">
        <v>72.099999999999994</v>
      </c>
      <c r="AD217" s="13">
        <v>59.1</v>
      </c>
      <c r="AE217" s="13">
        <v>51.9</v>
      </c>
      <c r="AF217" s="13">
        <v>65.5</v>
      </c>
      <c r="AG217" s="13" t="s">
        <v>639</v>
      </c>
      <c r="BG217" s="13">
        <v>0</v>
      </c>
      <c r="BI217" s="13">
        <v>0</v>
      </c>
      <c r="BJ217" s="13">
        <v>1.24</v>
      </c>
      <c r="BR217" s="13">
        <v>0</v>
      </c>
      <c r="BT217" s="13">
        <v>0</v>
      </c>
      <c r="BU217" s="13">
        <v>0.57999999999999996</v>
      </c>
      <c r="BX217" s="13">
        <v>0.35799999999999998</v>
      </c>
      <c r="BY217" s="13" t="s">
        <v>3487</v>
      </c>
      <c r="BZ217" s="13" t="s">
        <v>3488</v>
      </c>
      <c r="CA217" s="13">
        <v>2024</v>
      </c>
      <c r="CB217" s="21">
        <v>45896</v>
      </c>
      <c r="CC217" s="13" t="s">
        <v>61</v>
      </c>
      <c r="CD217" s="13">
        <v>14</v>
      </c>
      <c r="CE217" s="13">
        <v>1</v>
      </c>
      <c r="CF217" s="13">
        <v>19796</v>
      </c>
      <c r="CG217" s="13" t="s">
        <v>3234</v>
      </c>
    </row>
    <row r="218" spans="1:85">
      <c r="A218" s="13" t="s">
        <v>3379</v>
      </c>
      <c r="C218" s="13" t="s">
        <v>3308</v>
      </c>
      <c r="D218" s="14" t="s">
        <v>831</v>
      </c>
      <c r="E218" s="13" t="s">
        <v>657</v>
      </c>
      <c r="F218" s="13" t="s">
        <v>3745</v>
      </c>
      <c r="G218" s="13" t="s">
        <v>672</v>
      </c>
      <c r="H218" s="13" t="s">
        <v>2722</v>
      </c>
      <c r="J218" s="14" t="s">
        <v>703</v>
      </c>
      <c r="K218" s="13" t="s">
        <v>4168</v>
      </c>
      <c r="L218" s="13" t="s">
        <v>3747</v>
      </c>
      <c r="M218" s="13" t="s">
        <v>3746</v>
      </c>
      <c r="N218" s="13">
        <v>37</v>
      </c>
      <c r="O218" s="2">
        <f t="shared" si="27"/>
        <v>0.6607142857142857</v>
      </c>
      <c r="P218" s="13">
        <v>28</v>
      </c>
      <c r="Q218" s="17">
        <f t="shared" si="28"/>
        <v>0.5957446808510638</v>
      </c>
      <c r="R218" s="13">
        <v>56</v>
      </c>
      <c r="S218" s="13">
        <v>47</v>
      </c>
      <c r="Y218" s="13">
        <v>62.7</v>
      </c>
      <c r="Z218" s="13">
        <v>55.6</v>
      </c>
      <c r="AA218" s="13">
        <v>72.099999999999994</v>
      </c>
      <c r="AD218" s="13">
        <v>59.1</v>
      </c>
      <c r="AE218" s="13">
        <v>51.9</v>
      </c>
      <c r="AF218" s="13">
        <v>65.5</v>
      </c>
      <c r="AG218" s="13" t="s">
        <v>639</v>
      </c>
      <c r="BG218" s="13">
        <v>19.62</v>
      </c>
      <c r="BI218" s="13">
        <v>16.12</v>
      </c>
      <c r="BJ218" s="13">
        <v>22.98</v>
      </c>
      <c r="BR218" s="13">
        <v>20.260000000000002</v>
      </c>
      <c r="BT218" s="13">
        <v>15.51</v>
      </c>
      <c r="BU218" s="13">
        <v>24.35</v>
      </c>
      <c r="BX218" s="13">
        <v>0.89200000000000002</v>
      </c>
      <c r="BY218" s="13" t="s">
        <v>3487</v>
      </c>
      <c r="BZ218" s="13" t="s">
        <v>3488</v>
      </c>
      <c r="CA218" s="13">
        <v>2024</v>
      </c>
      <c r="CB218" s="21">
        <v>45896</v>
      </c>
      <c r="CC218" s="13" t="s">
        <v>61</v>
      </c>
      <c r="CD218" s="13">
        <v>14</v>
      </c>
      <c r="CE218" s="13">
        <v>1</v>
      </c>
      <c r="CF218" s="13">
        <v>19796</v>
      </c>
      <c r="CG218" s="13" t="s">
        <v>3234</v>
      </c>
    </row>
    <row r="219" spans="1:85">
      <c r="A219" s="13" t="s">
        <v>3379</v>
      </c>
      <c r="C219" s="13" t="s">
        <v>3308</v>
      </c>
      <c r="D219" s="14" t="s">
        <v>831</v>
      </c>
      <c r="E219" s="13" t="s">
        <v>657</v>
      </c>
      <c r="F219" s="13" t="s">
        <v>3745</v>
      </c>
      <c r="G219" s="13" t="s">
        <v>672</v>
      </c>
      <c r="H219" s="13" t="s">
        <v>3750</v>
      </c>
      <c r="J219" s="14" t="s">
        <v>703</v>
      </c>
      <c r="K219" s="13" t="s">
        <v>4168</v>
      </c>
      <c r="L219" s="13" t="s">
        <v>3747</v>
      </c>
      <c r="M219" s="13" t="s">
        <v>3746</v>
      </c>
      <c r="N219" s="13">
        <v>37</v>
      </c>
      <c r="O219" s="2">
        <f t="shared" si="27"/>
        <v>0.6607142857142857</v>
      </c>
      <c r="P219" s="13">
        <v>28</v>
      </c>
      <c r="Q219" s="17">
        <f t="shared" si="28"/>
        <v>0.5957446808510638</v>
      </c>
      <c r="R219" s="13">
        <v>56</v>
      </c>
      <c r="S219" s="13">
        <v>47</v>
      </c>
      <c r="Y219" s="13">
        <v>62.7</v>
      </c>
      <c r="Z219" s="13">
        <v>55.6</v>
      </c>
      <c r="AA219" s="13">
        <v>72.099999999999994</v>
      </c>
      <c r="AD219" s="13">
        <v>59.1</v>
      </c>
      <c r="AE219" s="13">
        <v>51.9</v>
      </c>
      <c r="AF219" s="13">
        <v>65.5</v>
      </c>
      <c r="AG219" s="13" t="s">
        <v>639</v>
      </c>
      <c r="BG219" s="13">
        <v>1.8</v>
      </c>
      <c r="BI219" s="13">
        <v>1.37</v>
      </c>
      <c r="BJ219" s="13">
        <v>3.34</v>
      </c>
      <c r="BR219" s="13">
        <v>1.32</v>
      </c>
      <c r="BT219" s="13">
        <v>0.71</v>
      </c>
      <c r="BU219" s="13">
        <v>2.04</v>
      </c>
      <c r="BX219" s="13">
        <v>8.0000000000000002E-3</v>
      </c>
      <c r="BY219" s="13" t="s">
        <v>3487</v>
      </c>
      <c r="BZ219" s="13" t="s">
        <v>3488</v>
      </c>
      <c r="CA219" s="13">
        <v>2024</v>
      </c>
      <c r="CB219" s="21">
        <v>45896</v>
      </c>
      <c r="CC219" s="13" t="s">
        <v>61</v>
      </c>
      <c r="CD219" s="13">
        <v>14</v>
      </c>
      <c r="CE219" s="13">
        <v>1</v>
      </c>
      <c r="CF219" s="13">
        <v>19796</v>
      </c>
      <c r="CG219" s="13" t="s">
        <v>3234</v>
      </c>
    </row>
    <row r="220" spans="1:85">
      <c r="A220" s="13" t="s">
        <v>3379</v>
      </c>
      <c r="C220" s="13" t="s">
        <v>3308</v>
      </c>
      <c r="D220" s="14" t="s">
        <v>831</v>
      </c>
      <c r="E220" s="13" t="s">
        <v>657</v>
      </c>
      <c r="F220" s="13" t="s">
        <v>3745</v>
      </c>
      <c r="G220" s="13" t="s">
        <v>672</v>
      </c>
      <c r="H220" s="13" t="s">
        <v>2717</v>
      </c>
      <c r="J220" s="14" t="s">
        <v>703</v>
      </c>
      <c r="K220" s="13" t="s">
        <v>4168</v>
      </c>
      <c r="L220" s="13" t="s">
        <v>3747</v>
      </c>
      <c r="M220" s="13" t="s">
        <v>3746</v>
      </c>
      <c r="N220" s="13">
        <v>37</v>
      </c>
      <c r="O220" s="2">
        <f t="shared" si="27"/>
        <v>0.6607142857142857</v>
      </c>
      <c r="P220" s="13">
        <v>28</v>
      </c>
      <c r="Q220" s="17">
        <f t="shared" si="28"/>
        <v>0.5957446808510638</v>
      </c>
      <c r="R220" s="13">
        <v>56</v>
      </c>
      <c r="S220" s="13">
        <v>47</v>
      </c>
      <c r="Y220" s="13">
        <v>62.7</v>
      </c>
      <c r="Z220" s="13">
        <v>55.6</v>
      </c>
      <c r="AA220" s="13">
        <v>72.099999999999994</v>
      </c>
      <c r="AD220" s="13">
        <v>59.1</v>
      </c>
      <c r="AE220" s="13">
        <v>51.9</v>
      </c>
      <c r="AF220" s="13">
        <v>65.5</v>
      </c>
      <c r="AG220" s="13" t="s">
        <v>639</v>
      </c>
      <c r="BG220" s="13">
        <v>1.18</v>
      </c>
      <c r="BI220" s="13">
        <v>0.52</v>
      </c>
      <c r="BJ220" s="13">
        <v>1.66</v>
      </c>
      <c r="BR220" s="13">
        <v>1.27</v>
      </c>
      <c r="BT220" s="13">
        <v>0.85</v>
      </c>
      <c r="BU220" s="13">
        <v>1.62</v>
      </c>
      <c r="BX220" s="13">
        <v>0.373</v>
      </c>
      <c r="BY220" s="13" t="s">
        <v>3487</v>
      </c>
      <c r="BZ220" s="13" t="s">
        <v>3488</v>
      </c>
      <c r="CA220" s="13">
        <v>2024</v>
      </c>
      <c r="CB220" s="21">
        <v>45896</v>
      </c>
      <c r="CC220" s="13" t="s">
        <v>61</v>
      </c>
      <c r="CD220" s="13">
        <v>14</v>
      </c>
      <c r="CE220" s="13">
        <v>1</v>
      </c>
      <c r="CF220" s="13">
        <v>19796</v>
      </c>
      <c r="CG220" s="13" t="s">
        <v>3234</v>
      </c>
    </row>
    <row r="221" spans="1:85">
      <c r="A221" s="13" t="s">
        <v>3379</v>
      </c>
      <c r="C221" s="13" t="s">
        <v>3308</v>
      </c>
      <c r="D221" s="14" t="s">
        <v>831</v>
      </c>
      <c r="E221" s="13" t="s">
        <v>657</v>
      </c>
      <c r="F221" s="13" t="s">
        <v>3745</v>
      </c>
      <c r="G221" s="13" t="s">
        <v>672</v>
      </c>
      <c r="H221" s="13" t="s">
        <v>3751</v>
      </c>
      <c r="J221" s="14" t="s">
        <v>703</v>
      </c>
      <c r="K221" s="13" t="s">
        <v>4168</v>
      </c>
      <c r="L221" s="13" t="s">
        <v>3747</v>
      </c>
      <c r="M221" s="13" t="s">
        <v>3746</v>
      </c>
      <c r="N221" s="13">
        <v>37</v>
      </c>
      <c r="O221" s="2">
        <f t="shared" si="27"/>
        <v>0.6607142857142857</v>
      </c>
      <c r="P221" s="13">
        <v>28</v>
      </c>
      <c r="Q221" s="17">
        <f t="shared" si="28"/>
        <v>0.5957446808510638</v>
      </c>
      <c r="R221" s="13">
        <v>56</v>
      </c>
      <c r="S221" s="13">
        <v>47</v>
      </c>
      <c r="Y221" s="13">
        <v>62.7</v>
      </c>
      <c r="Z221" s="13">
        <v>55.6</v>
      </c>
      <c r="AA221" s="13">
        <v>72.099999999999994</v>
      </c>
      <c r="AD221" s="13">
        <v>59.1</v>
      </c>
      <c r="AE221" s="13">
        <v>51.9</v>
      </c>
      <c r="AF221" s="13">
        <v>65.5</v>
      </c>
      <c r="AG221" s="13" t="s">
        <v>639</v>
      </c>
      <c r="BG221" s="13">
        <v>0</v>
      </c>
      <c r="BI221" s="13">
        <v>0</v>
      </c>
      <c r="BJ221" s="13">
        <v>0.41</v>
      </c>
      <c r="BR221" s="13">
        <v>0.04</v>
      </c>
      <c r="BT221" s="13">
        <v>0</v>
      </c>
      <c r="BU221" s="13">
        <v>0.42</v>
      </c>
      <c r="BX221" s="13">
        <v>0.73799999999999999</v>
      </c>
      <c r="BY221" s="13" t="s">
        <v>3487</v>
      </c>
      <c r="BZ221" s="13" t="s">
        <v>3488</v>
      </c>
      <c r="CA221" s="13">
        <v>2024</v>
      </c>
      <c r="CB221" s="21">
        <v>45896</v>
      </c>
      <c r="CC221" s="13" t="s">
        <v>61</v>
      </c>
      <c r="CD221" s="13">
        <v>14</v>
      </c>
      <c r="CE221" s="13">
        <v>1</v>
      </c>
      <c r="CF221" s="13">
        <v>19796</v>
      </c>
      <c r="CG221" s="13" t="s">
        <v>3234</v>
      </c>
    </row>
    <row r="222" spans="1:85">
      <c r="A222" s="13" t="s">
        <v>3379</v>
      </c>
      <c r="C222" s="13" t="s">
        <v>3308</v>
      </c>
      <c r="D222" s="14" t="s">
        <v>831</v>
      </c>
      <c r="E222" s="13" t="s">
        <v>657</v>
      </c>
      <c r="F222" s="13" t="s">
        <v>3745</v>
      </c>
      <c r="G222" s="13" t="s">
        <v>672</v>
      </c>
      <c r="H222" s="13" t="s">
        <v>3752</v>
      </c>
      <c r="J222" s="14" t="s">
        <v>703</v>
      </c>
      <c r="K222" s="13" t="s">
        <v>4168</v>
      </c>
      <c r="L222" s="13" t="s">
        <v>3747</v>
      </c>
      <c r="M222" s="13" t="s">
        <v>3746</v>
      </c>
      <c r="N222" s="13">
        <v>37</v>
      </c>
      <c r="O222" s="2">
        <f t="shared" si="27"/>
        <v>0.6607142857142857</v>
      </c>
      <c r="P222" s="13">
        <v>28</v>
      </c>
      <c r="Q222" s="17">
        <f t="shared" si="28"/>
        <v>0.5957446808510638</v>
      </c>
      <c r="R222" s="13">
        <v>56</v>
      </c>
      <c r="S222" s="13">
        <v>47</v>
      </c>
      <c r="Y222" s="13">
        <v>62.7</v>
      </c>
      <c r="Z222" s="13">
        <v>55.6</v>
      </c>
      <c r="AA222" s="13">
        <v>72.099999999999994</v>
      </c>
      <c r="AD222" s="13">
        <v>59.1</v>
      </c>
      <c r="AE222" s="13">
        <v>51.9</v>
      </c>
      <c r="AF222" s="13">
        <v>65.5</v>
      </c>
      <c r="AG222" s="13" t="s">
        <v>639</v>
      </c>
      <c r="BG222" s="13">
        <v>1.99</v>
      </c>
      <c r="BI222" s="13">
        <v>1.04</v>
      </c>
      <c r="BJ222" s="13">
        <v>3.38</v>
      </c>
      <c r="BR222" s="13">
        <v>1.1200000000000001</v>
      </c>
      <c r="BT222" s="13">
        <v>0.8</v>
      </c>
      <c r="BU222" s="13">
        <v>1.79</v>
      </c>
      <c r="BX222" s="13">
        <v>0.01</v>
      </c>
      <c r="BY222" s="13" t="s">
        <v>3487</v>
      </c>
      <c r="BZ222" s="13" t="s">
        <v>3488</v>
      </c>
      <c r="CA222" s="13">
        <v>2024</v>
      </c>
      <c r="CB222" s="21">
        <v>45896</v>
      </c>
      <c r="CC222" s="13" t="s">
        <v>61</v>
      </c>
      <c r="CD222" s="13">
        <v>14</v>
      </c>
      <c r="CE222" s="13">
        <v>1</v>
      </c>
      <c r="CF222" s="13">
        <v>19796</v>
      </c>
      <c r="CG222" s="13" t="s">
        <v>3234</v>
      </c>
    </row>
    <row r="223" spans="1:85">
      <c r="A223" s="13" t="s">
        <v>3379</v>
      </c>
      <c r="C223" s="13" t="s">
        <v>3308</v>
      </c>
      <c r="D223" s="14" t="s">
        <v>831</v>
      </c>
      <c r="E223" s="13" t="s">
        <v>657</v>
      </c>
      <c r="F223" s="13" t="s">
        <v>3745</v>
      </c>
      <c r="G223" s="13" t="s">
        <v>672</v>
      </c>
      <c r="H223" s="13" t="s">
        <v>3753</v>
      </c>
      <c r="J223" s="14" t="s">
        <v>703</v>
      </c>
      <c r="K223" s="13" t="s">
        <v>4168</v>
      </c>
      <c r="L223" s="13" t="s">
        <v>3747</v>
      </c>
      <c r="M223" s="13" t="s">
        <v>3746</v>
      </c>
      <c r="N223" s="13">
        <v>37</v>
      </c>
      <c r="O223" s="2">
        <f t="shared" si="27"/>
        <v>0.6607142857142857</v>
      </c>
      <c r="P223" s="13">
        <v>28</v>
      </c>
      <c r="Q223" s="17">
        <f t="shared" si="28"/>
        <v>0.5957446808510638</v>
      </c>
      <c r="R223" s="13">
        <v>56</v>
      </c>
      <c r="S223" s="13">
        <v>47</v>
      </c>
      <c r="Y223" s="13">
        <v>62.7</v>
      </c>
      <c r="Z223" s="13">
        <v>55.6</v>
      </c>
      <c r="AA223" s="13">
        <v>72.099999999999994</v>
      </c>
      <c r="AD223" s="13">
        <v>59.1</v>
      </c>
      <c r="AE223" s="13">
        <v>51.9</v>
      </c>
      <c r="AF223" s="13">
        <v>65.5</v>
      </c>
      <c r="AG223" s="13" t="s">
        <v>639</v>
      </c>
      <c r="BG223" s="13">
        <v>0.42</v>
      </c>
      <c r="BI223" s="13">
        <v>0</v>
      </c>
      <c r="BJ223" s="13">
        <v>1.06</v>
      </c>
      <c r="BR223" s="13">
        <v>0</v>
      </c>
      <c r="BT223" s="13">
        <v>0</v>
      </c>
      <c r="BU223" s="13">
        <v>0.32</v>
      </c>
      <c r="BX223" s="13">
        <v>6.0000000000000001E-3</v>
      </c>
      <c r="BY223" s="13" t="s">
        <v>3487</v>
      </c>
      <c r="BZ223" s="13" t="s">
        <v>3488</v>
      </c>
      <c r="CA223" s="13">
        <v>2024</v>
      </c>
      <c r="CB223" s="21">
        <v>45896</v>
      </c>
      <c r="CC223" s="13" t="s">
        <v>61</v>
      </c>
      <c r="CD223" s="13">
        <v>14</v>
      </c>
      <c r="CE223" s="13">
        <v>1</v>
      </c>
      <c r="CF223" s="13">
        <v>19796</v>
      </c>
      <c r="CG223" s="13" t="s">
        <v>3234</v>
      </c>
    </row>
    <row r="224" spans="1:85">
      <c r="A224" s="13" t="s">
        <v>3379</v>
      </c>
      <c r="C224" s="13" t="s">
        <v>3308</v>
      </c>
      <c r="D224" s="14" t="s">
        <v>831</v>
      </c>
      <c r="E224" s="13" t="s">
        <v>657</v>
      </c>
      <c r="F224" s="13" t="s">
        <v>3745</v>
      </c>
      <c r="G224" s="13" t="s">
        <v>672</v>
      </c>
      <c r="H224" s="13" t="s">
        <v>3754</v>
      </c>
      <c r="J224" s="14" t="s">
        <v>703</v>
      </c>
      <c r="K224" s="13" t="s">
        <v>4168</v>
      </c>
      <c r="L224" s="13" t="s">
        <v>3747</v>
      </c>
      <c r="M224" s="13" t="s">
        <v>3746</v>
      </c>
      <c r="N224" s="13">
        <v>37</v>
      </c>
      <c r="O224" s="2">
        <f t="shared" si="27"/>
        <v>0.6607142857142857</v>
      </c>
      <c r="P224" s="13">
        <v>28</v>
      </c>
      <c r="Q224" s="17">
        <f t="shared" si="28"/>
        <v>0.5957446808510638</v>
      </c>
      <c r="R224" s="13">
        <v>56</v>
      </c>
      <c r="S224" s="13">
        <v>47</v>
      </c>
      <c r="Y224" s="13">
        <v>62.7</v>
      </c>
      <c r="Z224" s="13">
        <v>55.6</v>
      </c>
      <c r="AA224" s="13">
        <v>72.099999999999994</v>
      </c>
      <c r="AD224" s="13">
        <v>59.1</v>
      </c>
      <c r="AE224" s="13">
        <v>51.9</v>
      </c>
      <c r="AF224" s="13">
        <v>65.5</v>
      </c>
      <c r="AG224" s="13" t="s">
        <v>639</v>
      </c>
      <c r="BG224" s="13">
        <v>18.28</v>
      </c>
      <c r="BI224" s="13">
        <v>10.98</v>
      </c>
      <c r="BJ224" s="13">
        <v>27.62</v>
      </c>
      <c r="BR224" s="13">
        <v>10.14</v>
      </c>
      <c r="BT224" s="13">
        <v>5.18</v>
      </c>
      <c r="BU224" s="13">
        <v>15.24</v>
      </c>
      <c r="BX224" s="13">
        <v>1E-4</v>
      </c>
      <c r="BY224" s="13" t="s">
        <v>3487</v>
      </c>
      <c r="BZ224" s="13" t="s">
        <v>3488</v>
      </c>
      <c r="CA224" s="13">
        <v>2024</v>
      </c>
      <c r="CB224" s="21">
        <v>45896</v>
      </c>
      <c r="CC224" s="13" t="s">
        <v>61</v>
      </c>
      <c r="CD224" s="13">
        <v>14</v>
      </c>
      <c r="CE224" s="13">
        <v>1</v>
      </c>
      <c r="CF224" s="13">
        <v>19796</v>
      </c>
      <c r="CG224" s="13" t="s">
        <v>3234</v>
      </c>
    </row>
    <row r="225" spans="1:85">
      <c r="A225" s="13" t="s">
        <v>3379</v>
      </c>
      <c r="C225" s="13" t="s">
        <v>3308</v>
      </c>
      <c r="D225" s="14" t="s">
        <v>831</v>
      </c>
      <c r="E225" s="13" t="s">
        <v>657</v>
      </c>
      <c r="F225" s="13" t="s">
        <v>3745</v>
      </c>
      <c r="G225" s="13" t="s">
        <v>672</v>
      </c>
      <c r="H225" s="13" t="s">
        <v>3755</v>
      </c>
      <c r="J225" s="14" t="s">
        <v>703</v>
      </c>
      <c r="K225" s="13" t="s">
        <v>4168</v>
      </c>
      <c r="L225" s="13" t="s">
        <v>3747</v>
      </c>
      <c r="M225" s="13" t="s">
        <v>3746</v>
      </c>
      <c r="N225" s="13">
        <v>37</v>
      </c>
      <c r="O225" s="2">
        <f t="shared" si="27"/>
        <v>0.6607142857142857</v>
      </c>
      <c r="P225" s="13">
        <v>28</v>
      </c>
      <c r="Q225" s="17">
        <f t="shared" si="28"/>
        <v>0.5957446808510638</v>
      </c>
      <c r="R225" s="13">
        <v>56</v>
      </c>
      <c r="S225" s="13">
        <v>47</v>
      </c>
      <c r="Y225" s="13">
        <v>62.7</v>
      </c>
      <c r="Z225" s="13">
        <v>55.6</v>
      </c>
      <c r="AA225" s="13">
        <v>72.099999999999994</v>
      </c>
      <c r="AD225" s="13">
        <v>59.1</v>
      </c>
      <c r="AE225" s="13">
        <v>51.9</v>
      </c>
      <c r="AF225" s="13">
        <v>65.5</v>
      </c>
      <c r="AG225" s="13" t="s">
        <v>639</v>
      </c>
      <c r="BG225" s="13">
        <v>2.4700000000000002</v>
      </c>
      <c r="BI225" s="13">
        <v>1.42</v>
      </c>
      <c r="BJ225" s="13">
        <v>4.6900000000000004</v>
      </c>
      <c r="BR225" s="13">
        <v>2.4300000000000002</v>
      </c>
      <c r="BT225" s="13">
        <v>1.64</v>
      </c>
      <c r="BU225" s="13">
        <v>3.63</v>
      </c>
      <c r="BX225" s="13">
        <v>0.61199999999999999</v>
      </c>
      <c r="BY225" s="13" t="s">
        <v>3487</v>
      </c>
      <c r="BZ225" s="13" t="s">
        <v>3488</v>
      </c>
      <c r="CA225" s="13">
        <v>2024</v>
      </c>
      <c r="CB225" s="21">
        <v>45896</v>
      </c>
      <c r="CC225" s="13" t="s">
        <v>61</v>
      </c>
      <c r="CD225" s="13">
        <v>14</v>
      </c>
      <c r="CE225" s="13">
        <v>1</v>
      </c>
      <c r="CF225" s="13">
        <v>19796</v>
      </c>
      <c r="CG225" s="13" t="s">
        <v>3234</v>
      </c>
    </row>
    <row r="226" spans="1:85">
      <c r="A226" s="13" t="s">
        <v>3379</v>
      </c>
      <c r="C226" s="13" t="s">
        <v>3308</v>
      </c>
      <c r="D226" s="14" t="s">
        <v>831</v>
      </c>
      <c r="E226" s="13" t="s">
        <v>657</v>
      </c>
      <c r="F226" s="13" t="s">
        <v>3745</v>
      </c>
      <c r="G226" s="13" t="s">
        <v>672</v>
      </c>
      <c r="H226" s="13" t="s">
        <v>3756</v>
      </c>
      <c r="J226" s="14" t="s">
        <v>703</v>
      </c>
      <c r="K226" s="13" t="s">
        <v>4168</v>
      </c>
      <c r="L226" s="13" t="s">
        <v>3747</v>
      </c>
      <c r="M226" s="13" t="s">
        <v>3746</v>
      </c>
      <c r="N226" s="13">
        <v>37</v>
      </c>
      <c r="O226" s="2">
        <f t="shared" si="27"/>
        <v>0.6607142857142857</v>
      </c>
      <c r="P226" s="13">
        <v>28</v>
      </c>
      <c r="Q226" s="17">
        <f t="shared" si="28"/>
        <v>0.5957446808510638</v>
      </c>
      <c r="R226" s="13">
        <v>56</v>
      </c>
      <c r="S226" s="13">
        <v>47</v>
      </c>
      <c r="Y226" s="13">
        <v>62.7</v>
      </c>
      <c r="Z226" s="13">
        <v>55.6</v>
      </c>
      <c r="AA226" s="13">
        <v>72.099999999999994</v>
      </c>
      <c r="AD226" s="13">
        <v>59.1</v>
      </c>
      <c r="AE226" s="13">
        <v>51.9</v>
      </c>
      <c r="AF226" s="13">
        <v>65.5</v>
      </c>
      <c r="AG226" s="13" t="s">
        <v>639</v>
      </c>
      <c r="BG226" s="13">
        <v>0.46</v>
      </c>
      <c r="BI226" s="13">
        <v>0.33</v>
      </c>
      <c r="BJ226" s="13">
        <v>0.62</v>
      </c>
      <c r="BR226" s="13">
        <v>0.4</v>
      </c>
      <c r="BT226" s="13">
        <v>0.26</v>
      </c>
      <c r="BU226" s="13">
        <v>0.56999999999999995</v>
      </c>
      <c r="BX226" s="13">
        <v>0.21199999999999999</v>
      </c>
      <c r="BY226" s="13" t="s">
        <v>3487</v>
      </c>
      <c r="BZ226" s="13" t="s">
        <v>3488</v>
      </c>
      <c r="CA226" s="13">
        <v>2024</v>
      </c>
      <c r="CB226" s="21">
        <v>45896</v>
      </c>
      <c r="CC226" s="13" t="s">
        <v>61</v>
      </c>
      <c r="CD226" s="13">
        <v>14</v>
      </c>
      <c r="CE226" s="13">
        <v>1</v>
      </c>
      <c r="CF226" s="13">
        <v>19796</v>
      </c>
      <c r="CG226" s="13" t="s">
        <v>3234</v>
      </c>
    </row>
    <row r="227" spans="1:85">
      <c r="A227" s="13" t="s">
        <v>3379</v>
      </c>
      <c r="C227" s="13" t="s">
        <v>3308</v>
      </c>
      <c r="D227" s="14" t="s">
        <v>831</v>
      </c>
      <c r="E227" s="13" t="s">
        <v>657</v>
      </c>
      <c r="F227" s="13" t="s">
        <v>3745</v>
      </c>
      <c r="G227" s="13" t="s">
        <v>672</v>
      </c>
      <c r="H227" s="13" t="s">
        <v>3757</v>
      </c>
      <c r="J227" s="14" t="s">
        <v>703</v>
      </c>
      <c r="K227" s="13" t="s">
        <v>4168</v>
      </c>
      <c r="L227" s="13" t="s">
        <v>3747</v>
      </c>
      <c r="M227" s="13" t="s">
        <v>3746</v>
      </c>
      <c r="N227" s="13">
        <v>37</v>
      </c>
      <c r="O227" s="2">
        <f t="shared" si="27"/>
        <v>0.6607142857142857</v>
      </c>
      <c r="P227" s="13">
        <v>28</v>
      </c>
      <c r="Q227" s="17">
        <f t="shared" si="28"/>
        <v>0.5957446808510638</v>
      </c>
      <c r="R227" s="13">
        <v>56</v>
      </c>
      <c r="S227" s="13">
        <v>47</v>
      </c>
      <c r="Y227" s="13">
        <v>62.7</v>
      </c>
      <c r="Z227" s="13">
        <v>55.6</v>
      </c>
      <c r="AA227" s="13">
        <v>72.099999999999994</v>
      </c>
      <c r="AD227" s="13">
        <v>59.1</v>
      </c>
      <c r="AE227" s="13">
        <v>51.9</v>
      </c>
      <c r="AF227" s="13">
        <v>65.5</v>
      </c>
      <c r="AG227" s="13" t="s">
        <v>639</v>
      </c>
      <c r="BG227" s="13">
        <v>3.03</v>
      </c>
      <c r="BI227" s="13">
        <v>2.5</v>
      </c>
      <c r="BJ227" s="13">
        <v>4.04</v>
      </c>
      <c r="BR227" s="13">
        <v>3.04</v>
      </c>
      <c r="BT227" s="13">
        <v>2.4900000000000002</v>
      </c>
      <c r="BU227" s="13">
        <v>3.68</v>
      </c>
      <c r="BX227" s="13">
        <v>0.58699999999999997</v>
      </c>
      <c r="BY227" s="13" t="s">
        <v>3487</v>
      </c>
      <c r="BZ227" s="13" t="s">
        <v>3488</v>
      </c>
      <c r="CA227" s="13">
        <v>2024</v>
      </c>
      <c r="CB227" s="21">
        <v>45896</v>
      </c>
      <c r="CC227" s="13" t="s">
        <v>61</v>
      </c>
      <c r="CD227" s="13">
        <v>14</v>
      </c>
      <c r="CE227" s="13">
        <v>1</v>
      </c>
      <c r="CF227" s="13">
        <v>19796</v>
      </c>
      <c r="CG227" s="13" t="s">
        <v>3234</v>
      </c>
    </row>
    <row r="228" spans="1:85">
      <c r="A228" s="13" t="s">
        <v>3379</v>
      </c>
      <c r="C228" s="13" t="s">
        <v>3308</v>
      </c>
      <c r="D228" s="14" t="s">
        <v>831</v>
      </c>
      <c r="E228" s="13" t="s">
        <v>657</v>
      </c>
      <c r="F228" s="13" t="s">
        <v>3745</v>
      </c>
      <c r="G228" s="13" t="s">
        <v>672</v>
      </c>
      <c r="H228" s="13" t="s">
        <v>3758</v>
      </c>
      <c r="J228" s="14" t="s">
        <v>703</v>
      </c>
      <c r="K228" s="13" t="s">
        <v>4168</v>
      </c>
      <c r="L228" s="13" t="s">
        <v>3747</v>
      </c>
      <c r="M228" s="13" t="s">
        <v>3746</v>
      </c>
      <c r="N228" s="13">
        <v>37</v>
      </c>
      <c r="O228" s="2">
        <f t="shared" si="27"/>
        <v>0.6607142857142857</v>
      </c>
      <c r="P228" s="13">
        <v>28</v>
      </c>
      <c r="Q228" s="17">
        <f t="shared" si="28"/>
        <v>0.5957446808510638</v>
      </c>
      <c r="R228" s="13">
        <v>56</v>
      </c>
      <c r="S228" s="13">
        <v>47</v>
      </c>
      <c r="Y228" s="13">
        <v>62.7</v>
      </c>
      <c r="Z228" s="13">
        <v>55.6</v>
      </c>
      <c r="AA228" s="13">
        <v>72.099999999999994</v>
      </c>
      <c r="AD228" s="13">
        <v>59.1</v>
      </c>
      <c r="AE228" s="13">
        <v>51.9</v>
      </c>
      <c r="AF228" s="13">
        <v>65.5</v>
      </c>
      <c r="AG228" s="13" t="s">
        <v>639</v>
      </c>
      <c r="BG228" s="13">
        <v>1.35</v>
      </c>
      <c r="BI228" s="13">
        <v>5.0000000000000001E-3</v>
      </c>
      <c r="BJ228" s="13">
        <v>2.84</v>
      </c>
      <c r="BR228" s="13">
        <v>1.55</v>
      </c>
      <c r="BT228" s="13">
        <v>0.16</v>
      </c>
      <c r="BU228" s="13">
        <v>2.99</v>
      </c>
      <c r="BX228" s="13">
        <v>0.83899999999999997</v>
      </c>
      <c r="BY228" s="13" t="s">
        <v>3487</v>
      </c>
      <c r="BZ228" s="13" t="s">
        <v>3488</v>
      </c>
      <c r="CA228" s="13">
        <v>2024</v>
      </c>
      <c r="CB228" s="21">
        <v>45896</v>
      </c>
      <c r="CC228" s="13" t="s">
        <v>61</v>
      </c>
      <c r="CD228" s="13">
        <v>14</v>
      </c>
      <c r="CE228" s="13">
        <v>1</v>
      </c>
      <c r="CF228" s="13">
        <v>19796</v>
      </c>
      <c r="CG228" s="13" t="s">
        <v>3234</v>
      </c>
    </row>
    <row r="229" spans="1:85">
      <c r="A229" s="13" t="s">
        <v>3379</v>
      </c>
      <c r="C229" s="13" t="s">
        <v>3308</v>
      </c>
      <c r="D229" s="14" t="s">
        <v>831</v>
      </c>
      <c r="E229" s="13" t="s">
        <v>657</v>
      </c>
      <c r="F229" s="13" t="s">
        <v>3745</v>
      </c>
      <c r="G229" s="13" t="s">
        <v>672</v>
      </c>
      <c r="H229" s="13" t="s">
        <v>3759</v>
      </c>
      <c r="J229" s="14" t="s">
        <v>703</v>
      </c>
      <c r="K229" s="13" t="s">
        <v>4168</v>
      </c>
      <c r="L229" s="13" t="s">
        <v>3747</v>
      </c>
      <c r="M229" s="13" t="s">
        <v>3746</v>
      </c>
      <c r="N229" s="13">
        <v>37</v>
      </c>
      <c r="O229" s="2">
        <f t="shared" si="27"/>
        <v>0.6607142857142857</v>
      </c>
      <c r="P229" s="13">
        <v>28</v>
      </c>
      <c r="Q229" s="17">
        <f t="shared" si="28"/>
        <v>0.5957446808510638</v>
      </c>
      <c r="R229" s="13">
        <v>56</v>
      </c>
      <c r="S229" s="13">
        <v>47</v>
      </c>
      <c r="Y229" s="13">
        <v>62.7</v>
      </c>
      <c r="Z229" s="13">
        <v>55.6</v>
      </c>
      <c r="AA229" s="13">
        <v>72.099999999999994</v>
      </c>
      <c r="AD229" s="13">
        <v>59.1</v>
      </c>
      <c r="AE229" s="13">
        <v>51.9</v>
      </c>
      <c r="AF229" s="13">
        <v>65.5</v>
      </c>
      <c r="AG229" s="13" t="s">
        <v>639</v>
      </c>
      <c r="BG229" s="13">
        <v>0.88</v>
      </c>
      <c r="BI229" s="13">
        <v>0.61</v>
      </c>
      <c r="BJ229" s="13">
        <v>1.23</v>
      </c>
      <c r="BR229" s="13">
        <v>0.94</v>
      </c>
      <c r="BT229" s="13">
        <v>0.62</v>
      </c>
      <c r="BU229" s="13">
        <v>1.23</v>
      </c>
      <c r="BX229" s="13">
        <v>0.85</v>
      </c>
      <c r="BY229" s="13" t="s">
        <v>3487</v>
      </c>
      <c r="BZ229" s="13" t="s">
        <v>3488</v>
      </c>
      <c r="CA229" s="13">
        <v>2024</v>
      </c>
      <c r="CB229" s="21">
        <v>45896</v>
      </c>
      <c r="CC229" s="13" t="s">
        <v>61</v>
      </c>
      <c r="CD229" s="13">
        <v>14</v>
      </c>
      <c r="CE229" s="13">
        <v>1</v>
      </c>
      <c r="CF229" s="13">
        <v>19796</v>
      </c>
      <c r="CG229" s="13" t="s">
        <v>3234</v>
      </c>
    </row>
    <row r="230" spans="1:85">
      <c r="A230" s="13" t="s">
        <v>1689</v>
      </c>
      <c r="B230" s="13" t="s">
        <v>1809</v>
      </c>
      <c r="C230" s="13" t="s">
        <v>192</v>
      </c>
      <c r="D230" s="13" t="s">
        <v>820</v>
      </c>
      <c r="E230" s="13" t="s">
        <v>630</v>
      </c>
      <c r="F230" s="13" t="s">
        <v>764</v>
      </c>
      <c r="G230" s="13" t="s">
        <v>672</v>
      </c>
      <c r="H230" s="13" t="s">
        <v>686</v>
      </c>
      <c r="J230" s="13" t="s">
        <v>703</v>
      </c>
      <c r="K230" s="14" t="s">
        <v>3111</v>
      </c>
      <c r="L230" s="13" t="s">
        <v>585</v>
      </c>
      <c r="N230" s="13">
        <v>19</v>
      </c>
      <c r="O230" s="2">
        <f t="shared" si="27"/>
        <v>0.59375</v>
      </c>
      <c r="P230" s="13">
        <v>7</v>
      </c>
      <c r="Q230" s="17">
        <f t="shared" si="28"/>
        <v>0.3888888888888889</v>
      </c>
      <c r="R230" s="13">
        <v>32</v>
      </c>
      <c r="S230" s="13">
        <v>18</v>
      </c>
      <c r="W230" s="13">
        <v>65.7</v>
      </c>
      <c r="X230" s="13">
        <v>10.8</v>
      </c>
      <c r="AD230" s="13">
        <v>38.5</v>
      </c>
      <c r="AE230" s="13">
        <v>22.7</v>
      </c>
      <c r="AF230" s="13">
        <v>54</v>
      </c>
      <c r="AG230" s="13" t="s">
        <v>639</v>
      </c>
      <c r="AH230" s="13">
        <v>652</v>
      </c>
      <c r="AJ230" s="13">
        <v>87.5</v>
      </c>
      <c r="AM230" s="13">
        <v>100</v>
      </c>
      <c r="AP230" s="13">
        <v>0.93899999999999995</v>
      </c>
      <c r="BB230" s="13">
        <v>3107</v>
      </c>
      <c r="BM230" s="13">
        <v>223</v>
      </c>
      <c r="BX230" s="13" t="s">
        <v>701</v>
      </c>
      <c r="BY230" s="13" t="s">
        <v>186</v>
      </c>
      <c r="BZ230" s="13" t="s">
        <v>187</v>
      </c>
      <c r="CA230" s="13">
        <v>2021</v>
      </c>
      <c r="CB230" s="13" t="s">
        <v>188</v>
      </c>
      <c r="CC230" s="13" t="s">
        <v>189</v>
      </c>
      <c r="CD230" s="13">
        <v>25</v>
      </c>
      <c r="CE230" s="13">
        <v>8</v>
      </c>
      <c r="CF230" s="13" t="s">
        <v>190</v>
      </c>
      <c r="CG230" s="13" t="s">
        <v>191</v>
      </c>
    </row>
    <row r="231" spans="1:85">
      <c r="A231" s="13" t="s">
        <v>1689</v>
      </c>
      <c r="B231" s="13" t="s">
        <v>1809</v>
      </c>
      <c r="C231" s="13" t="s">
        <v>192</v>
      </c>
      <c r="D231" s="13" t="s">
        <v>820</v>
      </c>
      <c r="E231" s="13" t="s">
        <v>657</v>
      </c>
      <c r="F231" s="13" t="s">
        <v>765</v>
      </c>
      <c r="G231" s="13" t="s">
        <v>672</v>
      </c>
      <c r="H231" s="13" t="s">
        <v>686</v>
      </c>
      <c r="J231" s="13" t="s">
        <v>703</v>
      </c>
      <c r="K231" s="14" t="s">
        <v>3111</v>
      </c>
      <c r="L231" s="13" t="s">
        <v>585</v>
      </c>
      <c r="N231" s="13">
        <v>19</v>
      </c>
      <c r="O231" s="2">
        <f t="shared" si="27"/>
        <v>0.59375</v>
      </c>
      <c r="P231" s="13">
        <v>44</v>
      </c>
      <c r="Q231" s="17">
        <f t="shared" si="28"/>
        <v>0.55696202531645567</v>
      </c>
      <c r="R231" s="13">
        <v>32</v>
      </c>
      <c r="S231" s="13">
        <v>79</v>
      </c>
      <c r="W231" s="13">
        <v>65.7</v>
      </c>
      <c r="X231" s="13">
        <v>10.8</v>
      </c>
      <c r="AG231" s="13" t="s">
        <v>639</v>
      </c>
      <c r="AH231" s="13">
        <v>1069</v>
      </c>
      <c r="AJ231" s="13">
        <v>87.3</v>
      </c>
      <c r="AM231" s="13">
        <v>84.4</v>
      </c>
      <c r="AP231" s="13">
        <v>0.86699999999999999</v>
      </c>
      <c r="BB231" s="13">
        <v>3107</v>
      </c>
      <c r="BM231" s="13">
        <v>917</v>
      </c>
      <c r="BX231" s="13" t="s">
        <v>701</v>
      </c>
      <c r="BY231" s="13" t="s">
        <v>186</v>
      </c>
      <c r="BZ231" s="13" t="s">
        <v>187</v>
      </c>
      <c r="CA231" s="13">
        <v>2021</v>
      </c>
      <c r="CB231" s="13" t="s">
        <v>188</v>
      </c>
      <c r="CC231" s="13" t="s">
        <v>189</v>
      </c>
      <c r="CD231" s="13">
        <v>25</v>
      </c>
      <c r="CE231" s="13">
        <v>8</v>
      </c>
      <c r="CF231" s="13" t="s">
        <v>190</v>
      </c>
      <c r="CG231" s="13" t="s">
        <v>191</v>
      </c>
    </row>
    <row r="232" spans="1:85">
      <c r="A232" s="13" t="s">
        <v>1689</v>
      </c>
      <c r="B232" s="13" t="s">
        <v>1809</v>
      </c>
      <c r="C232" s="13" t="s">
        <v>192</v>
      </c>
      <c r="D232" s="13" t="s">
        <v>820</v>
      </c>
      <c r="E232" s="13" t="s">
        <v>630</v>
      </c>
      <c r="F232" s="13" t="s">
        <v>764</v>
      </c>
      <c r="G232" s="13" t="s">
        <v>672</v>
      </c>
      <c r="H232" s="13" t="s">
        <v>675</v>
      </c>
      <c r="J232" s="13" t="s">
        <v>703</v>
      </c>
      <c r="K232" s="14" t="s">
        <v>3111</v>
      </c>
      <c r="L232" s="13" t="s">
        <v>585</v>
      </c>
      <c r="N232" s="13">
        <v>19</v>
      </c>
      <c r="O232" s="2">
        <f t="shared" si="27"/>
        <v>0.59375</v>
      </c>
      <c r="P232" s="13">
        <v>7</v>
      </c>
      <c r="Q232" s="17">
        <f t="shared" si="28"/>
        <v>0.3888888888888889</v>
      </c>
      <c r="R232" s="13">
        <v>32</v>
      </c>
      <c r="S232" s="13">
        <v>18</v>
      </c>
      <c r="W232" s="13">
        <v>65.7</v>
      </c>
      <c r="X232" s="13">
        <v>10.8</v>
      </c>
      <c r="AD232" s="13">
        <v>38.5</v>
      </c>
      <c r="AE232" s="13">
        <v>22.7</v>
      </c>
      <c r="AF232" s="13">
        <v>54</v>
      </c>
      <c r="AG232" s="13" t="s">
        <v>639</v>
      </c>
      <c r="AH232" s="13">
        <v>1261</v>
      </c>
      <c r="AJ232" s="13">
        <v>93.75</v>
      </c>
      <c r="AM232" s="13">
        <v>100</v>
      </c>
      <c r="AP232" s="13">
        <v>0.995</v>
      </c>
      <c r="BB232" s="13">
        <v>4333.6000000000004</v>
      </c>
      <c r="BM232" s="13">
        <v>272.5</v>
      </c>
      <c r="BX232" s="13" t="s">
        <v>701</v>
      </c>
      <c r="BY232" s="13" t="s">
        <v>186</v>
      </c>
      <c r="BZ232" s="13" t="s">
        <v>187</v>
      </c>
      <c r="CA232" s="13">
        <v>2021</v>
      </c>
      <c r="CB232" s="13" t="s">
        <v>188</v>
      </c>
      <c r="CC232" s="13" t="s">
        <v>189</v>
      </c>
      <c r="CD232" s="13">
        <v>25</v>
      </c>
      <c r="CE232" s="13">
        <v>8</v>
      </c>
      <c r="CF232" s="13" t="s">
        <v>190</v>
      </c>
      <c r="CG232" s="13" t="s">
        <v>191</v>
      </c>
    </row>
    <row r="233" spans="1:85">
      <c r="A233" s="13" t="s">
        <v>1689</v>
      </c>
      <c r="B233" s="13" t="s">
        <v>1809</v>
      </c>
      <c r="C233" s="13" t="s">
        <v>192</v>
      </c>
      <c r="D233" s="13" t="s">
        <v>820</v>
      </c>
      <c r="E233" s="13" t="s">
        <v>657</v>
      </c>
      <c r="F233" s="13" t="s">
        <v>765</v>
      </c>
      <c r="G233" s="13" t="s">
        <v>672</v>
      </c>
      <c r="H233" s="13" t="s">
        <v>675</v>
      </c>
      <c r="J233" s="13" t="s">
        <v>703</v>
      </c>
      <c r="K233" s="14" t="s">
        <v>3111</v>
      </c>
      <c r="L233" s="13" t="s">
        <v>585</v>
      </c>
      <c r="N233" s="13">
        <v>19</v>
      </c>
      <c r="O233" s="2">
        <f t="shared" si="27"/>
        <v>0.59375</v>
      </c>
      <c r="P233" s="13">
        <v>44</v>
      </c>
      <c r="Q233" s="17">
        <f t="shared" si="28"/>
        <v>0.55696202531645567</v>
      </c>
      <c r="R233" s="13">
        <v>32</v>
      </c>
      <c r="S233" s="13">
        <v>79</v>
      </c>
      <c r="W233" s="13">
        <v>65.7</v>
      </c>
      <c r="X233" s="13">
        <v>10.8</v>
      </c>
      <c r="AG233" s="13" t="s">
        <v>639</v>
      </c>
      <c r="AH233" s="13">
        <v>1069</v>
      </c>
      <c r="AJ233" s="13">
        <v>64.599999999999994</v>
      </c>
      <c r="AM233" s="13">
        <v>90.6</v>
      </c>
      <c r="AP233" s="13">
        <v>0.85299999999999998</v>
      </c>
      <c r="BB233" s="13">
        <v>4333.6000000000004</v>
      </c>
      <c r="BM233" s="13">
        <v>1908.2</v>
      </c>
      <c r="BX233" s="13" t="s">
        <v>701</v>
      </c>
      <c r="BY233" s="13" t="s">
        <v>186</v>
      </c>
      <c r="BZ233" s="13" t="s">
        <v>187</v>
      </c>
      <c r="CA233" s="13">
        <v>2021</v>
      </c>
      <c r="CB233" s="13" t="s">
        <v>188</v>
      </c>
      <c r="CC233" s="13" t="s">
        <v>189</v>
      </c>
      <c r="CD233" s="13">
        <v>25</v>
      </c>
      <c r="CE233" s="13">
        <v>8</v>
      </c>
      <c r="CF233" s="13" t="s">
        <v>190</v>
      </c>
      <c r="CG233" s="13" t="s">
        <v>191</v>
      </c>
    </row>
    <row r="234" spans="1:85">
      <c r="A234" s="13" t="s">
        <v>3380</v>
      </c>
      <c r="B234" s="16"/>
      <c r="C234" s="13" t="s">
        <v>3309</v>
      </c>
      <c r="D234" s="14" t="s">
        <v>2039</v>
      </c>
      <c r="E234" s="13" t="s">
        <v>657</v>
      </c>
      <c r="F234" s="13" t="s">
        <v>3760</v>
      </c>
      <c r="G234" s="13" t="s">
        <v>672</v>
      </c>
      <c r="H234" s="13" t="s">
        <v>675</v>
      </c>
      <c r="J234" s="14" t="s">
        <v>3761</v>
      </c>
      <c r="K234" s="13" t="s">
        <v>3762</v>
      </c>
      <c r="L234" s="13" t="s">
        <v>585</v>
      </c>
      <c r="N234" s="13">
        <v>124</v>
      </c>
      <c r="O234" s="2">
        <f t="shared" si="27"/>
        <v>0.59047619047619049</v>
      </c>
      <c r="P234" s="13">
        <v>106</v>
      </c>
      <c r="Q234" s="17">
        <f t="shared" si="28"/>
        <v>0.48623853211009177</v>
      </c>
      <c r="R234" s="13">
        <v>210</v>
      </c>
      <c r="S234" s="13">
        <v>218</v>
      </c>
      <c r="V234" s="13">
        <v>34</v>
      </c>
      <c r="Y234" s="13">
        <v>62</v>
      </c>
      <c r="Z234" s="13">
        <v>55</v>
      </c>
      <c r="AA234" s="13">
        <v>69</v>
      </c>
      <c r="AD234" s="13">
        <v>69</v>
      </c>
      <c r="AE234" s="13">
        <v>52</v>
      </c>
      <c r="AF234" s="13">
        <v>76</v>
      </c>
      <c r="AG234" s="13" t="s">
        <v>639</v>
      </c>
      <c r="AH234" s="13">
        <v>2079</v>
      </c>
      <c r="AI234" s="13" t="s">
        <v>3766</v>
      </c>
      <c r="AJ234" s="13">
        <v>80</v>
      </c>
      <c r="AK234" s="13">
        <v>73.599999999999994</v>
      </c>
      <c r="AL234" s="13">
        <v>85.2</v>
      </c>
      <c r="AM234" s="13">
        <v>84.3</v>
      </c>
      <c r="AN234" s="13">
        <v>78.599999999999994</v>
      </c>
      <c r="AO234" s="13">
        <v>88.6</v>
      </c>
      <c r="AP234" s="13">
        <v>0.89900000000000002</v>
      </c>
      <c r="AR234" s="13">
        <v>0.86799999999999999</v>
      </c>
      <c r="AS234" s="13">
        <v>0.92900000000000005</v>
      </c>
      <c r="BG234" s="13">
        <v>5620</v>
      </c>
      <c r="BI234" s="13">
        <v>2564</v>
      </c>
      <c r="BJ234" s="13">
        <v>10711</v>
      </c>
      <c r="BR234" s="13">
        <v>833.7</v>
      </c>
      <c r="BT234" s="13">
        <v>480</v>
      </c>
      <c r="BU234" s="13">
        <v>1399</v>
      </c>
      <c r="BX234" s="13" t="s">
        <v>701</v>
      </c>
      <c r="BY234" s="13" t="s">
        <v>3489</v>
      </c>
      <c r="BZ234" s="13" t="s">
        <v>3490</v>
      </c>
      <c r="CA234" s="13">
        <v>2024</v>
      </c>
      <c r="CB234" s="13" t="s">
        <v>162</v>
      </c>
      <c r="CC234" s="13" t="s">
        <v>13</v>
      </c>
      <c r="CD234" s="13">
        <v>271</v>
      </c>
      <c r="CE234" s="13">
        <v>12</v>
      </c>
      <c r="CF234" s="13" t="s">
        <v>3491</v>
      </c>
      <c r="CG234" s="13" t="s">
        <v>3235</v>
      </c>
    </row>
    <row r="235" spans="1:85">
      <c r="A235" s="13" t="s">
        <v>3380</v>
      </c>
      <c r="B235" s="16"/>
      <c r="C235" s="13" t="s">
        <v>3309</v>
      </c>
      <c r="D235" s="14" t="s">
        <v>2039</v>
      </c>
      <c r="E235" s="13" t="s">
        <v>657</v>
      </c>
      <c r="F235" s="13" t="s">
        <v>3760</v>
      </c>
      <c r="G235" s="13" t="s">
        <v>672</v>
      </c>
      <c r="H235" s="13" t="s">
        <v>680</v>
      </c>
      <c r="J235" s="14" t="s">
        <v>3761</v>
      </c>
      <c r="K235" s="13" t="s">
        <v>3762</v>
      </c>
      <c r="L235" s="13" t="s">
        <v>585</v>
      </c>
      <c r="N235" s="13">
        <v>124</v>
      </c>
      <c r="O235" s="2">
        <f t="shared" si="27"/>
        <v>0.59047619047619049</v>
      </c>
      <c r="P235" s="13">
        <v>106</v>
      </c>
      <c r="Q235" s="17">
        <f t="shared" si="28"/>
        <v>0.48623853211009177</v>
      </c>
      <c r="R235" s="13">
        <v>210</v>
      </c>
      <c r="S235" s="13">
        <v>218</v>
      </c>
      <c r="V235" s="13">
        <v>34</v>
      </c>
      <c r="Y235" s="13">
        <v>62</v>
      </c>
      <c r="Z235" s="13">
        <v>55</v>
      </c>
      <c r="AA235" s="13">
        <v>69</v>
      </c>
      <c r="AD235" s="13">
        <v>69</v>
      </c>
      <c r="AE235" s="13">
        <v>52</v>
      </c>
      <c r="AF235" s="13">
        <v>76</v>
      </c>
      <c r="AG235" s="13" t="s">
        <v>639</v>
      </c>
      <c r="AH235" s="13">
        <v>1564</v>
      </c>
      <c r="AI235" s="13" t="s">
        <v>3766</v>
      </c>
      <c r="AJ235" s="13">
        <v>46.8</v>
      </c>
      <c r="AK235" s="13">
        <v>37.1</v>
      </c>
      <c r="AL235" s="13">
        <v>56.8</v>
      </c>
      <c r="AM235" s="13">
        <v>90.2</v>
      </c>
      <c r="AN235" s="13">
        <v>83.9</v>
      </c>
      <c r="AO235" s="13">
        <v>94.2</v>
      </c>
      <c r="AP235" s="13">
        <v>0.68799999999999994</v>
      </c>
      <c r="AR235" s="13">
        <v>0.61499999999999999</v>
      </c>
      <c r="AS235" s="13">
        <v>0.76200000000000001</v>
      </c>
      <c r="BG235" s="13">
        <v>1040</v>
      </c>
      <c r="BI235" s="13">
        <v>390</v>
      </c>
      <c r="BJ235" s="13">
        <v>3930</v>
      </c>
      <c r="BR235" s="13">
        <v>390</v>
      </c>
      <c r="BT235" s="13">
        <v>390</v>
      </c>
      <c r="BU235" s="13">
        <v>390</v>
      </c>
      <c r="BX235" s="13" t="s">
        <v>701</v>
      </c>
      <c r="BY235" s="13" t="s">
        <v>3489</v>
      </c>
      <c r="BZ235" s="13" t="s">
        <v>3490</v>
      </c>
      <c r="CA235" s="13">
        <v>2024</v>
      </c>
      <c r="CB235" s="13" t="s">
        <v>162</v>
      </c>
      <c r="CC235" s="13" t="s">
        <v>13</v>
      </c>
      <c r="CD235" s="13">
        <v>271</v>
      </c>
      <c r="CE235" s="13">
        <v>12</v>
      </c>
      <c r="CF235" s="13" t="s">
        <v>3491</v>
      </c>
      <c r="CG235" s="13" t="s">
        <v>3235</v>
      </c>
    </row>
    <row r="236" spans="1:85">
      <c r="A236" s="13" t="s">
        <v>3380</v>
      </c>
      <c r="B236" s="16"/>
      <c r="C236" s="13" t="s">
        <v>3309</v>
      </c>
      <c r="D236" s="14" t="s">
        <v>2039</v>
      </c>
      <c r="E236" s="13" t="s">
        <v>657</v>
      </c>
      <c r="F236" s="13" t="s">
        <v>3760</v>
      </c>
      <c r="G236" s="13" t="s">
        <v>672</v>
      </c>
      <c r="H236" s="13" t="s">
        <v>3763</v>
      </c>
      <c r="J236" s="14" t="s">
        <v>3761</v>
      </c>
      <c r="K236" s="13" t="s">
        <v>3762</v>
      </c>
      <c r="L236" s="13" t="s">
        <v>778</v>
      </c>
      <c r="N236" s="13">
        <v>124</v>
      </c>
      <c r="O236" s="2">
        <f t="shared" si="27"/>
        <v>0.59047619047619049</v>
      </c>
      <c r="P236" s="13">
        <v>106</v>
      </c>
      <c r="Q236" s="17">
        <f t="shared" si="28"/>
        <v>0.48623853211009177</v>
      </c>
      <c r="R236" s="13">
        <v>210</v>
      </c>
      <c r="S236" s="13">
        <v>218</v>
      </c>
      <c r="V236" s="13">
        <v>34</v>
      </c>
      <c r="Y236" s="13">
        <v>62</v>
      </c>
      <c r="Z236" s="13">
        <v>55</v>
      </c>
      <c r="AA236" s="13">
        <v>69</v>
      </c>
      <c r="AD236" s="13">
        <v>69</v>
      </c>
      <c r="AE236" s="13">
        <v>52</v>
      </c>
      <c r="AF236" s="13">
        <v>76</v>
      </c>
      <c r="AG236" s="13" t="s">
        <v>3764</v>
      </c>
      <c r="AH236" s="13">
        <v>0.42399999999999999</v>
      </c>
      <c r="AI236" s="13" t="s">
        <v>3766</v>
      </c>
      <c r="AJ236" s="13">
        <v>80</v>
      </c>
      <c r="AK236" s="13">
        <v>73.599999999999994</v>
      </c>
      <c r="AL236" s="13">
        <v>85.2</v>
      </c>
      <c r="AM236" s="13">
        <v>84.3</v>
      </c>
      <c r="AN236" s="13">
        <v>78.599999999999994</v>
      </c>
      <c r="AO236" s="13">
        <v>88.6</v>
      </c>
      <c r="AP236" s="13">
        <v>0.89900000000000002</v>
      </c>
      <c r="AR236" s="13">
        <v>0.86799999999999999</v>
      </c>
      <c r="AS236" s="13">
        <v>0.92900000000000005</v>
      </c>
      <c r="BG236" s="13">
        <v>5620</v>
      </c>
      <c r="BI236" s="13">
        <v>2564</v>
      </c>
      <c r="BJ236" s="13">
        <v>10711</v>
      </c>
      <c r="BR236" s="13">
        <v>833.7</v>
      </c>
      <c r="BT236" s="13">
        <v>480</v>
      </c>
      <c r="BU236" s="13">
        <v>1399</v>
      </c>
      <c r="BX236" s="13" t="s">
        <v>701</v>
      </c>
      <c r="BY236" s="13" t="s">
        <v>3489</v>
      </c>
      <c r="BZ236" s="13" t="s">
        <v>3490</v>
      </c>
      <c r="CA236" s="13">
        <v>2024</v>
      </c>
      <c r="CB236" s="13" t="s">
        <v>162</v>
      </c>
      <c r="CC236" s="13" t="s">
        <v>13</v>
      </c>
      <c r="CD236" s="13">
        <v>271</v>
      </c>
      <c r="CE236" s="13">
        <v>12</v>
      </c>
      <c r="CF236" s="13" t="s">
        <v>3491</v>
      </c>
      <c r="CG236" s="13" t="s">
        <v>3235</v>
      </c>
    </row>
    <row r="237" spans="1:85">
      <c r="A237" s="13" t="s">
        <v>3380</v>
      </c>
      <c r="B237" s="16"/>
      <c r="C237" s="13" t="s">
        <v>3309</v>
      </c>
      <c r="D237" s="14" t="s">
        <v>2039</v>
      </c>
      <c r="E237" s="13" t="s">
        <v>657</v>
      </c>
      <c r="F237" s="13" t="s">
        <v>3760</v>
      </c>
      <c r="G237" s="13" t="s">
        <v>672</v>
      </c>
      <c r="H237" s="13" t="s">
        <v>684</v>
      </c>
      <c r="I237" s="13" t="s">
        <v>3767</v>
      </c>
      <c r="J237" s="14" t="s">
        <v>3761</v>
      </c>
      <c r="K237" s="13" t="s">
        <v>3762</v>
      </c>
      <c r="L237" s="13" t="s">
        <v>778</v>
      </c>
      <c r="N237" s="13">
        <v>124</v>
      </c>
      <c r="O237" s="2">
        <f t="shared" si="27"/>
        <v>0.59047619047619049</v>
      </c>
      <c r="P237" s="13">
        <v>106</v>
      </c>
      <c r="Q237" s="17">
        <f t="shared" si="28"/>
        <v>0.48623853211009177</v>
      </c>
      <c r="R237" s="13">
        <v>210</v>
      </c>
      <c r="S237" s="13">
        <v>218</v>
      </c>
      <c r="V237" s="13">
        <v>34</v>
      </c>
      <c r="Y237" s="13">
        <v>62</v>
      </c>
      <c r="Z237" s="13">
        <v>55</v>
      </c>
      <c r="AA237" s="13">
        <v>69</v>
      </c>
      <c r="AD237" s="13">
        <v>69</v>
      </c>
      <c r="AE237" s="13">
        <v>52</v>
      </c>
      <c r="AF237" s="13">
        <v>76</v>
      </c>
      <c r="AG237" s="13" t="s">
        <v>3764</v>
      </c>
      <c r="AP237" s="13">
        <v>0.82899999999999996</v>
      </c>
      <c r="AR237" s="13">
        <v>0.76100000000000001</v>
      </c>
      <c r="AS237" s="13">
        <v>0.89800000000000002</v>
      </c>
      <c r="BY237" s="13" t="s">
        <v>3489</v>
      </c>
      <c r="BZ237" s="13" t="s">
        <v>3490</v>
      </c>
      <c r="CA237" s="13">
        <v>2024</v>
      </c>
      <c r="CB237" s="13" t="s">
        <v>162</v>
      </c>
      <c r="CC237" s="13" t="s">
        <v>13</v>
      </c>
      <c r="CD237" s="13">
        <v>271</v>
      </c>
      <c r="CE237" s="13">
        <v>12</v>
      </c>
      <c r="CF237" s="13" t="s">
        <v>3491</v>
      </c>
      <c r="CG237" s="13" t="s">
        <v>3235</v>
      </c>
    </row>
    <row r="238" spans="1:85">
      <c r="A238" s="13" t="s">
        <v>3381</v>
      </c>
      <c r="C238" s="13" t="s">
        <v>3310</v>
      </c>
      <c r="D238" s="16" t="s">
        <v>4179</v>
      </c>
      <c r="H238" s="13" t="s">
        <v>4177</v>
      </c>
      <c r="J238" s="14"/>
      <c r="BY238" s="13" t="s">
        <v>3492</v>
      </c>
      <c r="BZ238" s="13" t="s">
        <v>3493</v>
      </c>
      <c r="CA238" s="13">
        <v>2025</v>
      </c>
      <c r="CB238" s="13" t="s">
        <v>253</v>
      </c>
      <c r="CC238" s="13" t="s">
        <v>471</v>
      </c>
      <c r="CD238" s="13">
        <v>249</v>
      </c>
      <c r="CF238" s="13">
        <v>108691</v>
      </c>
      <c r="CG238" s="13" t="s">
        <v>3236</v>
      </c>
    </row>
    <row r="239" spans="1:85">
      <c r="A239" s="13" t="s">
        <v>1690</v>
      </c>
      <c r="B239" s="13" t="s">
        <v>1812</v>
      </c>
      <c r="C239" s="13" t="s">
        <v>796</v>
      </c>
      <c r="D239" s="13" t="s">
        <v>820</v>
      </c>
      <c r="E239" s="13" t="s">
        <v>657</v>
      </c>
      <c r="F239" s="13" t="s">
        <v>766</v>
      </c>
      <c r="G239" s="13" t="s">
        <v>672</v>
      </c>
      <c r="H239" s="13" t="s">
        <v>680</v>
      </c>
      <c r="J239" s="13" t="s">
        <v>739</v>
      </c>
      <c r="K239" s="14" t="s">
        <v>4047</v>
      </c>
      <c r="L239" s="13" t="s">
        <v>585</v>
      </c>
      <c r="N239" s="13">
        <v>60</v>
      </c>
      <c r="O239" s="2">
        <f t="shared" ref="O239:O244" si="29">N239/R239</f>
        <v>0.5714285714285714</v>
      </c>
      <c r="P239" s="13">
        <v>49</v>
      </c>
      <c r="Q239" s="17">
        <f t="shared" ref="Q239:Q264" si="30">P239/S239</f>
        <v>0.48039215686274511</v>
      </c>
      <c r="R239" s="13">
        <v>105</v>
      </c>
      <c r="S239" s="13">
        <v>102</v>
      </c>
      <c r="Y239" s="13">
        <v>63</v>
      </c>
      <c r="Z239" s="13">
        <v>56</v>
      </c>
      <c r="AA239" s="13">
        <v>70</v>
      </c>
      <c r="AD239" s="13">
        <v>55</v>
      </c>
      <c r="AE239" s="13">
        <v>44.5</v>
      </c>
      <c r="AF239" s="13">
        <v>65.5</v>
      </c>
      <c r="AG239" s="13" t="s">
        <v>639</v>
      </c>
      <c r="AJ239" s="13">
        <v>84.8</v>
      </c>
      <c r="AK239" s="13">
        <v>76.400000000000006</v>
      </c>
      <c r="AL239" s="13">
        <v>91</v>
      </c>
      <c r="AM239" s="13">
        <v>61.8</v>
      </c>
      <c r="AN239" s="13">
        <v>51.6</v>
      </c>
      <c r="AO239" s="13">
        <v>71.2</v>
      </c>
      <c r="AP239" s="13">
        <v>0.78</v>
      </c>
      <c r="AR239" s="13">
        <v>0.72</v>
      </c>
      <c r="AS239" s="13">
        <v>0.83</v>
      </c>
      <c r="BG239" s="13">
        <v>6907</v>
      </c>
      <c r="BH239" s="13">
        <v>15487</v>
      </c>
      <c r="BR239" s="13">
        <v>1681</v>
      </c>
      <c r="BS239" s="13">
        <v>2638</v>
      </c>
      <c r="BX239" s="13" t="s">
        <v>701</v>
      </c>
      <c r="BY239" s="13" t="s">
        <v>193</v>
      </c>
      <c r="BZ239" s="13" t="s">
        <v>194</v>
      </c>
      <c r="CA239" s="13">
        <v>2019</v>
      </c>
      <c r="CB239" s="13" t="s">
        <v>162</v>
      </c>
      <c r="CC239" s="13" t="s">
        <v>195</v>
      </c>
      <c r="CD239" s="13">
        <v>90</v>
      </c>
      <c r="CE239" s="13">
        <v>12</v>
      </c>
      <c r="CF239" s="13" t="s">
        <v>196</v>
      </c>
      <c r="CG239" s="13" t="s">
        <v>197</v>
      </c>
    </row>
    <row r="240" spans="1:85">
      <c r="A240" s="13" t="s">
        <v>1690</v>
      </c>
      <c r="B240" s="13" t="s">
        <v>1812</v>
      </c>
      <c r="C240" s="13" t="s">
        <v>796</v>
      </c>
      <c r="D240" s="13" t="s">
        <v>820</v>
      </c>
      <c r="E240" s="13" t="s">
        <v>633</v>
      </c>
      <c r="F240" s="13" t="s">
        <v>776</v>
      </c>
      <c r="G240" s="13" t="s">
        <v>672</v>
      </c>
      <c r="H240" s="13" t="s">
        <v>680</v>
      </c>
      <c r="J240" s="13" t="s">
        <v>739</v>
      </c>
      <c r="K240" s="14" t="s">
        <v>4047</v>
      </c>
      <c r="L240" s="13" t="s">
        <v>585</v>
      </c>
      <c r="N240" s="13">
        <v>60</v>
      </c>
      <c r="O240" s="2">
        <f t="shared" si="29"/>
        <v>0.5714285714285714</v>
      </c>
      <c r="P240" s="13">
        <v>11</v>
      </c>
      <c r="Q240" s="17">
        <f t="shared" si="30"/>
        <v>0.6875</v>
      </c>
      <c r="R240" s="13">
        <v>105</v>
      </c>
      <c r="S240" s="13">
        <v>16</v>
      </c>
      <c r="Y240" s="13">
        <v>63</v>
      </c>
      <c r="Z240" s="13">
        <v>56</v>
      </c>
      <c r="AA240" s="13">
        <v>70</v>
      </c>
      <c r="AD240" s="13">
        <v>57</v>
      </c>
      <c r="AE240" s="13">
        <f>AD240-23.3/2</f>
        <v>45.35</v>
      </c>
      <c r="AF240" s="13">
        <f>AE240+23.3</f>
        <v>68.650000000000006</v>
      </c>
      <c r="AG240" s="13" t="s">
        <v>639</v>
      </c>
      <c r="AH240" s="13">
        <v>3730</v>
      </c>
      <c r="AJ240" s="13">
        <v>66.7</v>
      </c>
      <c r="AK240" s="13">
        <v>56.8</v>
      </c>
      <c r="AL240" s="13">
        <v>75.599999999999994</v>
      </c>
      <c r="AM240" s="13">
        <v>81.3</v>
      </c>
      <c r="AN240" s="13">
        <v>54.4</v>
      </c>
      <c r="AO240" s="13">
        <v>96</v>
      </c>
      <c r="AP240" s="13">
        <v>0.79</v>
      </c>
      <c r="AR240" s="13">
        <v>0.7</v>
      </c>
      <c r="AS240" s="13">
        <v>0.86</v>
      </c>
      <c r="BG240" s="13">
        <v>6907</v>
      </c>
      <c r="BH240" s="13">
        <v>15487</v>
      </c>
      <c r="BR240" s="13">
        <v>1617</v>
      </c>
      <c r="BS240" s="13">
        <v>2967</v>
      </c>
      <c r="BX240" s="13" t="s">
        <v>635</v>
      </c>
      <c r="BY240" s="13" t="s">
        <v>193</v>
      </c>
      <c r="BZ240" s="13" t="s">
        <v>194</v>
      </c>
      <c r="CA240" s="13">
        <v>2019</v>
      </c>
      <c r="CB240" s="13" t="s">
        <v>162</v>
      </c>
      <c r="CC240" s="13" t="s">
        <v>195</v>
      </c>
      <c r="CD240" s="13">
        <v>90</v>
      </c>
      <c r="CE240" s="13">
        <v>12</v>
      </c>
      <c r="CF240" s="13" t="s">
        <v>196</v>
      </c>
      <c r="CG240" s="13" t="s">
        <v>197</v>
      </c>
    </row>
    <row r="241" spans="1:85">
      <c r="A241" s="13" t="s">
        <v>1690</v>
      </c>
      <c r="B241" s="13" t="s">
        <v>1812</v>
      </c>
      <c r="C241" s="13" t="s">
        <v>796</v>
      </c>
      <c r="D241" s="13" t="s">
        <v>820</v>
      </c>
      <c r="E241" s="13" t="s">
        <v>657</v>
      </c>
      <c r="F241" s="13" t="s">
        <v>766</v>
      </c>
      <c r="G241" s="13" t="s">
        <v>672</v>
      </c>
      <c r="H241" s="13" t="s">
        <v>679</v>
      </c>
      <c r="J241" s="13" t="s">
        <v>739</v>
      </c>
      <c r="K241" s="14" t="s">
        <v>4047</v>
      </c>
      <c r="L241" s="13" t="s">
        <v>585</v>
      </c>
      <c r="N241" s="13">
        <v>60</v>
      </c>
      <c r="O241" s="2">
        <f t="shared" si="29"/>
        <v>0.5714285714285714</v>
      </c>
      <c r="P241" s="13">
        <v>49</v>
      </c>
      <c r="Q241" s="17">
        <f t="shared" si="30"/>
        <v>0.48039215686274511</v>
      </c>
      <c r="R241" s="13">
        <v>105</v>
      </c>
      <c r="S241" s="13">
        <v>102</v>
      </c>
      <c r="Y241" s="13">
        <v>63</v>
      </c>
      <c r="Z241" s="13">
        <v>56</v>
      </c>
      <c r="AA241" s="13">
        <v>70</v>
      </c>
      <c r="AD241" s="13">
        <v>55</v>
      </c>
      <c r="AE241" s="13">
        <v>44.5</v>
      </c>
      <c r="AF241" s="13">
        <v>65.5</v>
      </c>
      <c r="AG241" s="13" t="s">
        <v>641</v>
      </c>
      <c r="AJ241" s="13">
        <v>76.2</v>
      </c>
      <c r="AK241" s="13">
        <v>66.900000000000006</v>
      </c>
      <c r="AL241" s="13">
        <v>84</v>
      </c>
      <c r="AM241" s="13">
        <v>65.7</v>
      </c>
      <c r="AN241" s="13">
        <v>55.6</v>
      </c>
      <c r="AO241" s="13">
        <v>74.8</v>
      </c>
      <c r="AP241" s="13">
        <v>0.76</v>
      </c>
      <c r="AR241" s="13">
        <v>0.69</v>
      </c>
      <c r="AS241" s="13">
        <v>0.82</v>
      </c>
      <c r="BG241" s="13">
        <v>331</v>
      </c>
      <c r="BH241" s="13">
        <v>174</v>
      </c>
      <c r="BR241" s="13">
        <v>213</v>
      </c>
      <c r="BS241" s="13">
        <v>144</v>
      </c>
      <c r="BX241" s="13" t="s">
        <v>701</v>
      </c>
      <c r="BY241" s="13" t="s">
        <v>193</v>
      </c>
      <c r="BZ241" s="13" t="s">
        <v>194</v>
      </c>
      <c r="CA241" s="13">
        <v>2019</v>
      </c>
      <c r="CB241" s="13" t="s">
        <v>162</v>
      </c>
      <c r="CC241" s="13" t="s">
        <v>195</v>
      </c>
      <c r="CD241" s="13">
        <v>90</v>
      </c>
      <c r="CE241" s="13">
        <v>12</v>
      </c>
      <c r="CF241" s="13" t="s">
        <v>196</v>
      </c>
      <c r="CG241" s="13" t="s">
        <v>197</v>
      </c>
    </row>
    <row r="242" spans="1:85">
      <c r="A242" s="13" t="s">
        <v>1690</v>
      </c>
      <c r="B242" s="13" t="s">
        <v>1812</v>
      </c>
      <c r="C242" s="13" t="s">
        <v>796</v>
      </c>
      <c r="D242" s="13" t="s">
        <v>820</v>
      </c>
      <c r="E242" s="13" t="s">
        <v>633</v>
      </c>
      <c r="F242" s="13" t="s">
        <v>776</v>
      </c>
      <c r="G242" s="13" t="s">
        <v>672</v>
      </c>
      <c r="H242" s="13" t="s">
        <v>679</v>
      </c>
      <c r="J242" s="13" t="s">
        <v>739</v>
      </c>
      <c r="K242" s="14" t="s">
        <v>4047</v>
      </c>
      <c r="L242" s="13" t="s">
        <v>585</v>
      </c>
      <c r="N242" s="13">
        <v>60</v>
      </c>
      <c r="O242" s="2">
        <f t="shared" si="29"/>
        <v>0.5714285714285714</v>
      </c>
      <c r="P242" s="13">
        <v>11</v>
      </c>
      <c r="Q242" s="17">
        <f t="shared" si="30"/>
        <v>0.6875</v>
      </c>
      <c r="R242" s="13">
        <v>105</v>
      </c>
      <c r="S242" s="13">
        <v>16</v>
      </c>
      <c r="Y242" s="13">
        <v>63</v>
      </c>
      <c r="Z242" s="13">
        <v>56</v>
      </c>
      <c r="AA242" s="13">
        <v>70</v>
      </c>
      <c r="AD242" s="13">
        <v>57</v>
      </c>
      <c r="AE242" s="13">
        <f>AD242-23.3/2</f>
        <v>45.35</v>
      </c>
      <c r="AF242" s="13">
        <f>AE242+23.3</f>
        <v>68.650000000000006</v>
      </c>
      <c r="AG242" s="13" t="s">
        <v>641</v>
      </c>
      <c r="AH242" s="13">
        <v>273</v>
      </c>
      <c r="AJ242" s="13">
        <v>70.5</v>
      </c>
      <c r="AK242" s="13">
        <v>60.8</v>
      </c>
      <c r="AL242" s="13">
        <v>79</v>
      </c>
      <c r="AM242" s="13">
        <v>68.8</v>
      </c>
      <c r="AN242" s="13">
        <v>41.3</v>
      </c>
      <c r="AO242" s="13">
        <v>89</v>
      </c>
      <c r="AP242" s="13">
        <v>0.72</v>
      </c>
      <c r="AR242" s="13">
        <v>0.63</v>
      </c>
      <c r="AS242" s="13">
        <v>0.8</v>
      </c>
      <c r="BG242" s="13">
        <v>331</v>
      </c>
      <c r="BH242" s="13">
        <v>174</v>
      </c>
      <c r="BR242" s="13">
        <v>245</v>
      </c>
      <c r="BS242" s="13">
        <v>113</v>
      </c>
      <c r="BX242" s="13" t="s">
        <v>769</v>
      </c>
      <c r="BY242" s="13" t="s">
        <v>193</v>
      </c>
      <c r="BZ242" s="13" t="s">
        <v>194</v>
      </c>
      <c r="CA242" s="13">
        <v>2019</v>
      </c>
      <c r="CB242" s="13" t="s">
        <v>162</v>
      </c>
      <c r="CC242" s="13" t="s">
        <v>195</v>
      </c>
      <c r="CD242" s="13">
        <v>90</v>
      </c>
      <c r="CE242" s="13">
        <v>12</v>
      </c>
      <c r="CF242" s="13" t="s">
        <v>196</v>
      </c>
      <c r="CG242" s="13" t="s">
        <v>197</v>
      </c>
    </row>
    <row r="243" spans="1:85">
      <c r="A243" s="13" t="s">
        <v>1690</v>
      </c>
      <c r="B243" s="13" t="s">
        <v>1812</v>
      </c>
      <c r="C243" s="13" t="s">
        <v>796</v>
      </c>
      <c r="D243" s="13" t="s">
        <v>820</v>
      </c>
      <c r="E243" s="13" t="s">
        <v>657</v>
      </c>
      <c r="F243" s="13" t="s">
        <v>766</v>
      </c>
      <c r="G243" s="13" t="s">
        <v>672</v>
      </c>
      <c r="H243" s="13" t="s">
        <v>4106</v>
      </c>
      <c r="J243" s="13" t="s">
        <v>739</v>
      </c>
      <c r="K243" s="14" t="s">
        <v>4047</v>
      </c>
      <c r="L243" s="13" t="s">
        <v>768</v>
      </c>
      <c r="N243" s="13">
        <v>60</v>
      </c>
      <c r="O243" s="2">
        <f t="shared" si="29"/>
        <v>0.5714285714285714</v>
      </c>
      <c r="P243" s="13">
        <v>49</v>
      </c>
      <c r="Q243" s="17">
        <f t="shared" si="30"/>
        <v>0.48039215686274511</v>
      </c>
      <c r="R243" s="13">
        <v>105</v>
      </c>
      <c r="S243" s="13">
        <v>102</v>
      </c>
      <c r="Y243" s="13">
        <v>63</v>
      </c>
      <c r="Z243" s="13">
        <v>56</v>
      </c>
      <c r="AA243" s="13">
        <v>70</v>
      </c>
      <c r="AD243" s="13">
        <v>55</v>
      </c>
      <c r="AE243" s="13">
        <v>44.5</v>
      </c>
      <c r="AF243" s="13">
        <v>65.5</v>
      </c>
      <c r="AG243" s="13" t="s">
        <v>639</v>
      </c>
      <c r="AJ243" s="13">
        <v>74.3</v>
      </c>
      <c r="AK243" s="13">
        <v>64.8</v>
      </c>
      <c r="AL243" s="13">
        <v>82.3</v>
      </c>
      <c r="AM243" s="13">
        <v>58.6</v>
      </c>
      <c r="AN243" s="13">
        <v>48.2</v>
      </c>
      <c r="AO243" s="13">
        <v>68.400000000000006</v>
      </c>
      <c r="AP243" s="13">
        <v>0.68</v>
      </c>
      <c r="AR243" s="13">
        <v>0.61</v>
      </c>
      <c r="AS243" s="13">
        <v>0.74</v>
      </c>
      <c r="BG243" s="13">
        <v>443</v>
      </c>
      <c r="BH243" s="13">
        <v>146</v>
      </c>
      <c r="BR243" s="13">
        <v>365</v>
      </c>
      <c r="BS243" s="13">
        <v>138</v>
      </c>
      <c r="BX243" s="13" t="s">
        <v>701</v>
      </c>
      <c r="BY243" s="13" t="s">
        <v>193</v>
      </c>
      <c r="BZ243" s="13" t="s">
        <v>194</v>
      </c>
      <c r="CA243" s="13">
        <v>2019</v>
      </c>
      <c r="CB243" s="13" t="s">
        <v>162</v>
      </c>
      <c r="CC243" s="13" t="s">
        <v>195</v>
      </c>
      <c r="CD243" s="13">
        <v>90</v>
      </c>
      <c r="CE243" s="13">
        <v>12</v>
      </c>
      <c r="CF243" s="13" t="s">
        <v>196</v>
      </c>
      <c r="CG243" s="13" t="s">
        <v>197</v>
      </c>
    </row>
    <row r="244" spans="1:85">
      <c r="A244" s="13" t="s">
        <v>1690</v>
      </c>
      <c r="B244" s="13" t="s">
        <v>1812</v>
      </c>
      <c r="C244" s="13" t="s">
        <v>796</v>
      </c>
      <c r="D244" s="13" t="s">
        <v>820</v>
      </c>
      <c r="E244" s="13" t="s">
        <v>633</v>
      </c>
      <c r="F244" s="13" t="s">
        <v>776</v>
      </c>
      <c r="G244" s="13" t="s">
        <v>672</v>
      </c>
      <c r="H244" s="13" t="s">
        <v>767</v>
      </c>
      <c r="J244" s="13" t="s">
        <v>739</v>
      </c>
      <c r="K244" s="14" t="s">
        <v>4047</v>
      </c>
      <c r="L244" s="13" t="s">
        <v>768</v>
      </c>
      <c r="N244" s="13">
        <v>60</v>
      </c>
      <c r="O244" s="2">
        <f t="shared" si="29"/>
        <v>0.5714285714285714</v>
      </c>
      <c r="P244" s="13">
        <v>11</v>
      </c>
      <c r="Q244" s="17">
        <f t="shared" si="30"/>
        <v>0.6875</v>
      </c>
      <c r="R244" s="13">
        <v>105</v>
      </c>
      <c r="S244" s="13">
        <v>16</v>
      </c>
      <c r="Y244" s="13">
        <v>63</v>
      </c>
      <c r="Z244" s="13">
        <v>56</v>
      </c>
      <c r="AA244" s="13">
        <v>70</v>
      </c>
      <c r="AD244" s="13">
        <v>57</v>
      </c>
      <c r="AE244" s="13">
        <f>AD244-23.3/2</f>
        <v>45.35</v>
      </c>
      <c r="AF244" s="13">
        <f>AE244+23.3</f>
        <v>68.650000000000006</v>
      </c>
      <c r="AG244" s="13" t="s">
        <v>639</v>
      </c>
      <c r="AH244" s="13">
        <v>324</v>
      </c>
      <c r="AJ244" s="13">
        <v>93.3</v>
      </c>
      <c r="AK244" s="13">
        <v>86.7</v>
      </c>
      <c r="AL244" s="13">
        <v>97.3</v>
      </c>
      <c r="AM244" s="13">
        <v>50</v>
      </c>
      <c r="AN244" s="13">
        <v>24.7</v>
      </c>
      <c r="AO244" s="13">
        <v>75.3</v>
      </c>
      <c r="AP244" s="13">
        <v>0.75</v>
      </c>
      <c r="AR244" s="13">
        <v>0.66</v>
      </c>
      <c r="AS244" s="13">
        <v>0.82</v>
      </c>
      <c r="BG244" s="13">
        <v>443</v>
      </c>
      <c r="BH244" s="13">
        <v>146</v>
      </c>
      <c r="BR244" s="13">
        <v>332</v>
      </c>
      <c r="BS244" s="13">
        <v>130</v>
      </c>
      <c r="BX244" s="13" t="s">
        <v>760</v>
      </c>
      <c r="BY244" s="13" t="s">
        <v>193</v>
      </c>
      <c r="BZ244" s="13" t="s">
        <v>194</v>
      </c>
      <c r="CA244" s="13">
        <v>2019</v>
      </c>
      <c r="CB244" s="13" t="s">
        <v>162</v>
      </c>
      <c r="CC244" s="13" t="s">
        <v>195</v>
      </c>
      <c r="CD244" s="13">
        <v>90</v>
      </c>
      <c r="CE244" s="13">
        <v>12</v>
      </c>
      <c r="CF244" s="13" t="s">
        <v>196</v>
      </c>
      <c r="CG244" s="13" t="s">
        <v>197</v>
      </c>
    </row>
    <row r="245" spans="1:85">
      <c r="A245" s="13" t="s">
        <v>1690</v>
      </c>
      <c r="B245" s="13" t="s">
        <v>1812</v>
      </c>
      <c r="C245" s="13" t="s">
        <v>796</v>
      </c>
      <c r="D245" s="13" t="s">
        <v>820</v>
      </c>
      <c r="E245" s="13" t="s">
        <v>633</v>
      </c>
      <c r="F245" s="13" t="s">
        <v>776</v>
      </c>
      <c r="G245" s="13" t="s">
        <v>673</v>
      </c>
      <c r="H245" s="13" t="s">
        <v>680</v>
      </c>
      <c r="J245" s="13" t="s">
        <v>739</v>
      </c>
      <c r="K245" s="14" t="s">
        <v>4047</v>
      </c>
      <c r="L245" s="13" t="s">
        <v>585</v>
      </c>
      <c r="P245" s="13">
        <v>11</v>
      </c>
      <c r="Q245" s="17">
        <f t="shared" si="30"/>
        <v>0.6875</v>
      </c>
      <c r="R245" s="13">
        <v>102</v>
      </c>
      <c r="S245" s="13">
        <v>16</v>
      </c>
      <c r="Y245" s="13">
        <v>63</v>
      </c>
      <c r="Z245" s="13">
        <v>56</v>
      </c>
      <c r="AA245" s="13">
        <v>70</v>
      </c>
      <c r="AD245" s="13">
        <v>57</v>
      </c>
      <c r="AE245" s="13">
        <f>AD245-23.3/2</f>
        <v>45.35</v>
      </c>
      <c r="AF245" s="13">
        <f>AE245+23.3</f>
        <v>68.650000000000006</v>
      </c>
      <c r="AG245" s="13" t="s">
        <v>641</v>
      </c>
      <c r="BG245" s="13">
        <v>35.369999999999997</v>
      </c>
      <c r="BH245" s="13">
        <v>26.32</v>
      </c>
      <c r="BR245" s="13">
        <v>34.39</v>
      </c>
      <c r="BS245" s="13">
        <v>29.32</v>
      </c>
      <c r="BY245" s="13" t="s">
        <v>193</v>
      </c>
      <c r="BZ245" s="13" t="s">
        <v>194</v>
      </c>
      <c r="CA245" s="13">
        <v>2019</v>
      </c>
      <c r="CB245" s="13" t="s">
        <v>162</v>
      </c>
      <c r="CC245" s="13" t="s">
        <v>195</v>
      </c>
      <c r="CD245" s="13">
        <v>90</v>
      </c>
      <c r="CE245" s="13">
        <v>12</v>
      </c>
      <c r="CF245" s="13" t="s">
        <v>196</v>
      </c>
      <c r="CG245" s="13" t="s">
        <v>197</v>
      </c>
    </row>
    <row r="246" spans="1:85">
      <c r="A246" s="13" t="s">
        <v>1690</v>
      </c>
      <c r="B246" s="13" t="s">
        <v>1812</v>
      </c>
      <c r="C246" s="13" t="s">
        <v>796</v>
      </c>
      <c r="D246" s="13" t="s">
        <v>820</v>
      </c>
      <c r="E246" s="13" t="s">
        <v>633</v>
      </c>
      <c r="F246" s="13" t="s">
        <v>776</v>
      </c>
      <c r="G246" s="13" t="s">
        <v>673</v>
      </c>
      <c r="H246" s="13" t="s">
        <v>679</v>
      </c>
      <c r="J246" s="13" t="s">
        <v>739</v>
      </c>
      <c r="K246" s="14" t="s">
        <v>4047</v>
      </c>
      <c r="L246" s="13" t="s">
        <v>585</v>
      </c>
      <c r="P246" s="13">
        <v>11</v>
      </c>
      <c r="Q246" s="17">
        <f t="shared" si="30"/>
        <v>0.6875</v>
      </c>
      <c r="R246" s="13">
        <v>102</v>
      </c>
      <c r="S246" s="13">
        <v>16</v>
      </c>
      <c r="Y246" s="13">
        <v>63</v>
      </c>
      <c r="Z246" s="13">
        <v>56</v>
      </c>
      <c r="AA246" s="13">
        <v>70</v>
      </c>
      <c r="AD246" s="13">
        <v>57</v>
      </c>
      <c r="AE246" s="13">
        <f>AD246-23.3/2</f>
        <v>45.35</v>
      </c>
      <c r="AF246" s="13">
        <f>AE246+23.3</f>
        <v>68.650000000000006</v>
      </c>
      <c r="AG246" s="13" t="s">
        <v>641</v>
      </c>
      <c r="BG246" s="13">
        <v>53.96</v>
      </c>
      <c r="BH246" s="13">
        <v>48.63</v>
      </c>
      <c r="BR246" s="13">
        <v>71.150000000000006</v>
      </c>
      <c r="BS246" s="13">
        <v>30.62</v>
      </c>
      <c r="BY246" s="13" t="s">
        <v>193</v>
      </c>
      <c r="BZ246" s="13" t="s">
        <v>194</v>
      </c>
      <c r="CA246" s="13">
        <v>2019</v>
      </c>
      <c r="CB246" s="13" t="s">
        <v>162</v>
      </c>
      <c r="CC246" s="13" t="s">
        <v>195</v>
      </c>
      <c r="CD246" s="13">
        <v>90</v>
      </c>
      <c r="CE246" s="13">
        <v>12</v>
      </c>
      <c r="CF246" s="13" t="s">
        <v>196</v>
      </c>
      <c r="CG246" s="13" t="s">
        <v>197</v>
      </c>
    </row>
    <row r="247" spans="1:85">
      <c r="A247" s="13" t="s">
        <v>1691</v>
      </c>
      <c r="B247" s="13" t="s">
        <v>1813</v>
      </c>
      <c r="C247" s="13" t="s">
        <v>797</v>
      </c>
      <c r="D247" s="13" t="s">
        <v>820</v>
      </c>
      <c r="E247" s="13" t="s">
        <v>657</v>
      </c>
      <c r="F247" s="13" t="s">
        <v>772</v>
      </c>
      <c r="G247" s="13" t="s">
        <v>673</v>
      </c>
      <c r="H247" s="13" t="s">
        <v>675</v>
      </c>
      <c r="J247" s="13" t="s">
        <v>739</v>
      </c>
      <c r="K247" s="14" t="s">
        <v>4047</v>
      </c>
      <c r="L247" s="13" t="s">
        <v>1963</v>
      </c>
      <c r="M247" s="13" t="s">
        <v>770</v>
      </c>
      <c r="N247" s="13">
        <v>94</v>
      </c>
      <c r="O247" s="2">
        <f t="shared" ref="O247:O264" si="31">N247/R247</f>
        <v>0.63087248322147649</v>
      </c>
      <c r="P247" s="13">
        <v>43</v>
      </c>
      <c r="Q247" s="17">
        <f t="shared" si="30"/>
        <v>0.63235294117647056</v>
      </c>
      <c r="R247" s="13">
        <v>149</v>
      </c>
      <c r="S247" s="13">
        <v>68</v>
      </c>
      <c r="V247" s="13">
        <v>15</v>
      </c>
      <c r="Y247" s="13">
        <v>62</v>
      </c>
      <c r="Z247" s="13">
        <v>54</v>
      </c>
      <c r="AA247" s="13">
        <v>70</v>
      </c>
      <c r="AG247" s="13" t="s">
        <v>639</v>
      </c>
      <c r="AH247" s="13">
        <v>139</v>
      </c>
      <c r="AM247" s="13">
        <v>63.2</v>
      </c>
      <c r="AN247" s="13">
        <v>50.7</v>
      </c>
      <c r="AO247" s="13">
        <v>74.599999999999994</v>
      </c>
      <c r="AP247" s="13">
        <v>0.57999999999999996</v>
      </c>
      <c r="AR247" s="13">
        <v>0.51</v>
      </c>
      <c r="AS247" s="13">
        <v>0.64</v>
      </c>
      <c r="BG247" s="13">
        <v>179</v>
      </c>
      <c r="BH247" s="13">
        <v>164.6</v>
      </c>
      <c r="BY247" s="13" t="s">
        <v>198</v>
      </c>
      <c r="BZ247" s="13" t="s">
        <v>199</v>
      </c>
      <c r="CA247" s="13">
        <v>2019</v>
      </c>
      <c r="CB247" s="13" t="s">
        <v>188</v>
      </c>
      <c r="CC247" s="13" t="s">
        <v>200</v>
      </c>
      <c r="CD247" s="13">
        <v>45</v>
      </c>
      <c r="CE247" s="13">
        <v>3</v>
      </c>
      <c r="CF247" s="13" t="s">
        <v>201</v>
      </c>
      <c r="CG247" s="13" t="s">
        <v>202</v>
      </c>
    </row>
    <row r="248" spans="1:85">
      <c r="A248" s="13" t="s">
        <v>1691</v>
      </c>
      <c r="B248" s="13" t="s">
        <v>1813</v>
      </c>
      <c r="C248" s="13" t="s">
        <v>797</v>
      </c>
      <c r="D248" s="13" t="s">
        <v>820</v>
      </c>
      <c r="E248" s="13" t="s">
        <v>773</v>
      </c>
      <c r="F248" s="13" t="s">
        <v>773</v>
      </c>
      <c r="G248" s="13" t="s">
        <v>673</v>
      </c>
      <c r="H248" s="13" t="s">
        <v>675</v>
      </c>
      <c r="J248" s="13" t="s">
        <v>739</v>
      </c>
      <c r="K248" s="14" t="s">
        <v>4047</v>
      </c>
      <c r="L248" s="13" t="s">
        <v>1963</v>
      </c>
      <c r="M248" s="13" t="s">
        <v>770</v>
      </c>
      <c r="N248" s="13">
        <v>94</v>
      </c>
      <c r="O248" s="2">
        <f t="shared" si="31"/>
        <v>0.63087248322147649</v>
      </c>
      <c r="P248" s="13">
        <v>8</v>
      </c>
      <c r="Q248" s="17">
        <f t="shared" si="30"/>
        <v>0.5714285714285714</v>
      </c>
      <c r="R248" s="13">
        <v>149</v>
      </c>
      <c r="S248" s="13">
        <v>14</v>
      </c>
      <c r="V248" s="13">
        <v>15</v>
      </c>
      <c r="Y248" s="13">
        <v>62</v>
      </c>
      <c r="Z248" s="13">
        <v>54</v>
      </c>
      <c r="AA248" s="13">
        <v>70</v>
      </c>
      <c r="AD248" s="13">
        <v>46</v>
      </c>
      <c r="AE248" s="13">
        <f>AD248-22.2/2</f>
        <v>34.9</v>
      </c>
      <c r="AF248" s="13">
        <f>AE248+22.2</f>
        <v>57.099999999999994</v>
      </c>
      <c r="AG248" s="13" t="s">
        <v>639</v>
      </c>
      <c r="AH248" s="13">
        <v>55</v>
      </c>
      <c r="AJ248" s="13">
        <v>89.3</v>
      </c>
      <c r="AK248" s="13">
        <v>83.1</v>
      </c>
      <c r="AL248" s="13">
        <v>93.7</v>
      </c>
      <c r="AM248" s="13">
        <v>78.599999999999994</v>
      </c>
      <c r="AN248" s="13">
        <v>49.2</v>
      </c>
      <c r="AO248" s="13">
        <v>95.3</v>
      </c>
      <c r="AP248" s="13">
        <v>0.84</v>
      </c>
      <c r="AR248" s="13">
        <v>0.78</v>
      </c>
      <c r="AS248" s="13">
        <v>0.9</v>
      </c>
      <c r="BG248" s="13">
        <v>179</v>
      </c>
      <c r="BH248" s="13">
        <v>164.6</v>
      </c>
      <c r="BR248" s="13">
        <v>37</v>
      </c>
      <c r="BS248" s="13">
        <v>32.299999999999997</v>
      </c>
      <c r="BY248" s="13" t="s">
        <v>198</v>
      </c>
      <c r="BZ248" s="13" t="s">
        <v>199</v>
      </c>
      <c r="CA248" s="13">
        <v>2019</v>
      </c>
      <c r="CB248" s="13" t="s">
        <v>188</v>
      </c>
      <c r="CC248" s="13" t="s">
        <v>200</v>
      </c>
      <c r="CD248" s="13">
        <v>45</v>
      </c>
      <c r="CE248" s="13">
        <v>3</v>
      </c>
      <c r="CF248" s="13" t="s">
        <v>201</v>
      </c>
      <c r="CG248" s="13" t="s">
        <v>202</v>
      </c>
    </row>
    <row r="249" spans="1:85">
      <c r="A249" s="13" t="s">
        <v>1691</v>
      </c>
      <c r="B249" s="13" t="s">
        <v>1813</v>
      </c>
      <c r="C249" s="13" t="s">
        <v>797</v>
      </c>
      <c r="D249" s="13" t="s">
        <v>820</v>
      </c>
      <c r="E249" s="13" t="s">
        <v>774</v>
      </c>
      <c r="F249" s="13" t="s">
        <v>774</v>
      </c>
      <c r="G249" s="13" t="s">
        <v>673</v>
      </c>
      <c r="H249" s="13" t="s">
        <v>675</v>
      </c>
      <c r="J249" s="13" t="s">
        <v>739</v>
      </c>
      <c r="K249" s="14" t="s">
        <v>4047</v>
      </c>
      <c r="L249" s="13" t="s">
        <v>1963</v>
      </c>
      <c r="M249" s="13" t="s">
        <v>770</v>
      </c>
      <c r="N249" s="13">
        <v>94</v>
      </c>
      <c r="O249" s="2">
        <f t="shared" si="31"/>
        <v>0.63087248322147649</v>
      </c>
      <c r="P249" s="13">
        <v>7</v>
      </c>
      <c r="Q249" s="17">
        <f t="shared" si="30"/>
        <v>0.63636363636363635</v>
      </c>
      <c r="R249" s="13">
        <v>149</v>
      </c>
      <c r="S249" s="13">
        <v>11</v>
      </c>
      <c r="V249" s="13">
        <v>15</v>
      </c>
      <c r="Y249" s="13">
        <v>62</v>
      </c>
      <c r="Z249" s="13">
        <v>54</v>
      </c>
      <c r="AA249" s="13">
        <v>70</v>
      </c>
      <c r="AD249" s="13">
        <v>62</v>
      </c>
      <c r="AE249" s="13">
        <f>AD249-11.6/2</f>
        <v>56.2</v>
      </c>
      <c r="AF249" s="13">
        <f>AE249+11.2</f>
        <v>67.400000000000006</v>
      </c>
      <c r="AG249" s="13" t="s">
        <v>639</v>
      </c>
      <c r="AH249" s="13">
        <v>88</v>
      </c>
      <c r="AJ249" s="13">
        <v>80.5</v>
      </c>
      <c r="AK249" s="13">
        <v>73.3</v>
      </c>
      <c r="AL249" s="13">
        <v>86.6</v>
      </c>
      <c r="AM249" s="13">
        <v>90.9</v>
      </c>
      <c r="AN249" s="13">
        <v>58.7</v>
      </c>
      <c r="AO249" s="13">
        <v>99.8</v>
      </c>
      <c r="AP249" s="13">
        <v>0.89</v>
      </c>
      <c r="AR249" s="13">
        <v>0.83</v>
      </c>
      <c r="AS249" s="13">
        <v>0.93</v>
      </c>
      <c r="BG249" s="13">
        <v>179</v>
      </c>
      <c r="BH249" s="13">
        <v>164.6</v>
      </c>
      <c r="BR249" s="13">
        <v>34</v>
      </c>
      <c r="BY249" s="13" t="s">
        <v>198</v>
      </c>
      <c r="BZ249" s="13" t="s">
        <v>199</v>
      </c>
      <c r="CA249" s="13">
        <v>2019</v>
      </c>
      <c r="CB249" s="13" t="s">
        <v>188</v>
      </c>
      <c r="CC249" s="13" t="s">
        <v>200</v>
      </c>
      <c r="CD249" s="13">
        <v>45</v>
      </c>
      <c r="CE249" s="13">
        <v>3</v>
      </c>
      <c r="CF249" s="13" t="s">
        <v>201</v>
      </c>
      <c r="CG249" s="13" t="s">
        <v>202</v>
      </c>
    </row>
    <row r="250" spans="1:85">
      <c r="A250" s="13" t="s">
        <v>1691</v>
      </c>
      <c r="B250" s="13" t="s">
        <v>1813</v>
      </c>
      <c r="C250" s="13" t="s">
        <v>797</v>
      </c>
      <c r="D250" s="13" t="s">
        <v>820</v>
      </c>
      <c r="E250" s="13" t="s">
        <v>775</v>
      </c>
      <c r="F250" s="13" t="s">
        <v>775</v>
      </c>
      <c r="G250" s="13" t="s">
        <v>673</v>
      </c>
      <c r="H250" s="13" t="s">
        <v>675</v>
      </c>
      <c r="J250" s="13" t="s">
        <v>739</v>
      </c>
      <c r="K250" s="14" t="s">
        <v>4047</v>
      </c>
      <c r="L250" s="13" t="s">
        <v>1963</v>
      </c>
      <c r="M250" s="13" t="s">
        <v>770</v>
      </c>
      <c r="N250" s="13">
        <v>94</v>
      </c>
      <c r="O250" s="2">
        <f t="shared" si="31"/>
        <v>0.63087248322147649</v>
      </c>
      <c r="P250" s="13">
        <v>4</v>
      </c>
      <c r="Q250" s="17">
        <f t="shared" si="30"/>
        <v>0.66666666666666663</v>
      </c>
      <c r="R250" s="13">
        <v>149</v>
      </c>
      <c r="S250" s="13">
        <v>6</v>
      </c>
      <c r="V250" s="13">
        <v>15</v>
      </c>
      <c r="Y250" s="13">
        <v>62</v>
      </c>
      <c r="Z250" s="13">
        <v>54</v>
      </c>
      <c r="AA250" s="13">
        <v>70</v>
      </c>
      <c r="AD250" s="13">
        <v>64</v>
      </c>
      <c r="AE250" s="13">
        <f>AD250-11.7/2</f>
        <v>58.15</v>
      </c>
      <c r="AF250" s="13">
        <f>AE250+11.7</f>
        <v>69.849999999999994</v>
      </c>
      <c r="AG250" s="13" t="s">
        <v>639</v>
      </c>
      <c r="AH250" s="13">
        <v>86</v>
      </c>
      <c r="AJ250" s="13">
        <v>81.2</v>
      </c>
      <c r="AK250" s="13">
        <v>74</v>
      </c>
      <c r="AL250" s="13">
        <v>87.1</v>
      </c>
      <c r="AM250" s="13">
        <v>66.7</v>
      </c>
      <c r="AN250" s="13">
        <v>22.3</v>
      </c>
      <c r="AO250" s="13">
        <v>95.7</v>
      </c>
      <c r="AP250" s="13">
        <v>0.71</v>
      </c>
      <c r="AR250" s="13">
        <v>0.63</v>
      </c>
      <c r="AS250" s="13">
        <v>0.78</v>
      </c>
      <c r="BG250" s="13">
        <v>179</v>
      </c>
      <c r="BH250" s="13">
        <v>164.6</v>
      </c>
      <c r="BR250" s="13">
        <v>34</v>
      </c>
      <c r="BY250" s="13" t="s">
        <v>198</v>
      </c>
      <c r="BZ250" s="13" t="s">
        <v>199</v>
      </c>
      <c r="CA250" s="13">
        <v>2019</v>
      </c>
      <c r="CB250" s="13" t="s">
        <v>188</v>
      </c>
      <c r="CC250" s="13" t="s">
        <v>200</v>
      </c>
      <c r="CD250" s="13">
        <v>45</v>
      </c>
      <c r="CE250" s="13">
        <v>3</v>
      </c>
      <c r="CF250" s="13" t="s">
        <v>201</v>
      </c>
      <c r="CG250" s="13" t="s">
        <v>202</v>
      </c>
    </row>
    <row r="251" spans="1:85">
      <c r="A251" s="13" t="s">
        <v>1691</v>
      </c>
      <c r="B251" s="13" t="s">
        <v>1813</v>
      </c>
      <c r="C251" s="13" t="s">
        <v>797</v>
      </c>
      <c r="D251" s="13" t="s">
        <v>820</v>
      </c>
      <c r="E251" s="13" t="s">
        <v>633</v>
      </c>
      <c r="F251" s="13" t="s">
        <v>771</v>
      </c>
      <c r="G251" s="13" t="s">
        <v>673</v>
      </c>
      <c r="H251" s="13" t="s">
        <v>675</v>
      </c>
      <c r="J251" s="13" t="s">
        <v>739</v>
      </c>
      <c r="K251" s="14" t="s">
        <v>4047</v>
      </c>
      <c r="L251" s="13" t="s">
        <v>1963</v>
      </c>
      <c r="M251" s="13" t="s">
        <v>770</v>
      </c>
      <c r="N251" s="13">
        <v>94</v>
      </c>
      <c r="O251" s="2">
        <f t="shared" si="31"/>
        <v>0.63087248322147649</v>
      </c>
      <c r="P251" s="13">
        <v>13</v>
      </c>
      <c r="Q251" s="17">
        <f t="shared" si="30"/>
        <v>0.68421052631578949</v>
      </c>
      <c r="R251" s="13">
        <v>149</v>
      </c>
      <c r="S251" s="13">
        <v>19</v>
      </c>
      <c r="V251" s="13">
        <v>15</v>
      </c>
      <c r="Y251" s="13">
        <v>62</v>
      </c>
      <c r="Z251" s="13">
        <v>54</v>
      </c>
      <c r="AA251" s="13">
        <v>70</v>
      </c>
      <c r="AG251" s="13" t="s">
        <v>639</v>
      </c>
      <c r="AH251" s="13">
        <v>93</v>
      </c>
      <c r="AJ251" s="13">
        <v>79.2</v>
      </c>
      <c r="AK251" s="13">
        <v>71.8</v>
      </c>
      <c r="AL251" s="13">
        <v>85.4</v>
      </c>
      <c r="AM251" s="13">
        <v>84.2</v>
      </c>
      <c r="AN251" s="13">
        <v>60.4</v>
      </c>
      <c r="AO251" s="13">
        <v>96.6</v>
      </c>
      <c r="AP251" s="13">
        <v>0.85</v>
      </c>
      <c r="AR251" s="13">
        <v>0.79</v>
      </c>
      <c r="AS251" s="13">
        <v>0.9</v>
      </c>
      <c r="BG251" s="13">
        <v>179</v>
      </c>
      <c r="BH251" s="13">
        <v>164.6</v>
      </c>
      <c r="BY251" s="13" t="s">
        <v>198</v>
      </c>
      <c r="BZ251" s="13" t="s">
        <v>199</v>
      </c>
      <c r="CA251" s="13">
        <v>2019</v>
      </c>
      <c r="CB251" s="13" t="s">
        <v>188</v>
      </c>
      <c r="CC251" s="13" t="s">
        <v>200</v>
      </c>
      <c r="CD251" s="13">
        <v>45</v>
      </c>
      <c r="CE251" s="13">
        <v>3</v>
      </c>
      <c r="CF251" s="13" t="s">
        <v>201</v>
      </c>
      <c r="CG251" s="13" t="s">
        <v>202</v>
      </c>
    </row>
    <row r="252" spans="1:85">
      <c r="A252" s="13" t="s">
        <v>1692</v>
      </c>
      <c r="C252" s="13" t="s">
        <v>207</v>
      </c>
      <c r="D252" s="13" t="s">
        <v>829</v>
      </c>
      <c r="E252" s="13" t="s">
        <v>630</v>
      </c>
      <c r="F252" s="13" t="s">
        <v>779</v>
      </c>
      <c r="G252" s="13" t="s">
        <v>674</v>
      </c>
      <c r="H252" s="13" t="s">
        <v>777</v>
      </c>
      <c r="J252" s="13" t="s">
        <v>716</v>
      </c>
      <c r="K252" s="13" t="s">
        <v>3180</v>
      </c>
      <c r="L252" s="13" t="s">
        <v>778</v>
      </c>
      <c r="N252" s="13">
        <v>18</v>
      </c>
      <c r="O252" s="2">
        <f t="shared" si="31"/>
        <v>0.51428571428571423</v>
      </c>
      <c r="P252" s="13">
        <v>9</v>
      </c>
      <c r="Q252" s="17">
        <f t="shared" si="30"/>
        <v>0.6</v>
      </c>
      <c r="R252" s="13">
        <v>35</v>
      </c>
      <c r="S252" s="13">
        <v>15</v>
      </c>
      <c r="T252" s="13">
        <v>0</v>
      </c>
      <c r="U252" s="15">
        <v>0</v>
      </c>
      <c r="V252" s="13">
        <v>0</v>
      </c>
      <c r="W252" s="13">
        <v>58.25</v>
      </c>
      <c r="X252" s="13">
        <v>10.81</v>
      </c>
      <c r="AB252" s="13">
        <v>53.84</v>
      </c>
      <c r="AC252" s="13">
        <v>12.12</v>
      </c>
      <c r="AG252" s="13" t="s">
        <v>780</v>
      </c>
      <c r="BX252" s="13" t="s">
        <v>781</v>
      </c>
      <c r="BY252" s="13" t="s">
        <v>203</v>
      </c>
      <c r="BZ252" s="13" t="s">
        <v>204</v>
      </c>
      <c r="CA252" s="13">
        <v>2023</v>
      </c>
      <c r="CB252" s="13" t="s">
        <v>162</v>
      </c>
      <c r="CC252" s="13" t="s">
        <v>120</v>
      </c>
      <c r="CD252" s="13">
        <v>60</v>
      </c>
      <c r="CE252" s="13">
        <v>12</v>
      </c>
      <c r="CF252" s="13" t="s">
        <v>205</v>
      </c>
      <c r="CG252" s="13" t="s">
        <v>206</v>
      </c>
    </row>
    <row r="253" spans="1:85">
      <c r="A253" s="13" t="s">
        <v>1692</v>
      </c>
      <c r="C253" s="13" t="s">
        <v>207</v>
      </c>
      <c r="D253" s="13" t="s">
        <v>829</v>
      </c>
      <c r="E253" s="13" t="s">
        <v>633</v>
      </c>
      <c r="F253" s="13" t="s">
        <v>779</v>
      </c>
      <c r="G253" s="13" t="s">
        <v>674</v>
      </c>
      <c r="H253" s="13" t="s">
        <v>777</v>
      </c>
      <c r="J253" s="13" t="s">
        <v>716</v>
      </c>
      <c r="K253" s="13" t="s">
        <v>3180</v>
      </c>
      <c r="L253" s="13" t="s">
        <v>778</v>
      </c>
      <c r="N253" s="13">
        <v>18</v>
      </c>
      <c r="O253" s="2">
        <f t="shared" si="31"/>
        <v>0.51428571428571423</v>
      </c>
      <c r="P253" s="13">
        <v>9</v>
      </c>
      <c r="Q253" s="17">
        <f t="shared" si="30"/>
        <v>0.5625</v>
      </c>
      <c r="R253" s="13">
        <v>35</v>
      </c>
      <c r="S253" s="13">
        <v>16</v>
      </c>
      <c r="T253" s="13">
        <v>0</v>
      </c>
      <c r="U253" s="15">
        <v>0</v>
      </c>
      <c r="V253" s="13">
        <v>0</v>
      </c>
      <c r="W253" s="13">
        <v>58.25</v>
      </c>
      <c r="X253" s="13">
        <v>10.81</v>
      </c>
      <c r="AB253" s="13">
        <v>61.16</v>
      </c>
      <c r="AC253" s="13">
        <v>12.17</v>
      </c>
      <c r="AG253" s="13" t="s">
        <v>780</v>
      </c>
      <c r="BX253" s="13" t="s">
        <v>781</v>
      </c>
      <c r="BY253" s="13" t="s">
        <v>203</v>
      </c>
      <c r="BZ253" s="13" t="s">
        <v>204</v>
      </c>
      <c r="CA253" s="13">
        <v>2023</v>
      </c>
      <c r="CB253" s="13" t="s">
        <v>162</v>
      </c>
      <c r="CC253" s="13" t="s">
        <v>120</v>
      </c>
      <c r="CD253" s="13">
        <v>60</v>
      </c>
      <c r="CE253" s="13">
        <v>12</v>
      </c>
      <c r="CF253" s="13" t="s">
        <v>205</v>
      </c>
      <c r="CG253" s="13" t="s">
        <v>206</v>
      </c>
    </row>
    <row r="254" spans="1:85">
      <c r="A254" s="13" t="s">
        <v>1814</v>
      </c>
      <c r="B254" s="13" t="s">
        <v>1814</v>
      </c>
      <c r="C254" s="13" t="s">
        <v>4155</v>
      </c>
      <c r="D254" s="13" t="s">
        <v>827</v>
      </c>
      <c r="E254" s="13" t="s">
        <v>657</v>
      </c>
      <c r="F254" s="13" t="s">
        <v>2460</v>
      </c>
      <c r="G254" s="13" t="s">
        <v>672</v>
      </c>
      <c r="H254" s="13" t="s">
        <v>677</v>
      </c>
      <c r="J254" s="13" t="s">
        <v>712</v>
      </c>
      <c r="K254" s="14" t="s">
        <v>3113</v>
      </c>
      <c r="L254" s="13" t="s">
        <v>585</v>
      </c>
      <c r="N254" s="13">
        <v>49</v>
      </c>
      <c r="O254" s="2">
        <f t="shared" si="31"/>
        <v>0.5444444444444444</v>
      </c>
      <c r="P254" s="13">
        <v>25</v>
      </c>
      <c r="Q254" s="17">
        <f t="shared" si="30"/>
        <v>0.52083333333333337</v>
      </c>
      <c r="R254" s="13">
        <v>90</v>
      </c>
      <c r="S254" s="13">
        <v>48</v>
      </c>
      <c r="W254" s="13">
        <v>60.16</v>
      </c>
      <c r="X254" s="13">
        <v>12.51</v>
      </c>
      <c r="AB254" s="13">
        <v>55.42</v>
      </c>
      <c r="AC254" s="13">
        <v>11.83</v>
      </c>
      <c r="AG254" s="13" t="s">
        <v>639</v>
      </c>
      <c r="BB254" s="13">
        <v>4.1900000000000004</v>
      </c>
      <c r="BC254" s="13">
        <v>0.32</v>
      </c>
      <c r="BM254" s="13">
        <v>23.64</v>
      </c>
      <c r="BN254" s="13">
        <v>1.49</v>
      </c>
      <c r="BX254" s="13" t="s">
        <v>2394</v>
      </c>
      <c r="BY254" s="13" t="s">
        <v>1221</v>
      </c>
      <c r="BZ254" s="13" t="s">
        <v>1222</v>
      </c>
      <c r="CA254" s="13">
        <v>2022</v>
      </c>
      <c r="CC254" s="13" t="s">
        <v>416</v>
      </c>
      <c r="CD254" s="13">
        <v>13</v>
      </c>
      <c r="CF254" s="13" t="s">
        <v>2188</v>
      </c>
      <c r="CG254" s="13" t="s">
        <v>1223</v>
      </c>
    </row>
    <row r="255" spans="1:85">
      <c r="A255" s="13" t="s">
        <v>1814</v>
      </c>
      <c r="B255" s="13" t="s">
        <v>1814</v>
      </c>
      <c r="C255" s="16" t="s">
        <v>4155</v>
      </c>
      <c r="D255" s="13" t="s">
        <v>827</v>
      </c>
      <c r="E255" s="13" t="s">
        <v>633</v>
      </c>
      <c r="F255" s="13" t="s">
        <v>2461</v>
      </c>
      <c r="G255" s="13" t="s">
        <v>672</v>
      </c>
      <c r="H255" s="13" t="s">
        <v>677</v>
      </c>
      <c r="J255" s="13" t="s">
        <v>712</v>
      </c>
      <c r="K255" s="14" t="s">
        <v>3113</v>
      </c>
      <c r="L255" s="13" t="s">
        <v>585</v>
      </c>
      <c r="N255" s="13">
        <v>49</v>
      </c>
      <c r="O255" s="2">
        <f t="shared" si="31"/>
        <v>0.5444444444444444</v>
      </c>
      <c r="P255" s="13">
        <v>11</v>
      </c>
      <c r="Q255" s="17">
        <f t="shared" si="30"/>
        <v>0.55000000000000004</v>
      </c>
      <c r="R255" s="13">
        <v>90</v>
      </c>
      <c r="S255" s="13">
        <v>20</v>
      </c>
      <c r="W255" s="13">
        <v>60.16</v>
      </c>
      <c r="X255" s="13">
        <v>12.51</v>
      </c>
      <c r="AB255" s="13">
        <v>59.85</v>
      </c>
      <c r="AC255" s="13">
        <v>10.24</v>
      </c>
      <c r="AG255" s="13" t="s">
        <v>639</v>
      </c>
      <c r="BB255" s="13">
        <v>4.1900000000000004</v>
      </c>
      <c r="BC255" s="13">
        <v>0.32</v>
      </c>
      <c r="BM255" s="13">
        <v>5.93</v>
      </c>
      <c r="BN255" s="13">
        <v>0.77</v>
      </c>
      <c r="BX255" s="13">
        <v>0.62229999999999996</v>
      </c>
      <c r="BY255" s="13" t="s">
        <v>1221</v>
      </c>
      <c r="BZ255" s="13" t="s">
        <v>1222</v>
      </c>
      <c r="CA255" s="13">
        <v>2022</v>
      </c>
      <c r="CC255" s="13" t="s">
        <v>416</v>
      </c>
      <c r="CD255" s="13">
        <v>13</v>
      </c>
      <c r="CF255" s="13" t="s">
        <v>2188</v>
      </c>
      <c r="CG255" s="13" t="s">
        <v>1223</v>
      </c>
    </row>
    <row r="256" spans="1:85">
      <c r="A256" s="13" t="s">
        <v>1693</v>
      </c>
      <c r="B256" s="13" t="s">
        <v>1815</v>
      </c>
      <c r="C256" s="13" t="s">
        <v>212</v>
      </c>
      <c r="D256" s="13" t="s">
        <v>831</v>
      </c>
      <c r="E256" s="13" t="s">
        <v>630</v>
      </c>
      <c r="F256" s="13" t="s">
        <v>782</v>
      </c>
      <c r="G256" s="13" t="s">
        <v>673</v>
      </c>
      <c r="H256" s="13" t="s">
        <v>783</v>
      </c>
      <c r="J256" s="13" t="s">
        <v>647</v>
      </c>
      <c r="K256" s="14" t="s">
        <v>4048</v>
      </c>
      <c r="L256" s="13" t="s">
        <v>1964</v>
      </c>
      <c r="M256" s="13" t="s">
        <v>784</v>
      </c>
      <c r="N256" s="13">
        <v>15</v>
      </c>
      <c r="O256" s="2">
        <f t="shared" si="31"/>
        <v>0.57692307692307687</v>
      </c>
      <c r="P256" s="13">
        <v>11</v>
      </c>
      <c r="Q256" s="17">
        <f t="shared" si="30"/>
        <v>0.5</v>
      </c>
      <c r="R256" s="13">
        <v>26</v>
      </c>
      <c r="S256" s="13">
        <v>22</v>
      </c>
      <c r="W256" s="13">
        <v>58.24</v>
      </c>
      <c r="X256" s="13">
        <v>14.85</v>
      </c>
      <c r="AB256" s="13">
        <v>57.6</v>
      </c>
      <c r="AC256" s="13">
        <v>11.13</v>
      </c>
      <c r="AG256" s="13" t="s">
        <v>785</v>
      </c>
      <c r="BB256" s="13">
        <v>257.64999999999998</v>
      </c>
      <c r="BC256" s="13">
        <v>111.1</v>
      </c>
      <c r="BM256" s="13">
        <v>375.41</v>
      </c>
      <c r="BN256" s="13">
        <v>166.01</v>
      </c>
      <c r="BX256" s="13" t="s">
        <v>769</v>
      </c>
      <c r="BY256" s="13" t="s">
        <v>208</v>
      </c>
      <c r="BZ256" s="13" t="s">
        <v>209</v>
      </c>
      <c r="CA256" s="13">
        <v>2023</v>
      </c>
      <c r="CB256" s="21">
        <v>45431</v>
      </c>
      <c r="CC256" s="13" t="s">
        <v>210</v>
      </c>
      <c r="CD256" s="13">
        <v>12</v>
      </c>
      <c r="CE256" s="13">
        <v>10</v>
      </c>
      <c r="CG256" s="13" t="s">
        <v>211</v>
      </c>
    </row>
    <row r="257" spans="1:85">
      <c r="A257" s="13" t="s">
        <v>2035</v>
      </c>
      <c r="B257" s="13" t="s">
        <v>2035</v>
      </c>
      <c r="C257" s="13" t="s">
        <v>2062</v>
      </c>
      <c r="D257" s="13" t="s">
        <v>830</v>
      </c>
      <c r="E257" s="13" t="s">
        <v>630</v>
      </c>
      <c r="F257" s="13" t="s">
        <v>2463</v>
      </c>
      <c r="G257" s="13" t="s">
        <v>672</v>
      </c>
      <c r="H257" s="13" t="s">
        <v>680</v>
      </c>
      <c r="J257" s="13" t="s">
        <v>2464</v>
      </c>
      <c r="K257" s="14" t="s">
        <v>4066</v>
      </c>
      <c r="L257" s="13" t="s">
        <v>585</v>
      </c>
      <c r="N257" s="13">
        <v>6</v>
      </c>
      <c r="O257" s="2">
        <f t="shared" si="31"/>
        <v>0.5</v>
      </c>
      <c r="P257" s="13">
        <v>7</v>
      </c>
      <c r="Q257" s="17">
        <f t="shared" si="30"/>
        <v>0.4375</v>
      </c>
      <c r="R257" s="13">
        <v>12</v>
      </c>
      <c r="S257" s="13">
        <v>16</v>
      </c>
      <c r="T257" s="13">
        <v>5</v>
      </c>
      <c r="V257" s="13">
        <v>5</v>
      </c>
      <c r="W257" s="13">
        <v>57.5</v>
      </c>
      <c r="X257" s="13">
        <v>7.2</v>
      </c>
      <c r="AB257" s="13">
        <v>46</v>
      </c>
      <c r="AC257" s="13">
        <v>11.3</v>
      </c>
      <c r="AG257" s="13" t="s">
        <v>641</v>
      </c>
      <c r="BG257" s="13">
        <v>7.75</v>
      </c>
      <c r="BR257" s="13">
        <v>0.71</v>
      </c>
      <c r="BX257" s="13" t="s">
        <v>2394</v>
      </c>
      <c r="BY257" s="13" t="s">
        <v>2059</v>
      </c>
      <c r="BZ257" s="13" t="s">
        <v>1224</v>
      </c>
      <c r="CA257" s="13">
        <v>2020</v>
      </c>
      <c r="CB257" s="13" t="s">
        <v>119</v>
      </c>
      <c r="CC257" s="13" t="s">
        <v>26</v>
      </c>
      <c r="CD257" s="13">
        <v>7</v>
      </c>
      <c r="CE257" s="13">
        <v>8</v>
      </c>
      <c r="CF257" s="13" t="s">
        <v>2060</v>
      </c>
      <c r="CG257" s="13" t="s">
        <v>2061</v>
      </c>
    </row>
    <row r="258" spans="1:85">
      <c r="A258" s="13" t="s">
        <v>2035</v>
      </c>
      <c r="B258" s="13" t="s">
        <v>2035</v>
      </c>
      <c r="C258" s="13" t="s">
        <v>2062</v>
      </c>
      <c r="D258" s="13" t="s">
        <v>830</v>
      </c>
      <c r="E258" s="13" t="s">
        <v>630</v>
      </c>
      <c r="F258" s="13" t="s">
        <v>2463</v>
      </c>
      <c r="G258" s="13" t="s">
        <v>672</v>
      </c>
      <c r="H258" s="13" t="s">
        <v>1023</v>
      </c>
      <c r="J258" s="13" t="s">
        <v>2464</v>
      </c>
      <c r="K258" s="14" t="s">
        <v>4066</v>
      </c>
      <c r="L258" s="13" t="s">
        <v>585</v>
      </c>
      <c r="N258" s="13">
        <v>6</v>
      </c>
      <c r="O258" s="2">
        <f t="shared" si="31"/>
        <v>0.5</v>
      </c>
      <c r="P258" s="13">
        <v>7</v>
      </c>
      <c r="Q258" s="17">
        <f t="shared" si="30"/>
        <v>0.4375</v>
      </c>
      <c r="R258" s="13">
        <v>12</v>
      </c>
      <c r="S258" s="13">
        <v>16</v>
      </c>
      <c r="T258" s="13">
        <v>5</v>
      </c>
      <c r="V258" s="13">
        <v>5</v>
      </c>
      <c r="W258" s="13">
        <v>57.5</v>
      </c>
      <c r="X258" s="13">
        <v>7.2</v>
      </c>
      <c r="AB258" s="13">
        <v>46</v>
      </c>
      <c r="AC258" s="13">
        <v>11.3</v>
      </c>
      <c r="AG258" s="13" t="s">
        <v>2465</v>
      </c>
      <c r="BG258" s="13">
        <v>28.08</v>
      </c>
      <c r="BR258" s="13">
        <v>6.93</v>
      </c>
      <c r="BX258" s="13" t="s">
        <v>2394</v>
      </c>
      <c r="BY258" s="13" t="s">
        <v>2059</v>
      </c>
      <c r="BZ258" s="13" t="s">
        <v>1224</v>
      </c>
      <c r="CA258" s="13">
        <v>2020</v>
      </c>
      <c r="CB258" s="13" t="s">
        <v>119</v>
      </c>
      <c r="CC258" s="13" t="s">
        <v>26</v>
      </c>
      <c r="CD258" s="13">
        <v>7</v>
      </c>
      <c r="CE258" s="13">
        <v>8</v>
      </c>
      <c r="CF258" s="13" t="s">
        <v>2060</v>
      </c>
      <c r="CG258" s="13" t="s">
        <v>2061</v>
      </c>
    </row>
    <row r="259" spans="1:85">
      <c r="A259" s="13" t="s">
        <v>2035</v>
      </c>
      <c r="B259" s="13" t="s">
        <v>2035</v>
      </c>
      <c r="C259" s="13" t="s">
        <v>2062</v>
      </c>
      <c r="D259" s="13" t="s">
        <v>830</v>
      </c>
      <c r="E259" s="13" t="s">
        <v>630</v>
      </c>
      <c r="F259" s="13" t="s">
        <v>2463</v>
      </c>
      <c r="G259" s="13" t="s">
        <v>672</v>
      </c>
      <c r="H259" s="13" t="s">
        <v>679</v>
      </c>
      <c r="J259" s="13" t="s">
        <v>2464</v>
      </c>
      <c r="K259" s="14" t="s">
        <v>4066</v>
      </c>
      <c r="L259" s="13" t="s">
        <v>585</v>
      </c>
      <c r="N259" s="13">
        <v>6</v>
      </c>
      <c r="O259" s="2">
        <f t="shared" si="31"/>
        <v>0.5</v>
      </c>
      <c r="P259" s="13">
        <v>7</v>
      </c>
      <c r="Q259" s="17">
        <f t="shared" si="30"/>
        <v>0.4375</v>
      </c>
      <c r="R259" s="13">
        <v>12</v>
      </c>
      <c r="S259" s="13">
        <v>16</v>
      </c>
      <c r="T259" s="13">
        <v>5</v>
      </c>
      <c r="V259" s="13">
        <v>5</v>
      </c>
      <c r="W259" s="13">
        <v>57.5</v>
      </c>
      <c r="X259" s="13">
        <v>7.2</v>
      </c>
      <c r="AB259" s="13">
        <v>46</v>
      </c>
      <c r="AC259" s="13">
        <v>11.3</v>
      </c>
      <c r="AG259" s="13" t="s">
        <v>641</v>
      </c>
      <c r="BG259" s="13">
        <v>187.06</v>
      </c>
      <c r="BR259" s="13">
        <v>95.81</v>
      </c>
      <c r="BX259" s="13" t="s">
        <v>2394</v>
      </c>
      <c r="BY259" s="13" t="s">
        <v>2059</v>
      </c>
      <c r="BZ259" s="13" t="s">
        <v>1224</v>
      </c>
      <c r="CA259" s="13">
        <v>2020</v>
      </c>
      <c r="CB259" s="13" t="s">
        <v>119</v>
      </c>
      <c r="CC259" s="13" t="s">
        <v>26</v>
      </c>
      <c r="CD259" s="13">
        <v>7</v>
      </c>
      <c r="CE259" s="13">
        <v>8</v>
      </c>
      <c r="CF259" s="13" t="s">
        <v>2060</v>
      </c>
      <c r="CG259" s="13" t="s">
        <v>2061</v>
      </c>
    </row>
    <row r="260" spans="1:85">
      <c r="A260" s="13" t="s">
        <v>2035</v>
      </c>
      <c r="B260" s="13" t="s">
        <v>2035</v>
      </c>
      <c r="C260" s="13" t="s">
        <v>2062</v>
      </c>
      <c r="D260" s="13" t="s">
        <v>830</v>
      </c>
      <c r="E260" s="13" t="s">
        <v>630</v>
      </c>
      <c r="F260" s="13" t="s">
        <v>2463</v>
      </c>
      <c r="G260" s="13" t="s">
        <v>672</v>
      </c>
      <c r="H260" s="13" t="s">
        <v>1004</v>
      </c>
      <c r="J260" s="13" t="s">
        <v>2464</v>
      </c>
      <c r="K260" s="14" t="s">
        <v>4066</v>
      </c>
      <c r="L260" s="13" t="s">
        <v>585</v>
      </c>
      <c r="N260" s="13">
        <v>6</v>
      </c>
      <c r="O260" s="2">
        <f t="shared" si="31"/>
        <v>0.5</v>
      </c>
      <c r="P260" s="13">
        <v>7</v>
      </c>
      <c r="Q260" s="17">
        <f t="shared" si="30"/>
        <v>0.4375</v>
      </c>
      <c r="R260" s="13">
        <v>12</v>
      </c>
      <c r="S260" s="13">
        <v>16</v>
      </c>
      <c r="T260" s="13">
        <v>5</v>
      </c>
      <c r="V260" s="13">
        <v>5</v>
      </c>
      <c r="W260" s="13">
        <v>57.5</v>
      </c>
      <c r="X260" s="13">
        <v>7.2</v>
      </c>
      <c r="AB260" s="13">
        <v>46</v>
      </c>
      <c r="AC260" s="13">
        <v>11.3</v>
      </c>
      <c r="AG260" s="13" t="s">
        <v>641</v>
      </c>
      <c r="BG260" s="13">
        <v>15.87</v>
      </c>
      <c r="BR260" s="13">
        <v>5.56</v>
      </c>
      <c r="BX260" s="13">
        <v>1E-3</v>
      </c>
      <c r="BY260" s="13" t="s">
        <v>2059</v>
      </c>
      <c r="BZ260" s="13" t="s">
        <v>1224</v>
      </c>
      <c r="CA260" s="13">
        <v>2020</v>
      </c>
      <c r="CB260" s="13" t="s">
        <v>119</v>
      </c>
      <c r="CC260" s="13" t="s">
        <v>26</v>
      </c>
      <c r="CD260" s="13">
        <v>7</v>
      </c>
      <c r="CE260" s="13">
        <v>8</v>
      </c>
      <c r="CF260" s="13" t="s">
        <v>2060</v>
      </c>
      <c r="CG260" s="13" t="s">
        <v>2061</v>
      </c>
    </row>
    <row r="261" spans="1:85">
      <c r="A261" s="13" t="s">
        <v>2035</v>
      </c>
      <c r="B261" s="13" t="s">
        <v>2035</v>
      </c>
      <c r="C261" s="13" t="s">
        <v>2062</v>
      </c>
      <c r="D261" s="13" t="s">
        <v>830</v>
      </c>
      <c r="E261" s="13" t="s">
        <v>2466</v>
      </c>
      <c r="F261" s="13" t="s">
        <v>2463</v>
      </c>
      <c r="G261" s="13" t="s">
        <v>672</v>
      </c>
      <c r="H261" s="13" t="s">
        <v>680</v>
      </c>
      <c r="J261" s="13" t="s">
        <v>2464</v>
      </c>
      <c r="K261" s="14" t="s">
        <v>4066</v>
      </c>
      <c r="L261" s="13" t="s">
        <v>585</v>
      </c>
      <c r="N261" s="13">
        <v>6</v>
      </c>
      <c r="O261" s="2">
        <f t="shared" si="31"/>
        <v>0.5</v>
      </c>
      <c r="P261" s="13">
        <v>17</v>
      </c>
      <c r="Q261" s="17">
        <f t="shared" si="30"/>
        <v>0.30909090909090908</v>
      </c>
      <c r="R261" s="13">
        <v>12</v>
      </c>
      <c r="S261" s="13">
        <v>55</v>
      </c>
      <c r="T261" s="13">
        <v>5</v>
      </c>
      <c r="V261" s="13">
        <v>5</v>
      </c>
      <c r="W261" s="13">
        <v>57.5</v>
      </c>
      <c r="X261" s="13">
        <v>7.2</v>
      </c>
      <c r="AB261" s="13">
        <v>47.4</v>
      </c>
      <c r="AC261" s="13">
        <v>11.4</v>
      </c>
      <c r="AG261" s="13" t="s">
        <v>641</v>
      </c>
      <c r="BG261" s="13">
        <v>7.75</v>
      </c>
      <c r="BR261" s="13">
        <v>0.71</v>
      </c>
      <c r="BX261" s="13" t="s">
        <v>2394</v>
      </c>
      <c r="BY261" s="13" t="s">
        <v>2059</v>
      </c>
      <c r="BZ261" s="13" t="s">
        <v>1224</v>
      </c>
      <c r="CA261" s="13">
        <v>2020</v>
      </c>
      <c r="CB261" s="13" t="s">
        <v>119</v>
      </c>
      <c r="CC261" s="13" t="s">
        <v>26</v>
      </c>
      <c r="CD261" s="13">
        <v>7</v>
      </c>
      <c r="CE261" s="13">
        <v>8</v>
      </c>
      <c r="CF261" s="13" t="s">
        <v>2060</v>
      </c>
      <c r="CG261" s="13" t="s">
        <v>2061</v>
      </c>
    </row>
    <row r="262" spans="1:85">
      <c r="A262" s="13" t="s">
        <v>2035</v>
      </c>
      <c r="B262" s="13" t="s">
        <v>2035</v>
      </c>
      <c r="C262" s="13" t="s">
        <v>2062</v>
      </c>
      <c r="D262" s="13" t="s">
        <v>830</v>
      </c>
      <c r="E262" s="13" t="s">
        <v>2466</v>
      </c>
      <c r="F262" s="13" t="s">
        <v>2463</v>
      </c>
      <c r="G262" s="13" t="s">
        <v>672</v>
      </c>
      <c r="H262" s="13" t="s">
        <v>1023</v>
      </c>
      <c r="J262" s="13" t="s">
        <v>2464</v>
      </c>
      <c r="K262" s="14" t="s">
        <v>4066</v>
      </c>
      <c r="L262" s="13" t="s">
        <v>585</v>
      </c>
      <c r="N262" s="13">
        <v>6</v>
      </c>
      <c r="O262" s="2">
        <f t="shared" si="31"/>
        <v>0.5</v>
      </c>
      <c r="P262" s="13">
        <v>17</v>
      </c>
      <c r="Q262" s="17">
        <f t="shared" si="30"/>
        <v>0.30909090909090908</v>
      </c>
      <c r="R262" s="13">
        <v>12</v>
      </c>
      <c r="S262" s="13">
        <v>55</v>
      </c>
      <c r="T262" s="13">
        <v>5</v>
      </c>
      <c r="V262" s="13">
        <v>5</v>
      </c>
      <c r="W262" s="13">
        <v>57.5</v>
      </c>
      <c r="X262" s="13">
        <v>7.2</v>
      </c>
      <c r="AB262" s="13">
        <v>47.4</v>
      </c>
      <c r="AC262" s="13">
        <v>11.4</v>
      </c>
      <c r="AG262" s="13" t="s">
        <v>2465</v>
      </c>
      <c r="BG262" s="13">
        <v>28.08</v>
      </c>
      <c r="BR262" s="13">
        <v>6.76</v>
      </c>
      <c r="BX262" s="13" t="s">
        <v>2394</v>
      </c>
      <c r="BY262" s="13" t="s">
        <v>2059</v>
      </c>
      <c r="BZ262" s="13" t="s">
        <v>1224</v>
      </c>
      <c r="CA262" s="13">
        <v>2020</v>
      </c>
      <c r="CB262" s="13" t="s">
        <v>119</v>
      </c>
      <c r="CC262" s="13" t="s">
        <v>26</v>
      </c>
      <c r="CD262" s="13">
        <v>7</v>
      </c>
      <c r="CE262" s="13">
        <v>8</v>
      </c>
      <c r="CF262" s="13" t="s">
        <v>2060</v>
      </c>
      <c r="CG262" s="13" t="s">
        <v>2061</v>
      </c>
    </row>
    <row r="263" spans="1:85">
      <c r="A263" s="13" t="s">
        <v>2035</v>
      </c>
      <c r="B263" s="13" t="s">
        <v>2035</v>
      </c>
      <c r="C263" s="13" t="s">
        <v>2062</v>
      </c>
      <c r="D263" s="13" t="s">
        <v>830</v>
      </c>
      <c r="E263" s="13" t="s">
        <v>2466</v>
      </c>
      <c r="F263" s="13" t="s">
        <v>2463</v>
      </c>
      <c r="G263" s="13" t="s">
        <v>672</v>
      </c>
      <c r="H263" s="13" t="s">
        <v>679</v>
      </c>
      <c r="J263" s="13" t="s">
        <v>2464</v>
      </c>
      <c r="K263" s="14" t="s">
        <v>4066</v>
      </c>
      <c r="L263" s="13" t="s">
        <v>585</v>
      </c>
      <c r="N263" s="13">
        <v>6</v>
      </c>
      <c r="O263" s="2">
        <f t="shared" si="31"/>
        <v>0.5</v>
      </c>
      <c r="P263" s="13">
        <v>17</v>
      </c>
      <c r="Q263" s="17">
        <f t="shared" si="30"/>
        <v>0.30909090909090908</v>
      </c>
      <c r="R263" s="13">
        <v>12</v>
      </c>
      <c r="S263" s="13">
        <v>55</v>
      </c>
      <c r="T263" s="13">
        <v>5</v>
      </c>
      <c r="V263" s="13">
        <v>5</v>
      </c>
      <c r="W263" s="13">
        <v>57.5</v>
      </c>
      <c r="X263" s="13">
        <v>7.2</v>
      </c>
      <c r="AB263" s="13">
        <v>47.4</v>
      </c>
      <c r="AC263" s="13">
        <v>11.4</v>
      </c>
      <c r="AG263" s="13" t="s">
        <v>641</v>
      </c>
      <c r="BG263" s="13">
        <v>187.06</v>
      </c>
      <c r="BR263" s="13">
        <v>106.69</v>
      </c>
      <c r="BX263" s="13" t="s">
        <v>2394</v>
      </c>
      <c r="BY263" s="13" t="s">
        <v>2059</v>
      </c>
      <c r="BZ263" s="13" t="s">
        <v>1224</v>
      </c>
      <c r="CA263" s="13">
        <v>2020</v>
      </c>
      <c r="CB263" s="13" t="s">
        <v>119</v>
      </c>
      <c r="CC263" s="13" t="s">
        <v>26</v>
      </c>
      <c r="CD263" s="13">
        <v>7</v>
      </c>
      <c r="CE263" s="13">
        <v>8</v>
      </c>
      <c r="CF263" s="13" t="s">
        <v>2060</v>
      </c>
      <c r="CG263" s="13" t="s">
        <v>2061</v>
      </c>
    </row>
    <row r="264" spans="1:85" ht="15" customHeight="1">
      <c r="A264" s="13" t="s">
        <v>2035</v>
      </c>
      <c r="B264" s="13" t="s">
        <v>2035</v>
      </c>
      <c r="C264" s="13" t="s">
        <v>2062</v>
      </c>
      <c r="D264" s="13" t="s">
        <v>830</v>
      </c>
      <c r="E264" s="13" t="s">
        <v>2466</v>
      </c>
      <c r="F264" s="13" t="s">
        <v>2463</v>
      </c>
      <c r="G264" s="13" t="s">
        <v>672</v>
      </c>
      <c r="H264" s="13" t="s">
        <v>1004</v>
      </c>
      <c r="J264" s="13" t="s">
        <v>2464</v>
      </c>
      <c r="K264" s="14" t="s">
        <v>4066</v>
      </c>
      <c r="L264" s="13" t="s">
        <v>585</v>
      </c>
      <c r="N264" s="13">
        <v>6</v>
      </c>
      <c r="O264" s="2">
        <f t="shared" si="31"/>
        <v>0.5</v>
      </c>
      <c r="P264" s="13">
        <v>17</v>
      </c>
      <c r="Q264" s="17">
        <f t="shared" si="30"/>
        <v>0.30909090909090908</v>
      </c>
      <c r="R264" s="13">
        <v>12</v>
      </c>
      <c r="S264" s="13">
        <v>55</v>
      </c>
      <c r="T264" s="13">
        <v>5</v>
      </c>
      <c r="V264" s="13">
        <v>5</v>
      </c>
      <c r="W264" s="13">
        <v>57.5</v>
      </c>
      <c r="X264" s="13">
        <v>7.2</v>
      </c>
      <c r="AB264" s="13">
        <v>47.4</v>
      </c>
      <c r="AC264" s="13">
        <v>11.4</v>
      </c>
      <c r="AG264" s="13" t="s">
        <v>641</v>
      </c>
      <c r="BG264" s="13">
        <v>15.87</v>
      </c>
      <c r="BR264" s="13">
        <v>5.6</v>
      </c>
      <c r="BX264" s="13">
        <v>1E-3</v>
      </c>
      <c r="BY264" s="13" t="s">
        <v>2059</v>
      </c>
      <c r="BZ264" s="13" t="s">
        <v>1224</v>
      </c>
      <c r="CA264" s="13">
        <v>2020</v>
      </c>
      <c r="CB264" s="13" t="s">
        <v>119</v>
      </c>
      <c r="CC264" s="13" t="s">
        <v>26</v>
      </c>
      <c r="CD264" s="13">
        <v>7</v>
      </c>
      <c r="CE264" s="13">
        <v>8</v>
      </c>
      <c r="CF264" s="13" t="s">
        <v>2060</v>
      </c>
      <c r="CG264" s="13" t="s">
        <v>2061</v>
      </c>
    </row>
    <row r="265" spans="1:85">
      <c r="A265" s="13" t="s">
        <v>1763</v>
      </c>
      <c r="B265" s="13" t="s">
        <v>1816</v>
      </c>
      <c r="C265" s="13" t="s">
        <v>216</v>
      </c>
      <c r="D265" s="13" t="s">
        <v>825</v>
      </c>
      <c r="E265" s="13" t="s">
        <v>633</v>
      </c>
      <c r="F265" s="13" t="s">
        <v>1063</v>
      </c>
      <c r="G265" s="13" t="s">
        <v>725</v>
      </c>
      <c r="H265" s="13" t="s">
        <v>684</v>
      </c>
      <c r="I265" s="13" t="s">
        <v>1064</v>
      </c>
      <c r="J265" s="13" t="s">
        <v>703</v>
      </c>
      <c r="K265" s="13" t="s">
        <v>3115</v>
      </c>
      <c r="L265" s="13" t="s">
        <v>902</v>
      </c>
      <c r="R265" s="13">
        <v>20</v>
      </c>
      <c r="S265" s="13">
        <v>11</v>
      </c>
      <c r="AT265" s="13">
        <v>93.04</v>
      </c>
      <c r="BY265" s="13" t="s">
        <v>213</v>
      </c>
      <c r="BZ265" s="13" t="s">
        <v>214</v>
      </c>
      <c r="CA265" s="13">
        <v>2021</v>
      </c>
      <c r="CB265" s="21">
        <v>45331</v>
      </c>
      <c r="CC265" s="13" t="s">
        <v>61</v>
      </c>
      <c r="CD265" s="13">
        <v>11</v>
      </c>
      <c r="CE265" s="13">
        <v>1</v>
      </c>
      <c r="CF265" s="13">
        <v>3371</v>
      </c>
      <c r="CG265" s="13" t="s">
        <v>215</v>
      </c>
    </row>
    <row r="266" spans="1:85" ht="15" customHeight="1">
      <c r="A266" s="13" t="s">
        <v>1694</v>
      </c>
      <c r="B266" s="13" t="s">
        <v>1817</v>
      </c>
      <c r="C266" s="13" t="s">
        <v>222</v>
      </c>
      <c r="D266" s="13" t="s">
        <v>818</v>
      </c>
      <c r="E266" s="13" t="s">
        <v>630</v>
      </c>
      <c r="F266" s="13" t="s">
        <v>786</v>
      </c>
      <c r="G266" s="13" t="s">
        <v>725</v>
      </c>
      <c r="H266" s="13" t="s">
        <v>684</v>
      </c>
      <c r="I266" s="13" t="s">
        <v>787</v>
      </c>
      <c r="J266" s="13" t="s">
        <v>629</v>
      </c>
      <c r="K266" s="14" t="s">
        <v>4049</v>
      </c>
      <c r="L266" s="13" t="s">
        <v>576</v>
      </c>
      <c r="N266" s="13">
        <v>58</v>
      </c>
      <c r="O266" s="2">
        <f t="shared" ref="O266:O300" si="32">N266/R266</f>
        <v>0.60416666666666663</v>
      </c>
      <c r="P266" s="13">
        <v>27</v>
      </c>
      <c r="Q266" s="17">
        <f>P266/S266</f>
        <v>0.5625</v>
      </c>
      <c r="R266" s="13">
        <v>96</v>
      </c>
      <c r="S266" s="13">
        <v>48</v>
      </c>
      <c r="V266" s="13">
        <v>10</v>
      </c>
      <c r="W266" s="13">
        <v>60.3</v>
      </c>
      <c r="X266" s="13">
        <v>14</v>
      </c>
      <c r="AB266" s="13">
        <v>60.6</v>
      </c>
      <c r="AC266" s="13">
        <v>12.2</v>
      </c>
      <c r="AH266" s="13" t="s">
        <v>788</v>
      </c>
      <c r="AJ266" s="13">
        <v>78.099999999999994</v>
      </c>
      <c r="AM266" s="13">
        <v>66.7</v>
      </c>
      <c r="AP266" s="13">
        <v>0.81399999999999995</v>
      </c>
      <c r="BY266" s="13" t="s">
        <v>217</v>
      </c>
      <c r="BZ266" s="13" t="s">
        <v>218</v>
      </c>
      <c r="CA266" s="13">
        <v>2023</v>
      </c>
      <c r="CB266" s="13" t="s">
        <v>162</v>
      </c>
      <c r="CC266" s="13" t="s">
        <v>219</v>
      </c>
      <c r="CD266" s="13">
        <v>49</v>
      </c>
      <c r="CE266" s="13">
        <v>6</v>
      </c>
      <c r="CF266" s="13" t="s">
        <v>220</v>
      </c>
      <c r="CG266" s="13" t="s">
        <v>221</v>
      </c>
    </row>
    <row r="267" spans="1:85">
      <c r="A267" s="13" t="s">
        <v>1694</v>
      </c>
      <c r="B267" s="13" t="s">
        <v>1817</v>
      </c>
      <c r="C267" s="13" t="s">
        <v>222</v>
      </c>
      <c r="D267" s="13" t="s">
        <v>818</v>
      </c>
      <c r="E267" s="13" t="s">
        <v>630</v>
      </c>
      <c r="F267" s="13" t="s">
        <v>786</v>
      </c>
      <c r="G267" s="13" t="s">
        <v>725</v>
      </c>
      <c r="H267" s="13" t="s">
        <v>684</v>
      </c>
      <c r="I267" s="13" t="s">
        <v>790</v>
      </c>
      <c r="J267" s="13" t="s">
        <v>629</v>
      </c>
      <c r="K267" s="14" t="s">
        <v>4049</v>
      </c>
      <c r="L267" s="13" t="s">
        <v>576</v>
      </c>
      <c r="N267" s="13">
        <v>58</v>
      </c>
      <c r="O267" s="2">
        <f t="shared" si="32"/>
        <v>0.60416666666666663</v>
      </c>
      <c r="P267" s="13">
        <v>27</v>
      </c>
      <c r="Q267" s="17">
        <f>P267/S267</f>
        <v>0.5625</v>
      </c>
      <c r="R267" s="13">
        <v>96</v>
      </c>
      <c r="S267" s="13">
        <v>48</v>
      </c>
      <c r="V267" s="13">
        <v>10</v>
      </c>
      <c r="W267" s="13">
        <v>60.3</v>
      </c>
      <c r="X267" s="13">
        <v>14</v>
      </c>
      <c r="AB267" s="13">
        <v>60.6</v>
      </c>
      <c r="AC267" s="13">
        <v>12.2</v>
      </c>
      <c r="AH267" s="13" t="s">
        <v>788</v>
      </c>
      <c r="AJ267" s="13">
        <v>79.2</v>
      </c>
      <c r="AM267" s="13">
        <v>68.8</v>
      </c>
      <c r="AP267" s="13">
        <v>0.82499999999999996</v>
      </c>
      <c r="BY267" s="13" t="s">
        <v>217</v>
      </c>
      <c r="BZ267" s="13" t="s">
        <v>218</v>
      </c>
      <c r="CA267" s="13">
        <v>2023</v>
      </c>
      <c r="CB267" s="13" t="s">
        <v>162</v>
      </c>
      <c r="CC267" s="13" t="s">
        <v>219</v>
      </c>
      <c r="CD267" s="13">
        <v>49</v>
      </c>
      <c r="CE267" s="13">
        <v>6</v>
      </c>
      <c r="CF267" s="13" t="s">
        <v>220</v>
      </c>
      <c r="CG267" s="13" t="s">
        <v>221</v>
      </c>
    </row>
    <row r="268" spans="1:85">
      <c r="A268" s="13" t="s">
        <v>1694</v>
      </c>
      <c r="B268" s="13" t="s">
        <v>1817</v>
      </c>
      <c r="C268" s="13" t="s">
        <v>222</v>
      </c>
      <c r="D268" s="13" t="s">
        <v>818</v>
      </c>
      <c r="E268" s="13" t="s">
        <v>630</v>
      </c>
      <c r="F268" s="13" t="s">
        <v>786</v>
      </c>
      <c r="G268" s="13" t="s">
        <v>725</v>
      </c>
      <c r="H268" s="13" t="s">
        <v>684</v>
      </c>
      <c r="I268" s="13" t="s">
        <v>789</v>
      </c>
      <c r="J268" s="13" t="s">
        <v>629</v>
      </c>
      <c r="K268" s="14" t="s">
        <v>4049</v>
      </c>
      <c r="L268" s="13" t="s">
        <v>576</v>
      </c>
      <c r="N268" s="13">
        <v>58</v>
      </c>
      <c r="O268" s="2">
        <f t="shared" si="32"/>
        <v>0.60416666666666663</v>
      </c>
      <c r="P268" s="13">
        <v>27</v>
      </c>
      <c r="Q268" s="17">
        <f>P268/S268</f>
        <v>0.5625</v>
      </c>
      <c r="R268" s="13">
        <v>96</v>
      </c>
      <c r="S268" s="13">
        <v>48</v>
      </c>
      <c r="V268" s="13">
        <v>10</v>
      </c>
      <c r="W268" s="13">
        <v>60.3</v>
      </c>
      <c r="X268" s="13">
        <v>14</v>
      </c>
      <c r="AB268" s="13">
        <v>60.6</v>
      </c>
      <c r="AC268" s="13">
        <v>12.2</v>
      </c>
      <c r="AH268" s="13" t="s">
        <v>788</v>
      </c>
      <c r="AJ268" s="13">
        <v>79.2</v>
      </c>
      <c r="AM268" s="13">
        <v>75</v>
      </c>
      <c r="AP268" s="13">
        <v>0.82899999999999996</v>
      </c>
      <c r="BY268" s="13" t="s">
        <v>217</v>
      </c>
      <c r="BZ268" s="13" t="s">
        <v>218</v>
      </c>
      <c r="CA268" s="13">
        <v>2023</v>
      </c>
      <c r="CB268" s="13" t="s">
        <v>162</v>
      </c>
      <c r="CC268" s="13" t="s">
        <v>219</v>
      </c>
      <c r="CD268" s="13">
        <v>49</v>
      </c>
      <c r="CE268" s="13">
        <v>6</v>
      </c>
      <c r="CF268" s="13" t="s">
        <v>220</v>
      </c>
      <c r="CG268" s="13" t="s">
        <v>221</v>
      </c>
    </row>
    <row r="269" spans="1:85">
      <c r="A269" s="13" t="s">
        <v>1694</v>
      </c>
      <c r="B269" s="13" t="s">
        <v>1817</v>
      </c>
      <c r="C269" s="13" t="s">
        <v>222</v>
      </c>
      <c r="D269" s="13" t="s">
        <v>818</v>
      </c>
      <c r="E269" s="13" t="s">
        <v>630</v>
      </c>
      <c r="F269" s="13" t="s">
        <v>786</v>
      </c>
      <c r="G269" s="13" t="s">
        <v>725</v>
      </c>
      <c r="H269" s="13" t="s">
        <v>684</v>
      </c>
      <c r="I269" s="13" t="s">
        <v>791</v>
      </c>
      <c r="J269" s="13" t="s">
        <v>629</v>
      </c>
      <c r="K269" s="14" t="s">
        <v>4049</v>
      </c>
      <c r="L269" s="13" t="s">
        <v>576</v>
      </c>
      <c r="N269" s="13">
        <v>58</v>
      </c>
      <c r="O269" s="2">
        <f t="shared" si="32"/>
        <v>0.60416666666666663</v>
      </c>
      <c r="P269" s="13">
        <v>27</v>
      </c>
      <c r="Q269" s="17">
        <f>P269/S269</f>
        <v>0.5625</v>
      </c>
      <c r="R269" s="13">
        <v>96</v>
      </c>
      <c r="S269" s="13">
        <v>48</v>
      </c>
      <c r="V269" s="13">
        <v>10</v>
      </c>
      <c r="W269" s="13">
        <v>60.3</v>
      </c>
      <c r="X269" s="13">
        <v>14</v>
      </c>
      <c r="AB269" s="13">
        <v>60.6</v>
      </c>
      <c r="AC269" s="13">
        <v>12.2</v>
      </c>
      <c r="AH269" s="13" t="s">
        <v>788</v>
      </c>
      <c r="AJ269" s="13">
        <v>78.099999999999994</v>
      </c>
      <c r="AM269" s="13">
        <v>72.900000000000006</v>
      </c>
      <c r="AP269" s="13">
        <v>0.82599999999999996</v>
      </c>
      <c r="BY269" s="13" t="s">
        <v>217</v>
      </c>
      <c r="BZ269" s="13" t="s">
        <v>218</v>
      </c>
      <c r="CA269" s="13">
        <v>2023</v>
      </c>
      <c r="CB269" s="13" t="s">
        <v>162</v>
      </c>
      <c r="CC269" s="13" t="s">
        <v>219</v>
      </c>
      <c r="CD269" s="13">
        <v>49</v>
      </c>
      <c r="CE269" s="13">
        <v>6</v>
      </c>
      <c r="CF269" s="13" t="s">
        <v>220</v>
      </c>
      <c r="CG269" s="13" t="s">
        <v>221</v>
      </c>
    </row>
    <row r="270" spans="1:85">
      <c r="A270" s="13" t="s">
        <v>3382</v>
      </c>
      <c r="B270" s="16"/>
      <c r="C270" s="13" t="s">
        <v>3311</v>
      </c>
      <c r="D270" s="14" t="s">
        <v>1015</v>
      </c>
      <c r="G270" s="13" t="s">
        <v>674</v>
      </c>
      <c r="H270" s="13" t="s">
        <v>684</v>
      </c>
      <c r="I270" s="13" t="s">
        <v>3770</v>
      </c>
      <c r="L270" s="13" t="s">
        <v>2342</v>
      </c>
      <c r="M270" s="13" t="s">
        <v>3771</v>
      </c>
      <c r="N270" s="13">
        <v>172</v>
      </c>
      <c r="O270" s="2">
        <f t="shared" si="32"/>
        <v>0.54258675078864349</v>
      </c>
      <c r="R270" s="13">
        <v>317</v>
      </c>
      <c r="T270" s="13">
        <v>15</v>
      </c>
      <c r="U270" s="15">
        <f>T270/R270</f>
        <v>4.7318611987381701E-2</v>
      </c>
      <c r="V270" s="13">
        <v>21</v>
      </c>
      <c r="Y270" s="13">
        <v>64</v>
      </c>
      <c r="Z270" s="13">
        <v>56</v>
      </c>
      <c r="AA270" s="13">
        <v>71</v>
      </c>
      <c r="BY270" s="13" t="s">
        <v>3494</v>
      </c>
      <c r="BZ270" s="13" t="s">
        <v>3495</v>
      </c>
      <c r="CA270" s="13">
        <v>2025</v>
      </c>
      <c r="CC270" s="13" t="s">
        <v>1214</v>
      </c>
      <c r="CG270" s="13" t="s">
        <v>3237</v>
      </c>
    </row>
    <row r="271" spans="1:85">
      <c r="A271" s="13" t="s">
        <v>3383</v>
      </c>
      <c r="C271" s="13" t="s">
        <v>3312</v>
      </c>
      <c r="D271" s="14" t="s">
        <v>2371</v>
      </c>
      <c r="E271" s="13" t="s">
        <v>630</v>
      </c>
      <c r="F271" s="13" t="s">
        <v>3776</v>
      </c>
      <c r="G271" s="13" t="s">
        <v>672</v>
      </c>
      <c r="H271" s="13" t="s">
        <v>675</v>
      </c>
      <c r="J271" s="14" t="s">
        <v>868</v>
      </c>
      <c r="K271" s="13" t="s">
        <v>4102</v>
      </c>
      <c r="L271" s="13" t="s">
        <v>652</v>
      </c>
      <c r="N271" s="13">
        <v>18</v>
      </c>
      <c r="O271" s="2">
        <f t="shared" si="32"/>
        <v>0.52941176470588236</v>
      </c>
      <c r="P271" s="13">
        <v>43</v>
      </c>
      <c r="Q271" s="17">
        <f t="shared" ref="Q271:Q300" si="33">P271/S271</f>
        <v>0.58904109589041098</v>
      </c>
      <c r="R271" s="13">
        <v>34</v>
      </c>
      <c r="S271" s="13">
        <v>73</v>
      </c>
      <c r="W271" s="13">
        <v>65.900000000000006</v>
      </c>
      <c r="X271" s="13">
        <v>11.3</v>
      </c>
      <c r="AB271" s="13">
        <v>52.8</v>
      </c>
      <c r="AC271" s="13">
        <v>23.3</v>
      </c>
      <c r="AG271" s="13" t="s">
        <v>639</v>
      </c>
      <c r="BG271" s="13">
        <v>5620</v>
      </c>
      <c r="BI271" s="13">
        <v>2434</v>
      </c>
      <c r="BJ271" s="13">
        <v>9103</v>
      </c>
      <c r="BR271" s="13">
        <v>499</v>
      </c>
      <c r="BT271" s="13">
        <v>264</v>
      </c>
      <c r="BU271" s="13">
        <v>983</v>
      </c>
      <c r="BY271" s="13" t="s">
        <v>3496</v>
      </c>
      <c r="BZ271" s="13" t="s">
        <v>4101</v>
      </c>
      <c r="CA271" s="13">
        <v>2024</v>
      </c>
      <c r="CB271" s="13" t="s">
        <v>44</v>
      </c>
      <c r="CC271" s="13" t="s">
        <v>13</v>
      </c>
      <c r="CD271" s="13">
        <v>271</v>
      </c>
      <c r="CE271" s="13">
        <v>11</v>
      </c>
      <c r="CF271" s="13" t="s">
        <v>3498</v>
      </c>
      <c r="CG271" s="13" t="s">
        <v>3238</v>
      </c>
    </row>
    <row r="272" spans="1:85">
      <c r="A272" s="13" t="s">
        <v>3383</v>
      </c>
      <c r="C272" s="13" t="s">
        <v>3312</v>
      </c>
      <c r="D272" s="14" t="s">
        <v>2371</v>
      </c>
      <c r="E272" s="13" t="s">
        <v>630</v>
      </c>
      <c r="F272" s="13" t="s">
        <v>3776</v>
      </c>
      <c r="G272" s="13" t="s">
        <v>673</v>
      </c>
      <c r="H272" s="13" t="s">
        <v>675</v>
      </c>
      <c r="J272" s="14" t="s">
        <v>868</v>
      </c>
      <c r="K272" s="13" t="s">
        <v>4102</v>
      </c>
      <c r="L272" s="13" t="s">
        <v>652</v>
      </c>
      <c r="N272" s="13">
        <v>18</v>
      </c>
      <c r="O272" s="2">
        <f t="shared" si="32"/>
        <v>0.52941176470588236</v>
      </c>
      <c r="P272" s="13">
        <v>43</v>
      </c>
      <c r="Q272" s="17">
        <f t="shared" si="33"/>
        <v>0.58904109589041098</v>
      </c>
      <c r="R272" s="13">
        <v>34</v>
      </c>
      <c r="S272" s="13">
        <v>73</v>
      </c>
      <c r="W272" s="13">
        <v>65.900000000000006</v>
      </c>
      <c r="X272" s="13">
        <v>11.3</v>
      </c>
      <c r="AB272" s="13">
        <v>52.8</v>
      </c>
      <c r="AC272" s="13">
        <v>23.3</v>
      </c>
      <c r="AG272" s="13" t="s">
        <v>639</v>
      </c>
      <c r="BG272" s="13">
        <v>69.3</v>
      </c>
      <c r="BI272" s="13">
        <v>46</v>
      </c>
      <c r="BJ272" s="13">
        <v>127</v>
      </c>
      <c r="BR272" s="13">
        <v>12.3</v>
      </c>
      <c r="BT272" s="13">
        <v>6.1</v>
      </c>
      <c r="BU272" s="13">
        <v>19.8</v>
      </c>
      <c r="BY272" s="13" t="s">
        <v>3496</v>
      </c>
      <c r="BZ272" s="13" t="s">
        <v>3497</v>
      </c>
      <c r="CA272" s="13">
        <v>2024</v>
      </c>
      <c r="CB272" s="13" t="s">
        <v>44</v>
      </c>
      <c r="CC272" s="13" t="s">
        <v>13</v>
      </c>
      <c r="CD272" s="13">
        <v>271</v>
      </c>
      <c r="CE272" s="13">
        <v>11</v>
      </c>
      <c r="CF272" s="13" t="s">
        <v>3498</v>
      </c>
      <c r="CG272" s="13" t="s">
        <v>3238</v>
      </c>
    </row>
    <row r="273" spans="1:85">
      <c r="A273" s="13" t="s">
        <v>3383</v>
      </c>
      <c r="C273" s="13" t="s">
        <v>3312</v>
      </c>
      <c r="D273" s="14" t="s">
        <v>2371</v>
      </c>
      <c r="E273" s="13" t="s">
        <v>630</v>
      </c>
      <c r="F273" s="13" t="s">
        <v>3776</v>
      </c>
      <c r="G273" s="13" t="s">
        <v>672</v>
      </c>
      <c r="H273" s="13" t="s">
        <v>3777</v>
      </c>
      <c r="I273" s="13" t="s">
        <v>3778</v>
      </c>
      <c r="J273" s="14" t="s">
        <v>868</v>
      </c>
      <c r="K273" s="13" t="s">
        <v>4102</v>
      </c>
      <c r="L273" s="13" t="s">
        <v>652</v>
      </c>
      <c r="N273" s="13">
        <v>18</v>
      </c>
      <c r="O273" s="2">
        <f t="shared" si="32"/>
        <v>0.52941176470588236</v>
      </c>
      <c r="P273" s="13">
        <v>43</v>
      </c>
      <c r="Q273" s="17">
        <f t="shared" si="33"/>
        <v>0.58904109589041098</v>
      </c>
      <c r="R273" s="13">
        <v>34</v>
      </c>
      <c r="S273" s="13">
        <v>73</v>
      </c>
      <c r="W273" s="13">
        <v>65.900000000000006</v>
      </c>
      <c r="X273" s="13">
        <v>11.3</v>
      </c>
      <c r="AB273" s="13">
        <v>52.8</v>
      </c>
      <c r="AC273" s="13">
        <v>23.3</v>
      </c>
      <c r="AG273" s="13" t="s">
        <v>639</v>
      </c>
      <c r="BG273" s="13">
        <v>69.400000000000006</v>
      </c>
      <c r="BI273" s="13">
        <v>52.2</v>
      </c>
      <c r="BJ273" s="13">
        <v>113</v>
      </c>
      <c r="BR273" s="13">
        <v>42.4</v>
      </c>
      <c r="BT273" s="13">
        <v>33.299999999999997</v>
      </c>
      <c r="BU273" s="13">
        <v>55.5</v>
      </c>
      <c r="BY273" s="13" t="s">
        <v>3496</v>
      </c>
      <c r="BZ273" s="13" t="s">
        <v>3497</v>
      </c>
      <c r="CA273" s="13">
        <v>2024</v>
      </c>
      <c r="CB273" s="13" t="s">
        <v>44</v>
      </c>
      <c r="CC273" s="13" t="s">
        <v>13</v>
      </c>
      <c r="CD273" s="13">
        <v>271</v>
      </c>
      <c r="CE273" s="13">
        <v>11</v>
      </c>
      <c r="CF273" s="13" t="s">
        <v>3498</v>
      </c>
      <c r="CG273" s="13" t="s">
        <v>3238</v>
      </c>
    </row>
    <row r="274" spans="1:85">
      <c r="A274" s="13" t="s">
        <v>2003</v>
      </c>
      <c r="B274" s="13" t="s">
        <v>2003</v>
      </c>
      <c r="C274" s="13" t="s">
        <v>2004</v>
      </c>
      <c r="D274" s="13" t="s">
        <v>820</v>
      </c>
      <c r="E274" s="13" t="s">
        <v>630</v>
      </c>
      <c r="F274" s="13" t="s">
        <v>2040</v>
      </c>
      <c r="G274" s="13" t="s">
        <v>673</v>
      </c>
      <c r="H274" s="13" t="s">
        <v>675</v>
      </c>
      <c r="J274" s="13" t="s">
        <v>855</v>
      </c>
      <c r="K274" s="14" t="s">
        <v>4067</v>
      </c>
      <c r="L274" s="13" t="s">
        <v>2041</v>
      </c>
      <c r="N274" s="13">
        <v>40</v>
      </c>
      <c r="O274" s="2">
        <f t="shared" si="32"/>
        <v>0.68965517241379315</v>
      </c>
      <c r="P274" s="13">
        <v>17</v>
      </c>
      <c r="Q274" s="17">
        <f t="shared" si="33"/>
        <v>0.41463414634146339</v>
      </c>
      <c r="R274" s="13">
        <v>58</v>
      </c>
      <c r="S274" s="13">
        <v>41</v>
      </c>
      <c r="Y274" s="13">
        <v>68</v>
      </c>
      <c r="Z274" s="13">
        <v>59.3</v>
      </c>
      <c r="AA274" s="13">
        <v>72.8</v>
      </c>
      <c r="AD274" s="13">
        <v>67</v>
      </c>
      <c r="AE274" s="13">
        <v>53</v>
      </c>
      <c r="AF274" s="13">
        <v>70</v>
      </c>
      <c r="AG274" s="13" t="s">
        <v>639</v>
      </c>
      <c r="BG274" s="13">
        <v>200.4</v>
      </c>
      <c r="BI274" s="13">
        <v>112.1</v>
      </c>
      <c r="BJ274" s="13">
        <v>365.6</v>
      </c>
      <c r="BR274" s="13">
        <v>49.3</v>
      </c>
      <c r="BT274" s="13">
        <v>36.799999999999997</v>
      </c>
      <c r="BU274" s="13">
        <v>65.5</v>
      </c>
      <c r="BY274" s="13" t="s">
        <v>2063</v>
      </c>
      <c r="BZ274" s="13" t="s">
        <v>2064</v>
      </c>
      <c r="CA274" s="13">
        <v>2022</v>
      </c>
      <c r="CB274" s="13" t="s">
        <v>25</v>
      </c>
      <c r="CC274" s="13" t="s">
        <v>2065</v>
      </c>
      <c r="CD274" s="13">
        <v>129</v>
      </c>
      <c r="CE274" s="13">
        <v>3</v>
      </c>
      <c r="CF274" s="13" t="s">
        <v>2066</v>
      </c>
      <c r="CG274" s="13" t="s">
        <v>2067</v>
      </c>
    </row>
    <row r="275" spans="1:85">
      <c r="A275" s="13" t="s">
        <v>2003</v>
      </c>
      <c r="B275" s="13" t="s">
        <v>2003</v>
      </c>
      <c r="C275" s="13" t="s">
        <v>2004</v>
      </c>
      <c r="D275" s="13" t="s">
        <v>820</v>
      </c>
      <c r="E275" s="13" t="s">
        <v>633</v>
      </c>
      <c r="F275" s="13" t="s">
        <v>2045</v>
      </c>
      <c r="G275" s="13" t="s">
        <v>673</v>
      </c>
      <c r="H275" s="13" t="s">
        <v>675</v>
      </c>
      <c r="J275" s="13" t="s">
        <v>855</v>
      </c>
      <c r="K275" s="14" t="s">
        <v>4067</v>
      </c>
      <c r="L275" s="13" t="s">
        <v>2041</v>
      </c>
      <c r="N275" s="13">
        <v>40</v>
      </c>
      <c r="O275" s="2">
        <f t="shared" si="32"/>
        <v>0.68965517241379315</v>
      </c>
      <c r="P275" s="13">
        <v>7</v>
      </c>
      <c r="Q275" s="17">
        <f t="shared" si="33"/>
        <v>0.875</v>
      </c>
      <c r="R275" s="13">
        <v>58</v>
      </c>
      <c r="S275" s="13">
        <v>8</v>
      </c>
      <c r="Y275" s="13">
        <v>68</v>
      </c>
      <c r="Z275" s="13">
        <v>59.3</v>
      </c>
      <c r="AA275" s="13">
        <v>72.8</v>
      </c>
      <c r="AD275" s="13">
        <v>65.5</v>
      </c>
      <c r="AE275" s="13">
        <v>62.3</v>
      </c>
      <c r="AF275" s="13">
        <v>70</v>
      </c>
      <c r="AG275" s="13" t="s">
        <v>639</v>
      </c>
      <c r="AP275" s="13">
        <v>0.89</v>
      </c>
      <c r="BG275" s="13">
        <v>200.4</v>
      </c>
      <c r="BI275" s="13">
        <v>112.1</v>
      </c>
      <c r="BJ275" s="13">
        <v>365.6</v>
      </c>
      <c r="BR275" s="13">
        <v>69.3</v>
      </c>
      <c r="BT275" s="13">
        <v>58.6</v>
      </c>
      <c r="BU275" s="13">
        <v>81.099999999999994</v>
      </c>
      <c r="BY275" s="13" t="s">
        <v>2063</v>
      </c>
      <c r="BZ275" s="13" t="s">
        <v>2064</v>
      </c>
      <c r="CA275" s="13">
        <v>2022</v>
      </c>
      <c r="CB275" s="13" t="s">
        <v>25</v>
      </c>
      <c r="CC275" s="13" t="s">
        <v>2065</v>
      </c>
      <c r="CD275" s="13">
        <v>129</v>
      </c>
      <c r="CE275" s="13">
        <v>3</v>
      </c>
      <c r="CF275" s="13" t="s">
        <v>2066</v>
      </c>
      <c r="CG275" s="13" t="s">
        <v>2067</v>
      </c>
    </row>
    <row r="276" spans="1:85">
      <c r="A276" s="13" t="s">
        <v>2003</v>
      </c>
      <c r="B276" s="13" t="s">
        <v>2003</v>
      </c>
      <c r="C276" s="13" t="s">
        <v>2004</v>
      </c>
      <c r="D276" s="13" t="s">
        <v>820</v>
      </c>
      <c r="E276" s="13" t="s">
        <v>630</v>
      </c>
      <c r="F276" s="13" t="s">
        <v>2040</v>
      </c>
      <c r="G276" s="13" t="s">
        <v>673</v>
      </c>
      <c r="H276" s="13" t="s">
        <v>679</v>
      </c>
      <c r="J276" s="13" t="s">
        <v>855</v>
      </c>
      <c r="K276" s="14" t="s">
        <v>4067</v>
      </c>
      <c r="L276" s="13" t="s">
        <v>2041</v>
      </c>
      <c r="N276" s="13">
        <v>40</v>
      </c>
      <c r="O276" s="2">
        <f t="shared" si="32"/>
        <v>0.68965517241379315</v>
      </c>
      <c r="P276" s="13">
        <v>17</v>
      </c>
      <c r="Q276" s="17">
        <f t="shared" si="33"/>
        <v>0.41463414634146339</v>
      </c>
      <c r="R276" s="13">
        <v>58</v>
      </c>
      <c r="S276" s="13">
        <v>41</v>
      </c>
      <c r="Y276" s="13">
        <v>68</v>
      </c>
      <c r="Z276" s="13">
        <v>59.3</v>
      </c>
      <c r="AA276" s="13">
        <v>72.8</v>
      </c>
      <c r="AD276" s="13">
        <v>67</v>
      </c>
      <c r="AE276" s="13">
        <v>53</v>
      </c>
      <c r="AF276" s="13">
        <v>70</v>
      </c>
      <c r="AG276" s="13" t="s">
        <v>639</v>
      </c>
      <c r="BG276" s="13">
        <v>53.8</v>
      </c>
      <c r="BI276" s="13">
        <v>36.200000000000003</v>
      </c>
      <c r="BJ276" s="13">
        <v>93.4</v>
      </c>
      <c r="BR276" s="13">
        <v>44.7</v>
      </c>
      <c r="BT276" s="13">
        <v>27.9</v>
      </c>
      <c r="BU276" s="13">
        <v>78.400000000000006</v>
      </c>
      <c r="BY276" s="13" t="s">
        <v>2063</v>
      </c>
      <c r="BZ276" s="13" t="s">
        <v>2064</v>
      </c>
      <c r="CA276" s="13">
        <v>2022</v>
      </c>
      <c r="CB276" s="13" t="s">
        <v>25</v>
      </c>
      <c r="CC276" s="13" t="s">
        <v>2065</v>
      </c>
      <c r="CD276" s="13">
        <v>129</v>
      </c>
      <c r="CE276" s="13">
        <v>3</v>
      </c>
      <c r="CF276" s="13" t="s">
        <v>2066</v>
      </c>
      <c r="CG276" s="13" t="s">
        <v>2067</v>
      </c>
    </row>
    <row r="277" spans="1:85">
      <c r="A277" s="13" t="s">
        <v>2003</v>
      </c>
      <c r="B277" s="13" t="s">
        <v>2003</v>
      </c>
      <c r="C277" s="13" t="s">
        <v>2004</v>
      </c>
      <c r="D277" s="13" t="s">
        <v>820</v>
      </c>
      <c r="E277" s="13" t="s">
        <v>633</v>
      </c>
      <c r="F277" s="13" t="s">
        <v>2045</v>
      </c>
      <c r="G277" s="13" t="s">
        <v>673</v>
      </c>
      <c r="H277" s="13" t="s">
        <v>679</v>
      </c>
      <c r="J277" s="13" t="s">
        <v>855</v>
      </c>
      <c r="K277" s="14" t="s">
        <v>4067</v>
      </c>
      <c r="L277" s="13" t="s">
        <v>2041</v>
      </c>
      <c r="N277" s="13">
        <v>40</v>
      </c>
      <c r="O277" s="2">
        <f t="shared" si="32"/>
        <v>0.68965517241379315</v>
      </c>
      <c r="P277" s="13">
        <v>7</v>
      </c>
      <c r="Q277" s="17">
        <f t="shared" si="33"/>
        <v>0.875</v>
      </c>
      <c r="R277" s="13">
        <v>58</v>
      </c>
      <c r="S277" s="13">
        <v>8</v>
      </c>
      <c r="Y277" s="13">
        <v>68</v>
      </c>
      <c r="Z277" s="13">
        <v>59.3</v>
      </c>
      <c r="AA277" s="13">
        <v>72.8</v>
      </c>
      <c r="AD277" s="13">
        <v>65.5</v>
      </c>
      <c r="AE277" s="13">
        <v>62.3</v>
      </c>
      <c r="AF277" s="13">
        <v>70</v>
      </c>
      <c r="AG277" s="13" t="s">
        <v>639</v>
      </c>
      <c r="AP277" s="13">
        <v>0.5</v>
      </c>
      <c r="BG277" s="13">
        <v>53.8</v>
      </c>
      <c r="BI277" s="13">
        <v>36.200000000000003</v>
      </c>
      <c r="BJ277" s="13">
        <v>93.4</v>
      </c>
      <c r="BR277" s="13">
        <v>43.3</v>
      </c>
      <c r="BT277" s="13">
        <v>20.399999999999999</v>
      </c>
      <c r="BU277" s="13">
        <v>117.2</v>
      </c>
      <c r="BY277" s="13" t="s">
        <v>2063</v>
      </c>
      <c r="BZ277" s="13" t="s">
        <v>2064</v>
      </c>
      <c r="CA277" s="13">
        <v>2022</v>
      </c>
      <c r="CB277" s="13" t="s">
        <v>25</v>
      </c>
      <c r="CC277" s="13" t="s">
        <v>2065</v>
      </c>
      <c r="CD277" s="13">
        <v>129</v>
      </c>
      <c r="CE277" s="13">
        <v>3</v>
      </c>
      <c r="CF277" s="13" t="s">
        <v>2066</v>
      </c>
      <c r="CG277" s="13" t="s">
        <v>2067</v>
      </c>
    </row>
    <row r="278" spans="1:85">
      <c r="A278" s="13" t="s">
        <v>1695</v>
      </c>
      <c r="C278" s="13" t="s">
        <v>794</v>
      </c>
      <c r="D278" s="13" t="s">
        <v>827</v>
      </c>
      <c r="E278" s="13" t="s">
        <v>799</v>
      </c>
      <c r="F278" s="13" t="s">
        <v>792</v>
      </c>
      <c r="G278" s="13" t="s">
        <v>672</v>
      </c>
      <c r="H278" s="13" t="s">
        <v>798</v>
      </c>
      <c r="J278" s="13" t="s">
        <v>669</v>
      </c>
      <c r="K278" s="13" t="s">
        <v>2936</v>
      </c>
      <c r="L278" s="13" t="s">
        <v>652</v>
      </c>
      <c r="N278" s="13">
        <v>12</v>
      </c>
      <c r="O278" s="2">
        <f t="shared" si="32"/>
        <v>0.6</v>
      </c>
      <c r="P278" s="13">
        <v>30</v>
      </c>
      <c r="Q278" s="17">
        <f t="shared" si="33"/>
        <v>0.4</v>
      </c>
      <c r="R278" s="13">
        <v>20</v>
      </c>
      <c r="S278" s="13">
        <v>75</v>
      </c>
      <c r="W278" s="13">
        <v>64</v>
      </c>
      <c r="X278" s="13">
        <v>13</v>
      </c>
      <c r="AB278" s="13">
        <v>69</v>
      </c>
      <c r="AC278" s="13">
        <v>13</v>
      </c>
      <c r="AG278" s="13" t="s">
        <v>639</v>
      </c>
      <c r="BG278" s="13">
        <v>98</v>
      </c>
      <c r="BI278" s="13">
        <v>64</v>
      </c>
      <c r="BJ278" s="13">
        <v>141</v>
      </c>
      <c r="BR278" s="13">
        <v>91</v>
      </c>
      <c r="BT278" s="13">
        <v>72</v>
      </c>
      <c r="BU278" s="13">
        <v>119</v>
      </c>
      <c r="BY278" s="13" t="s">
        <v>223</v>
      </c>
      <c r="BZ278" s="13" t="s">
        <v>224</v>
      </c>
      <c r="CA278" s="13">
        <v>2022</v>
      </c>
      <c r="CB278" s="21">
        <v>45618</v>
      </c>
      <c r="CC278" s="13" t="s">
        <v>225</v>
      </c>
      <c r="CD278" s="13">
        <v>14</v>
      </c>
      <c r="CE278" s="13">
        <v>1</v>
      </c>
      <c r="CF278" s="13">
        <v>175</v>
      </c>
      <c r="CG278" s="13" t="s">
        <v>226</v>
      </c>
    </row>
    <row r="279" spans="1:85">
      <c r="A279" s="13" t="s">
        <v>1695</v>
      </c>
      <c r="C279" s="13" t="s">
        <v>794</v>
      </c>
      <c r="D279" s="13" t="s">
        <v>827</v>
      </c>
      <c r="E279" s="13" t="s">
        <v>799</v>
      </c>
      <c r="F279" s="13" t="s">
        <v>792</v>
      </c>
      <c r="G279" s="13" t="s">
        <v>673</v>
      </c>
      <c r="H279" s="13" t="s">
        <v>798</v>
      </c>
      <c r="J279" s="13" t="s">
        <v>669</v>
      </c>
      <c r="K279" s="13" t="s">
        <v>2936</v>
      </c>
      <c r="L279" s="13" t="s">
        <v>652</v>
      </c>
      <c r="N279" s="13">
        <v>12</v>
      </c>
      <c r="O279" s="2">
        <f t="shared" si="32"/>
        <v>0.6</v>
      </c>
      <c r="P279" s="13">
        <v>30</v>
      </c>
      <c r="Q279" s="17">
        <f t="shared" si="33"/>
        <v>0.4</v>
      </c>
      <c r="R279" s="13">
        <v>20</v>
      </c>
      <c r="S279" s="13">
        <v>75</v>
      </c>
      <c r="W279" s="13">
        <v>64</v>
      </c>
      <c r="X279" s="13">
        <v>13</v>
      </c>
      <c r="AB279" s="13">
        <v>69</v>
      </c>
      <c r="AC279" s="13">
        <v>13</v>
      </c>
      <c r="AG279" s="13" t="s">
        <v>639</v>
      </c>
      <c r="BG279" s="13">
        <v>26</v>
      </c>
      <c r="BI279" s="13">
        <v>20</v>
      </c>
      <c r="BJ279" s="13">
        <v>46</v>
      </c>
      <c r="BR279" s="13">
        <v>23</v>
      </c>
      <c r="BT279" s="13">
        <v>18</v>
      </c>
      <c r="BU279" s="13">
        <v>31</v>
      </c>
      <c r="BY279" s="13" t="s">
        <v>223</v>
      </c>
      <c r="BZ279" s="13" t="s">
        <v>224</v>
      </c>
      <c r="CA279" s="13">
        <v>2022</v>
      </c>
      <c r="CB279" s="21">
        <v>45618</v>
      </c>
      <c r="CC279" s="13" t="s">
        <v>225</v>
      </c>
      <c r="CD279" s="13">
        <v>14</v>
      </c>
      <c r="CE279" s="13">
        <v>1</v>
      </c>
      <c r="CF279" s="13">
        <v>175</v>
      </c>
      <c r="CG279" s="13" t="s">
        <v>226</v>
      </c>
    </row>
    <row r="280" spans="1:85">
      <c r="A280" s="13" t="s">
        <v>1695</v>
      </c>
      <c r="C280" s="13" t="s">
        <v>794</v>
      </c>
      <c r="D280" s="13" t="s">
        <v>827</v>
      </c>
      <c r="E280" s="13" t="s">
        <v>799</v>
      </c>
      <c r="F280" s="13" t="s">
        <v>792</v>
      </c>
      <c r="G280" s="13" t="s">
        <v>672</v>
      </c>
      <c r="H280" s="13" t="s">
        <v>676</v>
      </c>
      <c r="J280" s="13" t="s">
        <v>669</v>
      </c>
      <c r="K280" s="13" t="s">
        <v>2936</v>
      </c>
      <c r="L280" s="13" t="s">
        <v>585</v>
      </c>
      <c r="N280" s="13">
        <v>12</v>
      </c>
      <c r="O280" s="2">
        <f t="shared" si="32"/>
        <v>0.6</v>
      </c>
      <c r="P280" s="13">
        <v>30</v>
      </c>
      <c r="Q280" s="17">
        <f t="shared" si="33"/>
        <v>0.4</v>
      </c>
      <c r="R280" s="13">
        <v>20</v>
      </c>
      <c r="S280" s="13">
        <v>75</v>
      </c>
      <c r="W280" s="13">
        <v>64</v>
      </c>
      <c r="X280" s="13">
        <v>13</v>
      </c>
      <c r="AB280" s="13">
        <v>69</v>
      </c>
      <c r="AC280" s="13">
        <v>13</v>
      </c>
      <c r="AG280" s="13" t="s">
        <v>639</v>
      </c>
      <c r="BG280" s="13">
        <v>199</v>
      </c>
      <c r="BI280" s="13">
        <v>141</v>
      </c>
      <c r="BJ280" s="13">
        <v>337</v>
      </c>
      <c r="BR280" s="13">
        <v>239</v>
      </c>
      <c r="BT280" s="13">
        <v>159</v>
      </c>
      <c r="BU280" s="13">
        <v>307</v>
      </c>
      <c r="BY280" s="13" t="s">
        <v>223</v>
      </c>
      <c r="BZ280" s="13" t="s">
        <v>224</v>
      </c>
      <c r="CA280" s="13">
        <v>2022</v>
      </c>
      <c r="CB280" s="21">
        <v>45618</v>
      </c>
      <c r="CC280" s="13" t="s">
        <v>225</v>
      </c>
      <c r="CD280" s="13">
        <v>14</v>
      </c>
      <c r="CE280" s="13">
        <v>1</v>
      </c>
      <c r="CF280" s="13">
        <v>175</v>
      </c>
      <c r="CG280" s="13" t="s">
        <v>226</v>
      </c>
    </row>
    <row r="281" spans="1:85">
      <c r="A281" s="13" t="s">
        <v>1695</v>
      </c>
      <c r="C281" s="13" t="s">
        <v>794</v>
      </c>
      <c r="D281" s="13" t="s">
        <v>827</v>
      </c>
      <c r="E281" s="13" t="s">
        <v>799</v>
      </c>
      <c r="F281" s="13" t="s">
        <v>792</v>
      </c>
      <c r="G281" s="13" t="s">
        <v>672</v>
      </c>
      <c r="H281" s="13" t="s">
        <v>721</v>
      </c>
      <c r="J281" s="13" t="s">
        <v>669</v>
      </c>
      <c r="K281" s="13" t="s">
        <v>2936</v>
      </c>
      <c r="L281" s="13" t="s">
        <v>585</v>
      </c>
      <c r="M281" s="16" t="s">
        <v>4148</v>
      </c>
      <c r="N281" s="13">
        <v>12</v>
      </c>
      <c r="O281" s="2">
        <f t="shared" si="32"/>
        <v>0.6</v>
      </c>
      <c r="P281" s="13">
        <v>30</v>
      </c>
      <c r="Q281" s="17">
        <f t="shared" si="33"/>
        <v>0.4</v>
      </c>
      <c r="R281" s="13">
        <v>20</v>
      </c>
      <c r="S281" s="13">
        <v>75</v>
      </c>
      <c r="W281" s="13">
        <v>64</v>
      </c>
      <c r="X281" s="13">
        <v>13</v>
      </c>
      <c r="AB281" s="13">
        <v>69</v>
      </c>
      <c r="AC281" s="13">
        <v>13</v>
      </c>
      <c r="AG281" s="13" t="s">
        <v>639</v>
      </c>
      <c r="BG281" s="13">
        <v>37</v>
      </c>
      <c r="BI281" s="13">
        <v>29</v>
      </c>
      <c r="BJ281" s="13">
        <v>57</v>
      </c>
      <c r="BR281" s="13">
        <v>49</v>
      </c>
      <c r="BT281" s="13">
        <v>36</v>
      </c>
      <c r="BU281" s="13">
        <v>70</v>
      </c>
      <c r="BY281" s="13" t="s">
        <v>223</v>
      </c>
      <c r="BZ281" s="13" t="s">
        <v>224</v>
      </c>
      <c r="CA281" s="13">
        <v>2022</v>
      </c>
      <c r="CB281" s="21">
        <v>45618</v>
      </c>
      <c r="CC281" s="13" t="s">
        <v>225</v>
      </c>
      <c r="CD281" s="13">
        <v>14</v>
      </c>
      <c r="CE281" s="13">
        <v>1</v>
      </c>
      <c r="CF281" s="13">
        <v>175</v>
      </c>
      <c r="CG281" s="13" t="s">
        <v>226</v>
      </c>
    </row>
    <row r="282" spans="1:85">
      <c r="A282" s="13" t="s">
        <v>1695</v>
      </c>
      <c r="C282" s="13" t="s">
        <v>794</v>
      </c>
      <c r="D282" s="13" t="s">
        <v>827</v>
      </c>
      <c r="E282" s="13" t="s">
        <v>799</v>
      </c>
      <c r="F282" s="13" t="s">
        <v>792</v>
      </c>
      <c r="G282" s="13" t="s">
        <v>672</v>
      </c>
      <c r="H282" s="13" t="s">
        <v>823</v>
      </c>
      <c r="J282" s="13" t="s">
        <v>669</v>
      </c>
      <c r="K282" s="13" t="s">
        <v>2936</v>
      </c>
      <c r="L282" s="13" t="s">
        <v>585</v>
      </c>
      <c r="N282" s="13">
        <v>12</v>
      </c>
      <c r="O282" s="2">
        <f t="shared" si="32"/>
        <v>0.6</v>
      </c>
      <c r="P282" s="13">
        <v>30</v>
      </c>
      <c r="Q282" s="17">
        <f t="shared" si="33"/>
        <v>0.4</v>
      </c>
      <c r="R282" s="13">
        <v>20</v>
      </c>
      <c r="S282" s="13">
        <v>75</v>
      </c>
      <c r="W282" s="13">
        <v>64</v>
      </c>
      <c r="X282" s="13">
        <v>13</v>
      </c>
      <c r="AB282" s="13">
        <v>69</v>
      </c>
      <c r="AC282" s="13">
        <v>13</v>
      </c>
      <c r="AG282" s="13" t="s">
        <v>639</v>
      </c>
      <c r="BG282" s="13">
        <v>945</v>
      </c>
      <c r="BI282" s="13">
        <v>786</v>
      </c>
      <c r="BJ282" s="13">
        <v>1147</v>
      </c>
      <c r="BR282" s="13">
        <v>985</v>
      </c>
      <c r="BT282" s="13">
        <v>778</v>
      </c>
      <c r="BU282" s="13">
        <v>1255</v>
      </c>
      <c r="BY282" s="13" t="s">
        <v>223</v>
      </c>
      <c r="BZ282" s="13" t="s">
        <v>224</v>
      </c>
      <c r="CA282" s="13">
        <v>2022</v>
      </c>
      <c r="CB282" s="21">
        <v>45618</v>
      </c>
      <c r="CC282" s="13" t="s">
        <v>225</v>
      </c>
      <c r="CD282" s="13">
        <v>14</v>
      </c>
      <c r="CE282" s="13">
        <v>1</v>
      </c>
      <c r="CF282" s="13">
        <v>175</v>
      </c>
      <c r="CG282" s="13" t="s">
        <v>226</v>
      </c>
    </row>
    <row r="283" spans="1:85">
      <c r="A283" s="13" t="s">
        <v>1695</v>
      </c>
      <c r="C283" s="13" t="s">
        <v>794</v>
      </c>
      <c r="D283" s="13" t="s">
        <v>827</v>
      </c>
      <c r="E283" s="13" t="s">
        <v>720</v>
      </c>
      <c r="F283" s="13" t="s">
        <v>800</v>
      </c>
      <c r="G283" s="13" t="s">
        <v>672</v>
      </c>
      <c r="H283" s="13" t="s">
        <v>798</v>
      </c>
      <c r="J283" s="13" t="s">
        <v>669</v>
      </c>
      <c r="K283" s="13" t="s">
        <v>2936</v>
      </c>
      <c r="L283" s="13" t="s">
        <v>652</v>
      </c>
      <c r="N283" s="13">
        <v>12</v>
      </c>
      <c r="O283" s="2">
        <f t="shared" si="32"/>
        <v>0.6</v>
      </c>
      <c r="P283" s="13">
        <v>26</v>
      </c>
      <c r="Q283" s="17">
        <f t="shared" si="33"/>
        <v>0.35616438356164382</v>
      </c>
      <c r="R283" s="13">
        <v>20</v>
      </c>
      <c r="S283" s="13">
        <v>73</v>
      </c>
      <c r="W283" s="13">
        <v>64</v>
      </c>
      <c r="X283" s="13">
        <v>13</v>
      </c>
      <c r="AB283" s="13">
        <v>70</v>
      </c>
      <c r="AC283" s="13">
        <v>8</v>
      </c>
      <c r="AG283" s="13" t="s">
        <v>639</v>
      </c>
      <c r="BG283" s="13">
        <v>98</v>
      </c>
      <c r="BI283" s="13">
        <v>64</v>
      </c>
      <c r="BJ283" s="13">
        <v>141</v>
      </c>
      <c r="BR283" s="13">
        <v>154</v>
      </c>
      <c r="BT283" s="13">
        <v>119</v>
      </c>
      <c r="BU283" s="13">
        <v>220</v>
      </c>
      <c r="BY283" s="13" t="s">
        <v>223</v>
      </c>
      <c r="BZ283" s="13" t="s">
        <v>224</v>
      </c>
      <c r="CA283" s="13">
        <v>2022</v>
      </c>
      <c r="CB283" s="21">
        <v>45618</v>
      </c>
      <c r="CC283" s="13" t="s">
        <v>225</v>
      </c>
      <c r="CD283" s="13">
        <v>14</v>
      </c>
      <c r="CE283" s="13">
        <v>1</v>
      </c>
      <c r="CF283" s="13">
        <v>175</v>
      </c>
      <c r="CG283" s="13" t="s">
        <v>226</v>
      </c>
    </row>
    <row r="284" spans="1:85">
      <c r="A284" s="13" t="s">
        <v>1695</v>
      </c>
      <c r="C284" s="13" t="s">
        <v>794</v>
      </c>
      <c r="D284" s="13" t="s">
        <v>827</v>
      </c>
      <c r="E284" s="13" t="s">
        <v>720</v>
      </c>
      <c r="F284" s="13" t="s">
        <v>800</v>
      </c>
      <c r="G284" s="13" t="s">
        <v>673</v>
      </c>
      <c r="H284" s="13" t="s">
        <v>798</v>
      </c>
      <c r="J284" s="13" t="s">
        <v>669</v>
      </c>
      <c r="K284" s="13" t="s">
        <v>2936</v>
      </c>
      <c r="L284" s="13" t="s">
        <v>652</v>
      </c>
      <c r="N284" s="13">
        <v>12</v>
      </c>
      <c r="O284" s="2">
        <f t="shared" si="32"/>
        <v>0.6</v>
      </c>
      <c r="P284" s="13">
        <v>26</v>
      </c>
      <c r="Q284" s="17">
        <f t="shared" si="33"/>
        <v>0.35616438356164382</v>
      </c>
      <c r="R284" s="13">
        <v>20</v>
      </c>
      <c r="S284" s="13">
        <v>73</v>
      </c>
      <c r="W284" s="13">
        <v>64</v>
      </c>
      <c r="X284" s="13">
        <v>13</v>
      </c>
      <c r="AB284" s="13">
        <v>70</v>
      </c>
      <c r="AC284" s="13">
        <v>8</v>
      </c>
      <c r="AG284" s="13" t="s">
        <v>639</v>
      </c>
      <c r="BG284" s="13">
        <v>26</v>
      </c>
      <c r="BI284" s="13">
        <v>20</v>
      </c>
      <c r="BJ284" s="13">
        <v>46</v>
      </c>
      <c r="BR284" s="13">
        <v>33</v>
      </c>
      <c r="BT284" s="13">
        <v>24</v>
      </c>
      <c r="BU284" s="13">
        <v>36</v>
      </c>
      <c r="BY284" s="13" t="s">
        <v>223</v>
      </c>
      <c r="BZ284" s="13" t="s">
        <v>224</v>
      </c>
      <c r="CA284" s="13">
        <v>2022</v>
      </c>
      <c r="CB284" s="21">
        <v>45618</v>
      </c>
      <c r="CC284" s="13" t="s">
        <v>225</v>
      </c>
      <c r="CD284" s="13">
        <v>14</v>
      </c>
      <c r="CE284" s="13">
        <v>1</v>
      </c>
      <c r="CF284" s="13">
        <v>175</v>
      </c>
      <c r="CG284" s="13" t="s">
        <v>226</v>
      </c>
    </row>
    <row r="285" spans="1:85">
      <c r="A285" s="13" t="s">
        <v>1695</v>
      </c>
      <c r="C285" s="13" t="s">
        <v>794</v>
      </c>
      <c r="D285" s="13" t="s">
        <v>827</v>
      </c>
      <c r="E285" s="13" t="s">
        <v>720</v>
      </c>
      <c r="F285" s="13" t="s">
        <v>800</v>
      </c>
      <c r="G285" s="13" t="s">
        <v>672</v>
      </c>
      <c r="H285" s="13" t="s">
        <v>676</v>
      </c>
      <c r="J285" s="13" t="s">
        <v>669</v>
      </c>
      <c r="K285" s="13" t="s">
        <v>2936</v>
      </c>
      <c r="L285" s="13" t="s">
        <v>585</v>
      </c>
      <c r="N285" s="13">
        <v>12</v>
      </c>
      <c r="O285" s="2">
        <f t="shared" si="32"/>
        <v>0.6</v>
      </c>
      <c r="P285" s="13">
        <v>26</v>
      </c>
      <c r="Q285" s="17">
        <f t="shared" si="33"/>
        <v>0.35616438356164382</v>
      </c>
      <c r="R285" s="13">
        <v>20</v>
      </c>
      <c r="S285" s="13">
        <v>73</v>
      </c>
      <c r="W285" s="13">
        <v>64</v>
      </c>
      <c r="X285" s="13">
        <v>13</v>
      </c>
      <c r="AB285" s="13">
        <v>70</v>
      </c>
      <c r="AC285" s="13">
        <v>8</v>
      </c>
      <c r="AG285" s="13" t="s">
        <v>639</v>
      </c>
      <c r="BG285" s="13">
        <v>199</v>
      </c>
      <c r="BI285" s="13">
        <v>141</v>
      </c>
      <c r="BJ285" s="13">
        <v>337</v>
      </c>
      <c r="BR285" s="13">
        <v>689</v>
      </c>
      <c r="BT285" s="13">
        <v>517</v>
      </c>
      <c r="BU285" s="13">
        <v>932</v>
      </c>
      <c r="BY285" s="13" t="s">
        <v>223</v>
      </c>
      <c r="BZ285" s="13" t="s">
        <v>224</v>
      </c>
      <c r="CA285" s="13">
        <v>2022</v>
      </c>
      <c r="CB285" s="21">
        <v>45618</v>
      </c>
      <c r="CC285" s="13" t="s">
        <v>225</v>
      </c>
      <c r="CD285" s="13">
        <v>14</v>
      </c>
      <c r="CE285" s="13">
        <v>1</v>
      </c>
      <c r="CF285" s="13">
        <v>175</v>
      </c>
      <c r="CG285" s="13" t="s">
        <v>226</v>
      </c>
    </row>
    <row r="286" spans="1:85">
      <c r="A286" s="13" t="s">
        <v>1695</v>
      </c>
      <c r="C286" s="13" t="s">
        <v>794</v>
      </c>
      <c r="D286" s="13" t="s">
        <v>827</v>
      </c>
      <c r="E286" s="13" t="s">
        <v>720</v>
      </c>
      <c r="F286" s="13" t="s">
        <v>800</v>
      </c>
      <c r="G286" s="13" t="s">
        <v>672</v>
      </c>
      <c r="H286" s="13" t="s">
        <v>721</v>
      </c>
      <c r="J286" s="13" t="s">
        <v>669</v>
      </c>
      <c r="K286" s="13" t="s">
        <v>2936</v>
      </c>
      <c r="L286" s="13" t="s">
        <v>585</v>
      </c>
      <c r="M286" s="13" t="s">
        <v>4147</v>
      </c>
      <c r="N286" s="13">
        <v>12</v>
      </c>
      <c r="O286" s="2">
        <f t="shared" si="32"/>
        <v>0.6</v>
      </c>
      <c r="P286" s="13">
        <v>26</v>
      </c>
      <c r="Q286" s="17">
        <f t="shared" si="33"/>
        <v>0.35616438356164382</v>
      </c>
      <c r="R286" s="13">
        <v>20</v>
      </c>
      <c r="S286" s="13">
        <v>73</v>
      </c>
      <c r="W286" s="13">
        <v>64</v>
      </c>
      <c r="X286" s="13">
        <v>13</v>
      </c>
      <c r="AB286" s="13">
        <v>70</v>
      </c>
      <c r="AC286" s="13">
        <v>8</v>
      </c>
      <c r="AG286" s="13" t="s">
        <v>639</v>
      </c>
      <c r="BG286" s="13">
        <v>37</v>
      </c>
      <c r="BI286" s="13">
        <v>29</v>
      </c>
      <c r="BJ286" s="13">
        <v>57</v>
      </c>
      <c r="BR286" s="13">
        <v>120</v>
      </c>
      <c r="BT286" s="13">
        <v>94</v>
      </c>
      <c r="BU286" s="13">
        <v>148</v>
      </c>
      <c r="BY286" s="13" t="s">
        <v>223</v>
      </c>
      <c r="BZ286" s="13" t="s">
        <v>224</v>
      </c>
      <c r="CA286" s="13">
        <v>2022</v>
      </c>
      <c r="CB286" s="21">
        <v>45618</v>
      </c>
      <c r="CC286" s="13" t="s">
        <v>225</v>
      </c>
      <c r="CD286" s="13">
        <v>14</v>
      </c>
      <c r="CE286" s="13">
        <v>1</v>
      </c>
      <c r="CF286" s="13">
        <v>175</v>
      </c>
      <c r="CG286" s="13" t="s">
        <v>226</v>
      </c>
    </row>
    <row r="287" spans="1:85">
      <c r="A287" s="13" t="s">
        <v>1695</v>
      </c>
      <c r="C287" s="13" t="s">
        <v>794</v>
      </c>
      <c r="D287" s="13" t="s">
        <v>827</v>
      </c>
      <c r="E287" s="13" t="s">
        <v>720</v>
      </c>
      <c r="F287" s="13" t="s">
        <v>800</v>
      </c>
      <c r="G287" s="13" t="s">
        <v>672</v>
      </c>
      <c r="H287" s="13" t="s">
        <v>823</v>
      </c>
      <c r="J287" s="13" t="s">
        <v>669</v>
      </c>
      <c r="K287" s="13" t="s">
        <v>2936</v>
      </c>
      <c r="L287" s="13" t="s">
        <v>585</v>
      </c>
      <c r="N287" s="13">
        <v>12</v>
      </c>
      <c r="O287" s="2">
        <f t="shared" si="32"/>
        <v>0.6</v>
      </c>
      <c r="P287" s="13">
        <v>26</v>
      </c>
      <c r="Q287" s="17">
        <f t="shared" si="33"/>
        <v>0.35616438356164382</v>
      </c>
      <c r="R287" s="13">
        <v>20</v>
      </c>
      <c r="S287" s="13">
        <v>73</v>
      </c>
      <c r="W287" s="13">
        <v>64</v>
      </c>
      <c r="X287" s="13">
        <v>13</v>
      </c>
      <c r="AB287" s="13">
        <v>70</v>
      </c>
      <c r="AC287" s="13">
        <v>8</v>
      </c>
      <c r="AG287" s="13" t="s">
        <v>639</v>
      </c>
      <c r="BG287" s="13">
        <v>945</v>
      </c>
      <c r="BI287" s="13">
        <v>786</v>
      </c>
      <c r="BJ287" s="13">
        <v>1147</v>
      </c>
      <c r="BR287" s="13">
        <v>487</v>
      </c>
      <c r="BT287" s="13">
        <v>417</v>
      </c>
      <c r="BU287" s="13">
        <v>593</v>
      </c>
      <c r="BY287" s="13" t="s">
        <v>223</v>
      </c>
      <c r="BZ287" s="13" t="s">
        <v>224</v>
      </c>
      <c r="CA287" s="13">
        <v>2022</v>
      </c>
      <c r="CB287" s="21">
        <v>45618</v>
      </c>
      <c r="CC287" s="13" t="s">
        <v>225</v>
      </c>
      <c r="CD287" s="13">
        <v>14</v>
      </c>
      <c r="CE287" s="13">
        <v>1</v>
      </c>
      <c r="CF287" s="13">
        <v>175</v>
      </c>
      <c r="CG287" s="13" t="s">
        <v>226</v>
      </c>
    </row>
    <row r="288" spans="1:85">
      <c r="A288" s="13" t="s">
        <v>1695</v>
      </c>
      <c r="C288" s="13" t="s">
        <v>794</v>
      </c>
      <c r="D288" s="13" t="s">
        <v>827</v>
      </c>
      <c r="E288" s="13" t="s">
        <v>801</v>
      </c>
      <c r="F288" s="13" t="s">
        <v>802</v>
      </c>
      <c r="G288" s="13" t="s">
        <v>672</v>
      </c>
      <c r="H288" s="13" t="s">
        <v>798</v>
      </c>
      <c r="J288" s="13" t="s">
        <v>669</v>
      </c>
      <c r="K288" s="13" t="s">
        <v>2936</v>
      </c>
      <c r="L288" s="13" t="s">
        <v>652</v>
      </c>
      <c r="N288" s="13">
        <v>12</v>
      </c>
      <c r="O288" s="2">
        <f t="shared" si="32"/>
        <v>0.6</v>
      </c>
      <c r="P288" s="13">
        <v>9</v>
      </c>
      <c r="Q288" s="17">
        <f t="shared" si="33"/>
        <v>0.5</v>
      </c>
      <c r="R288" s="13">
        <v>20</v>
      </c>
      <c r="S288" s="13">
        <v>18</v>
      </c>
      <c r="W288" s="13">
        <v>64</v>
      </c>
      <c r="X288" s="13">
        <v>13</v>
      </c>
      <c r="AB288" s="13">
        <v>68</v>
      </c>
      <c r="AC288" s="13">
        <v>10</v>
      </c>
      <c r="AG288" s="13" t="s">
        <v>639</v>
      </c>
      <c r="BG288" s="13">
        <v>98</v>
      </c>
      <c r="BI288" s="13">
        <v>64</v>
      </c>
      <c r="BJ288" s="13">
        <v>141</v>
      </c>
      <c r="BR288" s="13">
        <v>105</v>
      </c>
      <c r="BT288" s="13">
        <v>81</v>
      </c>
      <c r="BU288" s="13">
        <v>134</v>
      </c>
      <c r="BY288" s="13" t="s">
        <v>223</v>
      </c>
      <c r="BZ288" s="13" t="s">
        <v>224</v>
      </c>
      <c r="CA288" s="13">
        <v>2022</v>
      </c>
      <c r="CB288" s="21">
        <v>45618</v>
      </c>
      <c r="CC288" s="13" t="s">
        <v>225</v>
      </c>
      <c r="CD288" s="13">
        <v>14</v>
      </c>
      <c r="CE288" s="13">
        <v>1</v>
      </c>
      <c r="CF288" s="13">
        <v>175</v>
      </c>
      <c r="CG288" s="13" t="s">
        <v>226</v>
      </c>
    </row>
    <row r="289" spans="1:85">
      <c r="A289" s="13" t="s">
        <v>1695</v>
      </c>
      <c r="C289" s="13" t="s">
        <v>794</v>
      </c>
      <c r="D289" s="13" t="s">
        <v>827</v>
      </c>
      <c r="E289" s="13" t="s">
        <v>801</v>
      </c>
      <c r="F289" s="13" t="s">
        <v>802</v>
      </c>
      <c r="G289" s="13" t="s">
        <v>673</v>
      </c>
      <c r="H289" s="13" t="s">
        <v>798</v>
      </c>
      <c r="J289" s="13" t="s">
        <v>669</v>
      </c>
      <c r="K289" s="13" t="s">
        <v>2936</v>
      </c>
      <c r="L289" s="13" t="s">
        <v>652</v>
      </c>
      <c r="N289" s="13">
        <v>12</v>
      </c>
      <c r="O289" s="2">
        <f t="shared" si="32"/>
        <v>0.6</v>
      </c>
      <c r="P289" s="13">
        <v>9</v>
      </c>
      <c r="Q289" s="17">
        <f t="shared" si="33"/>
        <v>0.5</v>
      </c>
      <c r="R289" s="13">
        <v>20</v>
      </c>
      <c r="S289" s="13">
        <v>18</v>
      </c>
      <c r="W289" s="13">
        <v>64</v>
      </c>
      <c r="X289" s="13">
        <v>13</v>
      </c>
      <c r="AB289" s="13">
        <v>68</v>
      </c>
      <c r="AC289" s="13">
        <v>10</v>
      </c>
      <c r="AG289" s="13" t="s">
        <v>639</v>
      </c>
      <c r="BG289" s="13">
        <v>26</v>
      </c>
      <c r="BI289" s="13">
        <v>20</v>
      </c>
      <c r="BJ289" s="13">
        <v>46</v>
      </c>
      <c r="BR289" s="13">
        <v>28</v>
      </c>
      <c r="BT289" s="13">
        <v>21</v>
      </c>
      <c r="BU289" s="13">
        <v>42</v>
      </c>
      <c r="BY289" s="13" t="s">
        <v>223</v>
      </c>
      <c r="BZ289" s="13" t="s">
        <v>224</v>
      </c>
      <c r="CA289" s="13">
        <v>2022</v>
      </c>
      <c r="CB289" s="21">
        <v>45618</v>
      </c>
      <c r="CC289" s="13" t="s">
        <v>225</v>
      </c>
      <c r="CD289" s="13">
        <v>14</v>
      </c>
      <c r="CE289" s="13">
        <v>1</v>
      </c>
      <c r="CF289" s="13">
        <v>175</v>
      </c>
      <c r="CG289" s="13" t="s">
        <v>226</v>
      </c>
    </row>
    <row r="290" spans="1:85">
      <c r="A290" s="13" t="s">
        <v>1695</v>
      </c>
      <c r="C290" s="13" t="s">
        <v>794</v>
      </c>
      <c r="D290" s="13" t="s">
        <v>827</v>
      </c>
      <c r="E290" s="13" t="s">
        <v>801</v>
      </c>
      <c r="F290" s="13" t="s">
        <v>802</v>
      </c>
      <c r="G290" s="13" t="s">
        <v>672</v>
      </c>
      <c r="H290" s="13" t="s">
        <v>676</v>
      </c>
      <c r="J290" s="13" t="s">
        <v>669</v>
      </c>
      <c r="K290" s="13" t="s">
        <v>2936</v>
      </c>
      <c r="L290" s="13" t="s">
        <v>585</v>
      </c>
      <c r="N290" s="13">
        <v>12</v>
      </c>
      <c r="O290" s="2">
        <f t="shared" si="32"/>
        <v>0.6</v>
      </c>
      <c r="P290" s="13">
        <v>9</v>
      </c>
      <c r="Q290" s="17">
        <f t="shared" si="33"/>
        <v>0.5</v>
      </c>
      <c r="R290" s="13">
        <v>20</v>
      </c>
      <c r="S290" s="13">
        <v>18</v>
      </c>
      <c r="W290" s="13">
        <v>64</v>
      </c>
      <c r="X290" s="13">
        <v>13</v>
      </c>
      <c r="AB290" s="13">
        <v>68</v>
      </c>
      <c r="AC290" s="13">
        <v>10</v>
      </c>
      <c r="AG290" s="13" t="s">
        <v>639</v>
      </c>
      <c r="BG290" s="13">
        <v>199</v>
      </c>
      <c r="BI290" s="13">
        <v>141</v>
      </c>
      <c r="BJ290" s="13">
        <v>337</v>
      </c>
      <c r="BR290" s="13">
        <v>331</v>
      </c>
      <c r="BT290" s="13">
        <v>260</v>
      </c>
      <c r="BU290" s="13">
        <v>426</v>
      </c>
      <c r="BY290" s="13" t="s">
        <v>223</v>
      </c>
      <c r="BZ290" s="13" t="s">
        <v>224</v>
      </c>
      <c r="CA290" s="13">
        <v>2022</v>
      </c>
      <c r="CB290" s="21">
        <v>45618</v>
      </c>
      <c r="CC290" s="13" t="s">
        <v>225</v>
      </c>
      <c r="CD290" s="13">
        <v>14</v>
      </c>
      <c r="CE290" s="13">
        <v>1</v>
      </c>
      <c r="CF290" s="13">
        <v>175</v>
      </c>
      <c r="CG290" s="13" t="s">
        <v>226</v>
      </c>
    </row>
    <row r="291" spans="1:85">
      <c r="A291" s="13" t="s">
        <v>1695</v>
      </c>
      <c r="C291" s="13" t="s">
        <v>794</v>
      </c>
      <c r="D291" s="13" t="s">
        <v>827</v>
      </c>
      <c r="E291" s="13" t="s">
        <v>801</v>
      </c>
      <c r="F291" s="13" t="s">
        <v>802</v>
      </c>
      <c r="G291" s="13" t="s">
        <v>672</v>
      </c>
      <c r="H291" s="13" t="s">
        <v>721</v>
      </c>
      <c r="J291" s="13" t="s">
        <v>669</v>
      </c>
      <c r="K291" s="13" t="s">
        <v>2936</v>
      </c>
      <c r="L291" s="13" t="s">
        <v>585</v>
      </c>
      <c r="M291" s="13" t="s">
        <v>4147</v>
      </c>
      <c r="N291" s="13">
        <v>12</v>
      </c>
      <c r="O291" s="2">
        <f t="shared" si="32"/>
        <v>0.6</v>
      </c>
      <c r="P291" s="13">
        <v>9</v>
      </c>
      <c r="Q291" s="17">
        <f t="shared" si="33"/>
        <v>0.5</v>
      </c>
      <c r="R291" s="13">
        <v>20</v>
      </c>
      <c r="S291" s="13">
        <v>18</v>
      </c>
      <c r="W291" s="13">
        <v>64</v>
      </c>
      <c r="X291" s="13">
        <v>13</v>
      </c>
      <c r="AB291" s="13">
        <v>68</v>
      </c>
      <c r="AC291" s="13">
        <v>10</v>
      </c>
      <c r="AG291" s="13" t="s">
        <v>639</v>
      </c>
      <c r="BG291" s="13">
        <v>37</v>
      </c>
      <c r="BI291" s="13">
        <v>29</v>
      </c>
      <c r="BJ291" s="13">
        <v>57</v>
      </c>
      <c r="BR291" s="13">
        <v>43</v>
      </c>
      <c r="BT291" s="13">
        <v>27</v>
      </c>
      <c r="BU291" s="13">
        <v>57</v>
      </c>
      <c r="BY291" s="13" t="s">
        <v>223</v>
      </c>
      <c r="BZ291" s="13" t="s">
        <v>224</v>
      </c>
      <c r="CA291" s="13">
        <v>2022</v>
      </c>
      <c r="CB291" s="21">
        <v>45618</v>
      </c>
      <c r="CC291" s="13" t="s">
        <v>225</v>
      </c>
      <c r="CD291" s="13">
        <v>14</v>
      </c>
      <c r="CE291" s="13">
        <v>1</v>
      </c>
      <c r="CF291" s="13">
        <v>175</v>
      </c>
      <c r="CG291" s="13" t="s">
        <v>226</v>
      </c>
    </row>
    <row r="292" spans="1:85">
      <c r="A292" s="13" t="s">
        <v>1695</v>
      </c>
      <c r="C292" s="13" t="s">
        <v>794</v>
      </c>
      <c r="D292" s="13" t="s">
        <v>827</v>
      </c>
      <c r="E292" s="13" t="s">
        <v>801</v>
      </c>
      <c r="F292" s="13" t="s">
        <v>802</v>
      </c>
      <c r="G292" s="13" t="s">
        <v>672</v>
      </c>
      <c r="H292" s="13" t="s">
        <v>823</v>
      </c>
      <c r="J292" s="13" t="s">
        <v>669</v>
      </c>
      <c r="K292" s="13" t="s">
        <v>2936</v>
      </c>
      <c r="L292" s="13" t="s">
        <v>585</v>
      </c>
      <c r="N292" s="13">
        <v>12</v>
      </c>
      <c r="O292" s="2">
        <f t="shared" si="32"/>
        <v>0.6</v>
      </c>
      <c r="P292" s="13">
        <v>9</v>
      </c>
      <c r="Q292" s="17">
        <f t="shared" si="33"/>
        <v>0.5</v>
      </c>
      <c r="R292" s="13">
        <v>20</v>
      </c>
      <c r="S292" s="13">
        <v>18</v>
      </c>
      <c r="W292" s="13">
        <v>64</v>
      </c>
      <c r="X292" s="13">
        <v>13</v>
      </c>
      <c r="AB292" s="13">
        <v>68</v>
      </c>
      <c r="AC292" s="13">
        <v>10</v>
      </c>
      <c r="AG292" s="13" t="s">
        <v>639</v>
      </c>
      <c r="BG292" s="13">
        <v>945</v>
      </c>
      <c r="BI292" s="13">
        <v>786</v>
      </c>
      <c r="BJ292" s="13">
        <v>1147</v>
      </c>
      <c r="BR292" s="13">
        <v>871</v>
      </c>
      <c r="BT292" s="13">
        <v>735</v>
      </c>
      <c r="BU292" s="13">
        <v>1157</v>
      </c>
      <c r="BY292" s="13" t="s">
        <v>223</v>
      </c>
      <c r="BZ292" s="13" t="s">
        <v>224</v>
      </c>
      <c r="CA292" s="13">
        <v>2022</v>
      </c>
      <c r="CB292" s="21">
        <v>45618</v>
      </c>
      <c r="CC292" s="13" t="s">
        <v>225</v>
      </c>
      <c r="CD292" s="13">
        <v>14</v>
      </c>
      <c r="CE292" s="13">
        <v>1</v>
      </c>
      <c r="CF292" s="13">
        <v>175</v>
      </c>
      <c r="CG292" s="13" t="s">
        <v>226</v>
      </c>
    </row>
    <row r="293" spans="1:85">
      <c r="A293" s="13" t="s">
        <v>1695</v>
      </c>
      <c r="C293" s="13" t="s">
        <v>794</v>
      </c>
      <c r="D293" s="13" t="s">
        <v>827</v>
      </c>
      <c r="E293" s="13" t="s">
        <v>803</v>
      </c>
      <c r="F293" s="13" t="s">
        <v>804</v>
      </c>
      <c r="G293" s="13" t="s">
        <v>672</v>
      </c>
      <c r="H293" s="13" t="s">
        <v>798</v>
      </c>
      <c r="J293" s="13" t="s">
        <v>669</v>
      </c>
      <c r="K293" s="13" t="s">
        <v>2936</v>
      </c>
      <c r="L293" s="13" t="s">
        <v>652</v>
      </c>
      <c r="N293" s="13">
        <v>12</v>
      </c>
      <c r="O293" s="2">
        <f t="shared" si="32"/>
        <v>0.6</v>
      </c>
      <c r="P293" s="13">
        <v>8</v>
      </c>
      <c r="Q293" s="17">
        <f t="shared" si="33"/>
        <v>0.36363636363636365</v>
      </c>
      <c r="R293" s="13">
        <v>20</v>
      </c>
      <c r="S293" s="13">
        <v>22</v>
      </c>
      <c r="W293" s="13">
        <v>64</v>
      </c>
      <c r="X293" s="13">
        <v>13</v>
      </c>
      <c r="AB293" s="13">
        <v>65</v>
      </c>
      <c r="AC293" s="13">
        <v>8</v>
      </c>
      <c r="AG293" s="13" t="s">
        <v>639</v>
      </c>
      <c r="BG293" s="13">
        <v>98</v>
      </c>
      <c r="BI293" s="13">
        <v>64</v>
      </c>
      <c r="BJ293" s="13">
        <v>141</v>
      </c>
      <c r="BR293" s="13">
        <v>624</v>
      </c>
      <c r="BT293" s="13">
        <v>326</v>
      </c>
      <c r="BU293" s="13">
        <v>1173</v>
      </c>
      <c r="BX293" s="13" t="s">
        <v>701</v>
      </c>
      <c r="BY293" s="13" t="s">
        <v>223</v>
      </c>
      <c r="BZ293" s="13" t="s">
        <v>224</v>
      </c>
      <c r="CA293" s="13">
        <v>2022</v>
      </c>
      <c r="CB293" s="21">
        <v>45618</v>
      </c>
      <c r="CC293" s="13" t="s">
        <v>225</v>
      </c>
      <c r="CD293" s="13">
        <v>14</v>
      </c>
      <c r="CE293" s="13">
        <v>1</v>
      </c>
      <c r="CF293" s="13">
        <v>175</v>
      </c>
      <c r="CG293" s="13" t="s">
        <v>226</v>
      </c>
    </row>
    <row r="294" spans="1:85">
      <c r="A294" s="13" t="s">
        <v>1695</v>
      </c>
      <c r="C294" s="13" t="s">
        <v>794</v>
      </c>
      <c r="D294" s="13" t="s">
        <v>827</v>
      </c>
      <c r="E294" s="13" t="s">
        <v>803</v>
      </c>
      <c r="F294" s="13" t="s">
        <v>804</v>
      </c>
      <c r="G294" s="13" t="s">
        <v>673</v>
      </c>
      <c r="H294" s="13" t="s">
        <v>798</v>
      </c>
      <c r="J294" s="13" t="s">
        <v>669</v>
      </c>
      <c r="K294" s="13" t="s">
        <v>2936</v>
      </c>
      <c r="L294" s="13" t="s">
        <v>652</v>
      </c>
      <c r="N294" s="13">
        <v>12</v>
      </c>
      <c r="O294" s="2">
        <f t="shared" si="32"/>
        <v>0.6</v>
      </c>
      <c r="P294" s="13">
        <v>8</v>
      </c>
      <c r="Q294" s="17">
        <f t="shared" si="33"/>
        <v>0.36363636363636365</v>
      </c>
      <c r="R294" s="13">
        <v>20</v>
      </c>
      <c r="S294" s="13">
        <v>22</v>
      </c>
      <c r="W294" s="13">
        <v>64</v>
      </c>
      <c r="X294" s="13">
        <v>13</v>
      </c>
      <c r="AB294" s="13">
        <v>65</v>
      </c>
      <c r="AC294" s="13">
        <v>8</v>
      </c>
      <c r="AG294" s="13" t="s">
        <v>639</v>
      </c>
      <c r="BG294" s="13">
        <v>26</v>
      </c>
      <c r="BI294" s="13">
        <v>20</v>
      </c>
      <c r="BJ294" s="13">
        <v>46</v>
      </c>
      <c r="BR294" s="13">
        <v>96</v>
      </c>
      <c r="BT294" s="13">
        <v>52</v>
      </c>
      <c r="BU294" s="13">
        <v>142</v>
      </c>
      <c r="BX294" s="13">
        <v>4.0000000000000002E-4</v>
      </c>
      <c r="BY294" s="13" t="s">
        <v>223</v>
      </c>
      <c r="BZ294" s="13" t="s">
        <v>224</v>
      </c>
      <c r="CA294" s="13">
        <v>2022</v>
      </c>
      <c r="CB294" s="21">
        <v>45618</v>
      </c>
      <c r="CC294" s="13" t="s">
        <v>225</v>
      </c>
      <c r="CD294" s="13">
        <v>14</v>
      </c>
      <c r="CE294" s="13">
        <v>1</v>
      </c>
      <c r="CF294" s="13">
        <v>175</v>
      </c>
      <c r="CG294" s="13" t="s">
        <v>226</v>
      </c>
    </row>
    <row r="295" spans="1:85">
      <c r="A295" s="13" t="s">
        <v>1695</v>
      </c>
      <c r="C295" s="13" t="s">
        <v>794</v>
      </c>
      <c r="D295" s="13" t="s">
        <v>827</v>
      </c>
      <c r="E295" s="13" t="s">
        <v>803</v>
      </c>
      <c r="F295" s="13" t="s">
        <v>804</v>
      </c>
      <c r="G295" s="13" t="s">
        <v>672</v>
      </c>
      <c r="H295" s="13" t="s">
        <v>676</v>
      </c>
      <c r="J295" s="13" t="s">
        <v>669</v>
      </c>
      <c r="K295" s="13" t="s">
        <v>2936</v>
      </c>
      <c r="L295" s="13" t="s">
        <v>585</v>
      </c>
      <c r="N295" s="13">
        <v>12</v>
      </c>
      <c r="O295" s="2">
        <f t="shared" si="32"/>
        <v>0.6</v>
      </c>
      <c r="P295" s="13">
        <v>8</v>
      </c>
      <c r="Q295" s="17">
        <f t="shared" si="33"/>
        <v>0.36363636363636365</v>
      </c>
      <c r="R295" s="13">
        <v>20</v>
      </c>
      <c r="S295" s="13">
        <v>22</v>
      </c>
      <c r="W295" s="13">
        <v>64</v>
      </c>
      <c r="X295" s="13">
        <v>13</v>
      </c>
      <c r="AB295" s="13">
        <v>65</v>
      </c>
      <c r="AC295" s="13">
        <v>8</v>
      </c>
      <c r="AG295" s="13" t="s">
        <v>639</v>
      </c>
      <c r="BG295" s="13">
        <v>199</v>
      </c>
      <c r="BI295" s="13">
        <v>141</v>
      </c>
      <c r="BJ295" s="13">
        <v>337</v>
      </c>
      <c r="BR295" s="13">
        <v>8275</v>
      </c>
      <c r="BT295" s="13">
        <v>4403</v>
      </c>
      <c r="BU295" s="13">
        <v>19408</v>
      </c>
      <c r="BX295" s="13" t="s">
        <v>701</v>
      </c>
      <c r="BY295" s="13" t="s">
        <v>223</v>
      </c>
      <c r="BZ295" s="13" t="s">
        <v>224</v>
      </c>
      <c r="CA295" s="13">
        <v>2022</v>
      </c>
      <c r="CB295" s="21">
        <v>45618</v>
      </c>
      <c r="CC295" s="13" t="s">
        <v>225</v>
      </c>
      <c r="CD295" s="13">
        <v>14</v>
      </c>
      <c r="CE295" s="13">
        <v>1</v>
      </c>
      <c r="CF295" s="13">
        <v>175</v>
      </c>
      <c r="CG295" s="13" t="s">
        <v>226</v>
      </c>
    </row>
    <row r="296" spans="1:85">
      <c r="A296" s="13" t="s">
        <v>1695</v>
      </c>
      <c r="C296" s="13" t="s">
        <v>794</v>
      </c>
      <c r="D296" s="13" t="s">
        <v>827</v>
      </c>
      <c r="E296" s="13" t="s">
        <v>806</v>
      </c>
      <c r="F296" s="13" t="s">
        <v>805</v>
      </c>
      <c r="G296" s="13" t="s">
        <v>672</v>
      </c>
      <c r="H296" s="13" t="s">
        <v>798</v>
      </c>
      <c r="J296" s="13" t="s">
        <v>669</v>
      </c>
      <c r="K296" s="13" t="s">
        <v>2936</v>
      </c>
      <c r="L296" s="13" t="s">
        <v>652</v>
      </c>
      <c r="N296" s="13">
        <v>12</v>
      </c>
      <c r="O296" s="2">
        <f t="shared" si="32"/>
        <v>0.6</v>
      </c>
      <c r="P296" s="13">
        <v>15</v>
      </c>
      <c r="Q296" s="17">
        <f t="shared" si="33"/>
        <v>0.57692307692307687</v>
      </c>
      <c r="R296" s="13">
        <v>20</v>
      </c>
      <c r="S296" s="13">
        <v>26</v>
      </c>
      <c r="W296" s="13">
        <v>64</v>
      </c>
      <c r="X296" s="13">
        <v>13</v>
      </c>
      <c r="AB296" s="13">
        <v>70</v>
      </c>
      <c r="AC296" s="13">
        <v>8</v>
      </c>
      <c r="AG296" s="13" t="s">
        <v>639</v>
      </c>
      <c r="BG296" s="13">
        <v>98</v>
      </c>
      <c r="BI296" s="13">
        <v>64</v>
      </c>
      <c r="BJ296" s="13">
        <v>141</v>
      </c>
      <c r="BR296" s="13">
        <v>112</v>
      </c>
      <c r="BT296" s="13">
        <v>66</v>
      </c>
      <c r="BU296" s="13">
        <v>166</v>
      </c>
      <c r="BY296" s="13" t="s">
        <v>223</v>
      </c>
      <c r="BZ296" s="13" t="s">
        <v>224</v>
      </c>
      <c r="CA296" s="13">
        <v>2022</v>
      </c>
      <c r="CB296" s="21">
        <v>45618</v>
      </c>
      <c r="CC296" s="13" t="s">
        <v>225</v>
      </c>
      <c r="CD296" s="13">
        <v>14</v>
      </c>
      <c r="CE296" s="13">
        <v>1</v>
      </c>
      <c r="CF296" s="13">
        <v>175</v>
      </c>
      <c r="CG296" s="13" t="s">
        <v>226</v>
      </c>
    </row>
    <row r="297" spans="1:85">
      <c r="A297" s="13" t="s">
        <v>1695</v>
      </c>
      <c r="C297" s="13" t="s">
        <v>794</v>
      </c>
      <c r="D297" s="13" t="s">
        <v>827</v>
      </c>
      <c r="E297" s="13" t="s">
        <v>806</v>
      </c>
      <c r="F297" s="13" t="s">
        <v>805</v>
      </c>
      <c r="G297" s="13" t="s">
        <v>673</v>
      </c>
      <c r="H297" s="13" t="s">
        <v>798</v>
      </c>
      <c r="J297" s="13" t="s">
        <v>669</v>
      </c>
      <c r="K297" s="13" t="s">
        <v>2936</v>
      </c>
      <c r="L297" s="13" t="s">
        <v>652</v>
      </c>
      <c r="N297" s="13">
        <v>12</v>
      </c>
      <c r="O297" s="2">
        <f t="shared" si="32"/>
        <v>0.6</v>
      </c>
      <c r="P297" s="13">
        <v>15</v>
      </c>
      <c r="Q297" s="17">
        <f t="shared" si="33"/>
        <v>0.57692307692307687</v>
      </c>
      <c r="R297" s="13">
        <v>20</v>
      </c>
      <c r="S297" s="13">
        <v>26</v>
      </c>
      <c r="W297" s="13">
        <v>64</v>
      </c>
      <c r="X297" s="13">
        <v>13</v>
      </c>
      <c r="AB297" s="13">
        <v>70</v>
      </c>
      <c r="AC297" s="13">
        <v>8</v>
      </c>
      <c r="AG297" s="13" t="s">
        <v>639</v>
      </c>
      <c r="BG297" s="13">
        <v>26</v>
      </c>
      <c r="BI297" s="13">
        <v>20</v>
      </c>
      <c r="BJ297" s="13">
        <v>46</v>
      </c>
      <c r="BR297" s="13">
        <v>27</v>
      </c>
      <c r="BT297" s="13">
        <v>18</v>
      </c>
      <c r="BU297" s="13">
        <v>32</v>
      </c>
      <c r="BY297" s="13" t="s">
        <v>223</v>
      </c>
      <c r="BZ297" s="13" t="s">
        <v>224</v>
      </c>
      <c r="CA297" s="13">
        <v>2022</v>
      </c>
      <c r="CB297" s="21">
        <v>45618</v>
      </c>
      <c r="CC297" s="13" t="s">
        <v>225</v>
      </c>
      <c r="CD297" s="13">
        <v>14</v>
      </c>
      <c r="CE297" s="13">
        <v>1</v>
      </c>
      <c r="CF297" s="13">
        <v>175</v>
      </c>
      <c r="CG297" s="13" t="s">
        <v>226</v>
      </c>
    </row>
    <row r="298" spans="1:85">
      <c r="A298" s="13" t="s">
        <v>1695</v>
      </c>
      <c r="C298" s="13" t="s">
        <v>794</v>
      </c>
      <c r="D298" s="13" t="s">
        <v>827</v>
      </c>
      <c r="E298" s="13" t="s">
        <v>806</v>
      </c>
      <c r="F298" s="13" t="s">
        <v>805</v>
      </c>
      <c r="G298" s="13" t="s">
        <v>672</v>
      </c>
      <c r="H298" s="13" t="s">
        <v>676</v>
      </c>
      <c r="J298" s="13" t="s">
        <v>669</v>
      </c>
      <c r="K298" s="13" t="s">
        <v>2936</v>
      </c>
      <c r="L298" s="13" t="s">
        <v>585</v>
      </c>
      <c r="N298" s="13">
        <v>12</v>
      </c>
      <c r="O298" s="2">
        <f t="shared" si="32"/>
        <v>0.6</v>
      </c>
      <c r="P298" s="13">
        <v>15</v>
      </c>
      <c r="Q298" s="17">
        <f t="shared" si="33"/>
        <v>0.57692307692307687</v>
      </c>
      <c r="R298" s="13">
        <v>20</v>
      </c>
      <c r="S298" s="13">
        <v>26</v>
      </c>
      <c r="W298" s="13">
        <v>64</v>
      </c>
      <c r="X298" s="13">
        <v>13</v>
      </c>
      <c r="AB298" s="13">
        <v>70</v>
      </c>
      <c r="AC298" s="13">
        <v>8</v>
      </c>
      <c r="AG298" s="13" t="s">
        <v>639</v>
      </c>
      <c r="BG298" s="13">
        <v>199</v>
      </c>
      <c r="BI298" s="13">
        <v>141</v>
      </c>
      <c r="BJ298" s="13">
        <v>337</v>
      </c>
      <c r="BR298" s="13">
        <v>285</v>
      </c>
      <c r="BT298" s="13">
        <v>152</v>
      </c>
      <c r="BU298" s="13">
        <v>325</v>
      </c>
      <c r="BY298" s="13" t="s">
        <v>223</v>
      </c>
      <c r="BZ298" s="13" t="s">
        <v>224</v>
      </c>
      <c r="CA298" s="13">
        <v>2022</v>
      </c>
      <c r="CB298" s="21">
        <v>45618</v>
      </c>
      <c r="CC298" s="13" t="s">
        <v>225</v>
      </c>
      <c r="CD298" s="13">
        <v>14</v>
      </c>
      <c r="CE298" s="13">
        <v>1</v>
      </c>
      <c r="CF298" s="13">
        <v>175</v>
      </c>
      <c r="CG298" s="13" t="s">
        <v>226</v>
      </c>
    </row>
    <row r="299" spans="1:85">
      <c r="A299" s="13" t="s">
        <v>1695</v>
      </c>
      <c r="C299" s="13" t="s">
        <v>794</v>
      </c>
      <c r="D299" s="13" t="s">
        <v>827</v>
      </c>
      <c r="E299" s="13" t="s">
        <v>806</v>
      </c>
      <c r="F299" s="13" t="s">
        <v>805</v>
      </c>
      <c r="G299" s="13" t="s">
        <v>672</v>
      </c>
      <c r="H299" s="13" t="s">
        <v>721</v>
      </c>
      <c r="J299" s="13" t="s">
        <v>669</v>
      </c>
      <c r="K299" s="13" t="s">
        <v>2936</v>
      </c>
      <c r="L299" s="13" t="s">
        <v>585</v>
      </c>
      <c r="M299" s="13" t="s">
        <v>4148</v>
      </c>
      <c r="N299" s="13">
        <v>12</v>
      </c>
      <c r="O299" s="2">
        <f t="shared" si="32"/>
        <v>0.6</v>
      </c>
      <c r="P299" s="13">
        <v>15</v>
      </c>
      <c r="Q299" s="17">
        <f t="shared" si="33"/>
        <v>0.57692307692307687</v>
      </c>
      <c r="R299" s="13">
        <v>20</v>
      </c>
      <c r="S299" s="13">
        <v>26</v>
      </c>
      <c r="W299" s="13">
        <v>64</v>
      </c>
      <c r="X299" s="13">
        <v>13</v>
      </c>
      <c r="AB299" s="13">
        <v>70</v>
      </c>
      <c r="AC299" s="13">
        <v>8</v>
      </c>
      <c r="AG299" s="13" t="s">
        <v>639</v>
      </c>
      <c r="BG299" s="13">
        <v>37</v>
      </c>
      <c r="BI299" s="13">
        <v>29</v>
      </c>
      <c r="BJ299" s="13">
        <v>57</v>
      </c>
      <c r="BR299" s="13">
        <v>49</v>
      </c>
      <c r="BT299" s="13">
        <v>36</v>
      </c>
      <c r="BU299" s="13">
        <v>64</v>
      </c>
      <c r="BY299" s="13" t="s">
        <v>223</v>
      </c>
      <c r="BZ299" s="13" t="s">
        <v>224</v>
      </c>
      <c r="CA299" s="13">
        <v>2022</v>
      </c>
      <c r="CB299" s="21">
        <v>45618</v>
      </c>
      <c r="CC299" s="13" t="s">
        <v>225</v>
      </c>
      <c r="CD299" s="13">
        <v>14</v>
      </c>
      <c r="CE299" s="13">
        <v>1</v>
      </c>
      <c r="CF299" s="13">
        <v>175</v>
      </c>
      <c r="CG299" s="13" t="s">
        <v>226</v>
      </c>
    </row>
    <row r="300" spans="1:85">
      <c r="A300" s="13" t="s">
        <v>1695</v>
      </c>
      <c r="C300" s="13" t="s">
        <v>794</v>
      </c>
      <c r="D300" s="13" t="s">
        <v>827</v>
      </c>
      <c r="E300" s="13" t="s">
        <v>806</v>
      </c>
      <c r="F300" s="13" t="s">
        <v>805</v>
      </c>
      <c r="G300" s="13" t="s">
        <v>672</v>
      </c>
      <c r="H300" s="13" t="s">
        <v>823</v>
      </c>
      <c r="J300" s="13" t="s">
        <v>669</v>
      </c>
      <c r="K300" s="13" t="s">
        <v>2936</v>
      </c>
      <c r="L300" s="13" t="s">
        <v>585</v>
      </c>
      <c r="N300" s="13">
        <v>12</v>
      </c>
      <c r="O300" s="2">
        <f t="shared" si="32"/>
        <v>0.6</v>
      </c>
      <c r="P300" s="13">
        <v>15</v>
      </c>
      <c r="Q300" s="17">
        <f t="shared" si="33"/>
        <v>0.57692307692307687</v>
      </c>
      <c r="R300" s="13">
        <v>20</v>
      </c>
      <c r="S300" s="13">
        <v>26</v>
      </c>
      <c r="W300" s="13">
        <v>64</v>
      </c>
      <c r="X300" s="13">
        <v>13</v>
      </c>
      <c r="AB300" s="13">
        <v>70</v>
      </c>
      <c r="AC300" s="13">
        <v>8</v>
      </c>
      <c r="AG300" s="13" t="s">
        <v>639</v>
      </c>
      <c r="BG300" s="13">
        <v>945</v>
      </c>
      <c r="BI300" s="13">
        <v>786</v>
      </c>
      <c r="BJ300" s="13">
        <v>1147</v>
      </c>
      <c r="BR300" s="13">
        <v>899</v>
      </c>
      <c r="BT300" s="13">
        <v>517</v>
      </c>
      <c r="BU300" s="13">
        <v>1116</v>
      </c>
      <c r="BY300" s="13" t="s">
        <v>223</v>
      </c>
      <c r="BZ300" s="13" t="s">
        <v>224</v>
      </c>
      <c r="CA300" s="13">
        <v>2022</v>
      </c>
      <c r="CB300" s="21">
        <v>45618</v>
      </c>
      <c r="CC300" s="13" t="s">
        <v>225</v>
      </c>
      <c r="CD300" s="13">
        <v>14</v>
      </c>
      <c r="CE300" s="13">
        <v>1</v>
      </c>
      <c r="CF300" s="13">
        <v>175</v>
      </c>
      <c r="CG300" s="13" t="s">
        <v>226</v>
      </c>
    </row>
    <row r="301" spans="1:85">
      <c r="A301" s="13" t="s">
        <v>1696</v>
      </c>
      <c r="B301" s="13" t="s">
        <v>2005</v>
      </c>
      <c r="C301" s="13" t="s">
        <v>795</v>
      </c>
      <c r="D301" s="13" t="s">
        <v>827</v>
      </c>
      <c r="E301" s="13" t="s">
        <v>799</v>
      </c>
      <c r="F301" s="13" t="s">
        <v>793</v>
      </c>
      <c r="G301" s="13" t="s">
        <v>672</v>
      </c>
      <c r="H301" s="13" t="s">
        <v>675</v>
      </c>
      <c r="J301" s="13" t="s">
        <v>669</v>
      </c>
      <c r="K301" s="13" t="s">
        <v>2936</v>
      </c>
      <c r="L301" s="13" t="s">
        <v>808</v>
      </c>
      <c r="Q301" s="2"/>
      <c r="R301" s="13">
        <v>70</v>
      </c>
      <c r="S301" s="13">
        <v>72</v>
      </c>
      <c r="W301" s="13">
        <v>62</v>
      </c>
      <c r="X301" s="13">
        <v>13</v>
      </c>
      <c r="AG301" s="13" t="s">
        <v>639</v>
      </c>
      <c r="AH301" s="13">
        <v>1324</v>
      </c>
      <c r="AJ301" s="13">
        <v>87</v>
      </c>
      <c r="AK301" s="13">
        <v>77</v>
      </c>
      <c r="AL301" s="13">
        <v>94</v>
      </c>
      <c r="AM301" s="13">
        <v>90</v>
      </c>
      <c r="AN301" s="13">
        <v>81</v>
      </c>
      <c r="AO301" s="13">
        <v>96</v>
      </c>
      <c r="AP301" s="13">
        <v>0.94</v>
      </c>
      <c r="AR301" s="13">
        <v>0.91</v>
      </c>
      <c r="AS301" s="13">
        <v>0.98</v>
      </c>
      <c r="BG301" s="13">
        <v>4207</v>
      </c>
      <c r="BI301" s="13">
        <v>2360</v>
      </c>
      <c r="BJ301" s="13">
        <v>6839</v>
      </c>
      <c r="BR301" s="13">
        <v>607</v>
      </c>
      <c r="BT301" s="13">
        <v>434</v>
      </c>
      <c r="BU301" s="13">
        <v>954</v>
      </c>
      <c r="BY301" s="13" t="s">
        <v>227</v>
      </c>
      <c r="BZ301" s="13" t="s">
        <v>228</v>
      </c>
      <c r="CA301" s="13">
        <v>2022</v>
      </c>
      <c r="CB301" s="13" t="s">
        <v>73</v>
      </c>
      <c r="CC301" s="13" t="s">
        <v>195</v>
      </c>
      <c r="CD301" s="13">
        <v>93</v>
      </c>
      <c r="CE301" s="13">
        <v>1</v>
      </c>
      <c r="CF301" s="13" t="s">
        <v>229</v>
      </c>
      <c r="CG301" s="13" t="s">
        <v>230</v>
      </c>
    </row>
    <row r="302" spans="1:85">
      <c r="A302" s="13" t="s">
        <v>1696</v>
      </c>
      <c r="B302" s="13" t="s">
        <v>2005</v>
      </c>
      <c r="C302" s="13" t="s">
        <v>795</v>
      </c>
      <c r="D302" s="13" t="s">
        <v>827</v>
      </c>
      <c r="E302" s="13" t="s">
        <v>633</v>
      </c>
      <c r="F302" s="13" t="s">
        <v>810</v>
      </c>
      <c r="G302" s="13" t="s">
        <v>672</v>
      </c>
      <c r="H302" s="13" t="s">
        <v>675</v>
      </c>
      <c r="J302" s="13" t="s">
        <v>669</v>
      </c>
      <c r="K302" s="13" t="s">
        <v>2936</v>
      </c>
      <c r="L302" s="13" t="s">
        <v>808</v>
      </c>
      <c r="Q302" s="2"/>
      <c r="R302" s="13">
        <v>70</v>
      </c>
      <c r="S302" s="13">
        <v>54</v>
      </c>
      <c r="W302" s="13">
        <v>62</v>
      </c>
      <c r="X302" s="13">
        <v>13</v>
      </c>
      <c r="AG302" s="13" t="s">
        <v>639</v>
      </c>
      <c r="AH302" s="13">
        <v>1599</v>
      </c>
      <c r="AJ302" s="13">
        <v>83</v>
      </c>
      <c r="AK302" s="13">
        <v>72</v>
      </c>
      <c r="AL302" s="13">
        <v>91</v>
      </c>
      <c r="AM302" s="13">
        <v>96</v>
      </c>
      <c r="AN302" s="13">
        <v>87</v>
      </c>
      <c r="AO302" s="13">
        <v>99</v>
      </c>
      <c r="AP302" s="13">
        <v>0.94</v>
      </c>
      <c r="AR302" s="13">
        <v>0.91</v>
      </c>
      <c r="AS302" s="13">
        <v>0.98</v>
      </c>
      <c r="BG302" s="13">
        <v>4207</v>
      </c>
      <c r="BI302" s="13">
        <v>2360</v>
      </c>
      <c r="BJ302" s="13">
        <v>6839</v>
      </c>
      <c r="BR302" s="13">
        <v>593</v>
      </c>
      <c r="BT302" s="13">
        <v>458</v>
      </c>
      <c r="BU302" s="13">
        <v>934</v>
      </c>
      <c r="BY302" s="13" t="s">
        <v>227</v>
      </c>
      <c r="BZ302" s="13" t="s">
        <v>228</v>
      </c>
      <c r="CA302" s="13">
        <v>2022</v>
      </c>
      <c r="CB302" s="13" t="s">
        <v>73</v>
      </c>
      <c r="CC302" s="13" t="s">
        <v>195</v>
      </c>
      <c r="CD302" s="13">
        <v>93</v>
      </c>
      <c r="CE302" s="13">
        <v>1</v>
      </c>
      <c r="CF302" s="13" t="s">
        <v>229</v>
      </c>
      <c r="CG302" s="13" t="s">
        <v>230</v>
      </c>
    </row>
    <row r="303" spans="1:85">
      <c r="A303" s="13" t="s">
        <v>1696</v>
      </c>
      <c r="B303" s="13" t="s">
        <v>2005</v>
      </c>
      <c r="C303" s="13" t="s">
        <v>795</v>
      </c>
      <c r="D303" s="13" t="s">
        <v>827</v>
      </c>
      <c r="E303" s="13" t="s">
        <v>799</v>
      </c>
      <c r="F303" s="13" t="s">
        <v>793</v>
      </c>
      <c r="G303" s="13" t="s">
        <v>672</v>
      </c>
      <c r="H303" s="13" t="s">
        <v>807</v>
      </c>
      <c r="J303" s="13" t="s">
        <v>669</v>
      </c>
      <c r="K303" s="13" t="s">
        <v>2936</v>
      </c>
      <c r="L303" s="13" t="s">
        <v>808</v>
      </c>
      <c r="Q303" s="2"/>
      <c r="R303" s="13">
        <v>68</v>
      </c>
      <c r="S303" s="13">
        <v>67</v>
      </c>
      <c r="W303" s="13">
        <v>62</v>
      </c>
      <c r="X303" s="13">
        <v>13</v>
      </c>
      <c r="AG303" s="13" t="s">
        <v>639</v>
      </c>
      <c r="AH303" s="13">
        <v>1598</v>
      </c>
      <c r="AJ303" s="13">
        <v>88</v>
      </c>
      <c r="AK303" s="13">
        <v>78</v>
      </c>
      <c r="AL303" s="13">
        <v>95</v>
      </c>
      <c r="AM303" s="13">
        <v>90</v>
      </c>
      <c r="AN303" s="13">
        <v>80</v>
      </c>
      <c r="AO303" s="13">
        <v>96</v>
      </c>
      <c r="AP303" s="13">
        <v>0.93</v>
      </c>
      <c r="AR303" s="13">
        <v>0.88</v>
      </c>
      <c r="AS303" s="13">
        <v>0.98</v>
      </c>
      <c r="BG303" s="13">
        <v>5351</v>
      </c>
      <c r="BI303" s="13">
        <v>2419</v>
      </c>
      <c r="BJ303" s="13">
        <v>7847</v>
      </c>
      <c r="BR303" s="13">
        <v>816</v>
      </c>
      <c r="BT303" s="13">
        <v>538</v>
      </c>
      <c r="BU303" s="13">
        <v>1147</v>
      </c>
      <c r="BY303" s="13" t="s">
        <v>227</v>
      </c>
      <c r="BZ303" s="13" t="s">
        <v>228</v>
      </c>
      <c r="CA303" s="13">
        <v>2022</v>
      </c>
      <c r="CB303" s="13" t="s">
        <v>73</v>
      </c>
      <c r="CC303" s="13" t="s">
        <v>195</v>
      </c>
      <c r="CD303" s="13">
        <v>93</v>
      </c>
      <c r="CE303" s="13">
        <v>1</v>
      </c>
      <c r="CF303" s="13" t="s">
        <v>229</v>
      </c>
      <c r="CG303" s="13" t="s">
        <v>230</v>
      </c>
    </row>
    <row r="304" spans="1:85" ht="13" customHeight="1">
      <c r="A304" s="13" t="s">
        <v>1696</v>
      </c>
      <c r="B304" s="13" t="s">
        <v>2005</v>
      </c>
      <c r="C304" s="13" t="s">
        <v>795</v>
      </c>
      <c r="D304" s="13" t="s">
        <v>827</v>
      </c>
      <c r="E304" s="13" t="s">
        <v>633</v>
      </c>
      <c r="F304" s="13" t="s">
        <v>810</v>
      </c>
      <c r="G304" s="13" t="s">
        <v>672</v>
      </c>
      <c r="H304" s="13" t="s">
        <v>807</v>
      </c>
      <c r="J304" s="13" t="s">
        <v>669</v>
      </c>
      <c r="K304" s="13" t="s">
        <v>2936</v>
      </c>
      <c r="L304" s="13" t="s">
        <v>808</v>
      </c>
      <c r="Q304" s="2"/>
      <c r="R304" s="13">
        <v>68</v>
      </c>
      <c r="S304" s="13">
        <v>54</v>
      </c>
      <c r="W304" s="13">
        <v>62</v>
      </c>
      <c r="X304" s="13">
        <v>13</v>
      </c>
      <c r="AG304" s="13" t="s">
        <v>639</v>
      </c>
      <c r="AH304" s="13">
        <v>1754</v>
      </c>
      <c r="AJ304" s="13">
        <v>85</v>
      </c>
      <c r="AK304" s="13">
        <v>75</v>
      </c>
      <c r="AL304" s="13">
        <v>92</v>
      </c>
      <c r="AM304" s="13">
        <v>94</v>
      </c>
      <c r="AN304" s="13">
        <v>85</v>
      </c>
      <c r="AO304" s="13">
        <v>98</v>
      </c>
      <c r="AP304" s="13">
        <v>0.93</v>
      </c>
      <c r="AR304" s="13">
        <v>0.88</v>
      </c>
      <c r="AS304" s="13">
        <v>0.98</v>
      </c>
      <c r="BG304" s="13">
        <v>5351</v>
      </c>
      <c r="BI304" s="13">
        <v>2419</v>
      </c>
      <c r="BJ304" s="13">
        <v>7847</v>
      </c>
      <c r="BR304" s="13">
        <v>953</v>
      </c>
      <c r="BT304" s="13">
        <v>712</v>
      </c>
      <c r="BU304" s="13">
        <v>1313</v>
      </c>
      <c r="BY304" s="13" t="s">
        <v>227</v>
      </c>
      <c r="BZ304" s="13" t="s">
        <v>228</v>
      </c>
      <c r="CA304" s="13">
        <v>2022</v>
      </c>
      <c r="CB304" s="13" t="s">
        <v>73</v>
      </c>
      <c r="CC304" s="13" t="s">
        <v>195</v>
      </c>
      <c r="CD304" s="13">
        <v>93</v>
      </c>
      <c r="CE304" s="13">
        <v>1</v>
      </c>
      <c r="CF304" s="13" t="s">
        <v>229</v>
      </c>
      <c r="CG304" s="13" t="s">
        <v>230</v>
      </c>
    </row>
    <row r="305" spans="1:85" ht="13" customHeight="1">
      <c r="A305" s="13" t="s">
        <v>1696</v>
      </c>
      <c r="B305" s="13" t="s">
        <v>2005</v>
      </c>
      <c r="C305" s="13" t="s">
        <v>795</v>
      </c>
      <c r="D305" s="13" t="s">
        <v>827</v>
      </c>
      <c r="E305" s="13" t="s">
        <v>799</v>
      </c>
      <c r="F305" s="13" t="s">
        <v>793</v>
      </c>
      <c r="G305" s="13" t="s">
        <v>673</v>
      </c>
      <c r="H305" s="13" t="s">
        <v>675</v>
      </c>
      <c r="J305" s="13" t="s">
        <v>669</v>
      </c>
      <c r="K305" s="13" t="s">
        <v>2936</v>
      </c>
      <c r="L305" s="13" t="s">
        <v>808</v>
      </c>
      <c r="N305" s="13">
        <v>46</v>
      </c>
      <c r="O305" s="2">
        <f>N305/R305</f>
        <v>0.61333333333333329</v>
      </c>
      <c r="P305" s="13">
        <v>31</v>
      </c>
      <c r="Q305" s="17">
        <f>P305/S305</f>
        <v>0.40259740259740262</v>
      </c>
      <c r="R305" s="13">
        <v>75</v>
      </c>
      <c r="S305" s="13">
        <v>77</v>
      </c>
      <c r="W305" s="13">
        <v>62</v>
      </c>
      <c r="X305" s="13">
        <v>13</v>
      </c>
      <c r="AB305" s="13">
        <v>60</v>
      </c>
      <c r="AC305" s="13">
        <v>19</v>
      </c>
      <c r="AG305" s="13" t="s">
        <v>639</v>
      </c>
      <c r="AH305" s="13">
        <v>45</v>
      </c>
      <c r="AJ305" s="13">
        <v>87</v>
      </c>
      <c r="AK305" s="13">
        <v>77</v>
      </c>
      <c r="AL305" s="13">
        <v>93</v>
      </c>
      <c r="AM305" s="13">
        <v>90</v>
      </c>
      <c r="AN305" s="13">
        <v>81</v>
      </c>
      <c r="AO305" s="13">
        <v>95</v>
      </c>
      <c r="AP305" s="13">
        <v>0.93</v>
      </c>
      <c r="AR305" s="13">
        <v>0.9</v>
      </c>
      <c r="AS305" s="13">
        <v>0.97</v>
      </c>
      <c r="BG305" s="13">
        <v>91</v>
      </c>
      <c r="BI305" s="13">
        <v>61</v>
      </c>
      <c r="BJ305" s="13">
        <v>143</v>
      </c>
      <c r="BR305" s="13">
        <v>20</v>
      </c>
      <c r="BT305" s="13">
        <v>13</v>
      </c>
      <c r="BU305" s="13">
        <v>28</v>
      </c>
      <c r="BY305" s="13" t="s">
        <v>227</v>
      </c>
      <c r="BZ305" s="13" t="s">
        <v>228</v>
      </c>
      <c r="CA305" s="13">
        <v>2022</v>
      </c>
      <c r="CB305" s="13" t="s">
        <v>73</v>
      </c>
      <c r="CC305" s="13" t="s">
        <v>195</v>
      </c>
      <c r="CD305" s="13">
        <v>93</v>
      </c>
      <c r="CE305" s="13">
        <v>1</v>
      </c>
      <c r="CF305" s="13" t="s">
        <v>229</v>
      </c>
      <c r="CG305" s="13" t="s">
        <v>230</v>
      </c>
    </row>
    <row r="306" spans="1:85" ht="13" customHeight="1">
      <c r="A306" s="13" t="s">
        <v>1696</v>
      </c>
      <c r="B306" s="13" t="s">
        <v>2005</v>
      </c>
      <c r="C306" s="13" t="s">
        <v>795</v>
      </c>
      <c r="D306" s="13" t="s">
        <v>827</v>
      </c>
      <c r="E306" s="13" t="s">
        <v>633</v>
      </c>
      <c r="F306" s="13" t="s">
        <v>810</v>
      </c>
      <c r="G306" s="13" t="s">
        <v>673</v>
      </c>
      <c r="H306" s="13" t="s">
        <v>675</v>
      </c>
      <c r="J306" s="13" t="s">
        <v>669</v>
      </c>
      <c r="K306" s="13" t="s">
        <v>2936</v>
      </c>
      <c r="L306" s="13" t="s">
        <v>808</v>
      </c>
      <c r="N306" s="13">
        <v>46</v>
      </c>
      <c r="O306" s="2">
        <f>N306/R306</f>
        <v>0.61333333333333329</v>
      </c>
      <c r="P306" s="13">
        <v>31</v>
      </c>
      <c r="Q306" s="17">
        <f>P306/S306</f>
        <v>0.5535714285714286</v>
      </c>
      <c r="R306" s="13">
        <v>75</v>
      </c>
      <c r="S306" s="13">
        <v>56</v>
      </c>
      <c r="W306" s="13">
        <v>62</v>
      </c>
      <c r="X306" s="13">
        <v>13</v>
      </c>
      <c r="AB306" s="13">
        <v>59</v>
      </c>
      <c r="AC306" s="13">
        <v>14</v>
      </c>
      <c r="AG306" s="13" t="s">
        <v>639</v>
      </c>
      <c r="AH306" s="13">
        <v>34</v>
      </c>
      <c r="AJ306" s="13">
        <v>93</v>
      </c>
      <c r="AK306" s="13">
        <v>85</v>
      </c>
      <c r="AL306" s="13">
        <v>98</v>
      </c>
      <c r="AM306" s="13">
        <v>80</v>
      </c>
      <c r="AN306" s="13">
        <v>68</v>
      </c>
      <c r="AO306" s="13">
        <v>90</v>
      </c>
      <c r="AP306" s="13">
        <v>0.93</v>
      </c>
      <c r="AR306" s="13">
        <v>0.89</v>
      </c>
      <c r="AS306" s="13">
        <v>0.97</v>
      </c>
      <c r="BG306" s="13">
        <v>91</v>
      </c>
      <c r="BI306" s="13">
        <v>61</v>
      </c>
      <c r="BJ306" s="13">
        <v>143</v>
      </c>
      <c r="BR306" s="13">
        <v>21</v>
      </c>
      <c r="BT306" s="13">
        <v>14</v>
      </c>
      <c r="BU306" s="13">
        <v>30</v>
      </c>
      <c r="BY306" s="13" t="s">
        <v>227</v>
      </c>
      <c r="BZ306" s="13" t="s">
        <v>228</v>
      </c>
      <c r="CA306" s="13">
        <v>2022</v>
      </c>
      <c r="CB306" s="13" t="s">
        <v>73</v>
      </c>
      <c r="CC306" s="13" t="s">
        <v>195</v>
      </c>
      <c r="CD306" s="13">
        <v>93</v>
      </c>
      <c r="CE306" s="13">
        <v>1</v>
      </c>
      <c r="CF306" s="13" t="s">
        <v>229</v>
      </c>
      <c r="CG306" s="13" t="s">
        <v>230</v>
      </c>
    </row>
    <row r="307" spans="1:85" ht="13" customHeight="1">
      <c r="A307" s="13" t="s">
        <v>1696</v>
      </c>
      <c r="B307" s="13" t="s">
        <v>2005</v>
      </c>
      <c r="C307" s="13" t="s">
        <v>795</v>
      </c>
      <c r="D307" s="13" t="s">
        <v>827</v>
      </c>
      <c r="E307" s="13" t="s">
        <v>799</v>
      </c>
      <c r="F307" s="13" t="s">
        <v>793</v>
      </c>
      <c r="G307" s="13" t="s">
        <v>673</v>
      </c>
      <c r="H307" s="13" t="s">
        <v>807</v>
      </c>
      <c r="J307" s="13" t="s">
        <v>669</v>
      </c>
      <c r="K307" s="13" t="s">
        <v>2936</v>
      </c>
      <c r="L307" s="13" t="s">
        <v>808</v>
      </c>
      <c r="N307" s="13">
        <v>46</v>
      </c>
      <c r="O307" s="2">
        <f>N307/R307</f>
        <v>0.61333333333333329</v>
      </c>
      <c r="P307" s="13">
        <v>31</v>
      </c>
      <c r="Q307" s="17">
        <f>P307/S307</f>
        <v>0.40259740259740262</v>
      </c>
      <c r="R307" s="13">
        <v>75</v>
      </c>
      <c r="S307" s="13">
        <v>77</v>
      </c>
      <c r="W307" s="13">
        <v>62</v>
      </c>
      <c r="X307" s="13">
        <v>13</v>
      </c>
      <c r="AB307" s="13">
        <v>60</v>
      </c>
      <c r="AC307" s="13">
        <v>19</v>
      </c>
      <c r="AG307" s="13" t="s">
        <v>639</v>
      </c>
      <c r="AH307" s="13">
        <v>529</v>
      </c>
      <c r="AJ307" s="13">
        <v>79</v>
      </c>
      <c r="AK307" s="13">
        <v>68</v>
      </c>
      <c r="AL307" s="13">
        <v>87</v>
      </c>
      <c r="AM307" s="13">
        <v>88</v>
      </c>
      <c r="AN307" s="13">
        <v>79</v>
      </c>
      <c r="AO307" s="13">
        <v>95</v>
      </c>
      <c r="AP307" s="13">
        <v>0.89</v>
      </c>
      <c r="AR307" s="13">
        <v>0.83</v>
      </c>
      <c r="AS307" s="13">
        <v>0.94</v>
      </c>
      <c r="BG307" s="13">
        <v>1288</v>
      </c>
      <c r="BI307" s="13">
        <v>657</v>
      </c>
      <c r="BJ307" s="13">
        <v>2176</v>
      </c>
      <c r="BR307" s="13">
        <v>141</v>
      </c>
      <c r="BT307" s="13">
        <v>72</v>
      </c>
      <c r="BU307" s="13">
        <v>342</v>
      </c>
      <c r="BY307" s="13" t="s">
        <v>227</v>
      </c>
      <c r="BZ307" s="13" t="s">
        <v>228</v>
      </c>
      <c r="CA307" s="13">
        <v>2022</v>
      </c>
      <c r="CB307" s="13" t="s">
        <v>73</v>
      </c>
      <c r="CC307" s="13" t="s">
        <v>195</v>
      </c>
      <c r="CD307" s="13">
        <v>93</v>
      </c>
      <c r="CE307" s="13">
        <v>1</v>
      </c>
      <c r="CF307" s="13" t="s">
        <v>229</v>
      </c>
      <c r="CG307" s="13" t="s">
        <v>230</v>
      </c>
    </row>
    <row r="308" spans="1:85">
      <c r="A308" s="13" t="s">
        <v>1696</v>
      </c>
      <c r="B308" s="13" t="s">
        <v>2005</v>
      </c>
      <c r="C308" s="13" t="s">
        <v>795</v>
      </c>
      <c r="D308" s="13" t="s">
        <v>827</v>
      </c>
      <c r="E308" s="13" t="s">
        <v>633</v>
      </c>
      <c r="F308" s="13" t="s">
        <v>810</v>
      </c>
      <c r="G308" s="13" t="s">
        <v>673</v>
      </c>
      <c r="H308" s="13" t="s">
        <v>807</v>
      </c>
      <c r="J308" s="13" t="s">
        <v>669</v>
      </c>
      <c r="K308" s="13" t="s">
        <v>2936</v>
      </c>
      <c r="L308" s="13" t="s">
        <v>808</v>
      </c>
      <c r="N308" s="13">
        <v>46</v>
      </c>
      <c r="O308" s="2">
        <f>N308/R308</f>
        <v>0.61333333333333329</v>
      </c>
      <c r="P308" s="13">
        <v>31</v>
      </c>
      <c r="Q308" s="17">
        <f>P308/S308</f>
        <v>0.5535714285714286</v>
      </c>
      <c r="R308" s="13">
        <v>75</v>
      </c>
      <c r="S308" s="13">
        <v>56</v>
      </c>
      <c r="W308" s="13">
        <v>62</v>
      </c>
      <c r="X308" s="13">
        <v>13</v>
      </c>
      <c r="AB308" s="13">
        <v>59</v>
      </c>
      <c r="AC308" s="13">
        <v>14</v>
      </c>
      <c r="AG308" s="13" t="s">
        <v>639</v>
      </c>
      <c r="AH308" s="13">
        <v>677</v>
      </c>
      <c r="AJ308" s="13">
        <v>75</v>
      </c>
      <c r="AK308" s="13">
        <v>63</v>
      </c>
      <c r="AL308" s="13">
        <v>84</v>
      </c>
      <c r="AM308" s="13">
        <v>96</v>
      </c>
      <c r="AN308" s="13">
        <v>88</v>
      </c>
      <c r="AO308" s="13">
        <v>99</v>
      </c>
      <c r="AP308" s="13">
        <v>0.88</v>
      </c>
      <c r="AR308" s="13">
        <v>0.82</v>
      </c>
      <c r="AS308" s="13">
        <v>0.94</v>
      </c>
      <c r="BG308" s="13">
        <v>1288</v>
      </c>
      <c r="BI308" s="13">
        <v>657</v>
      </c>
      <c r="BJ308" s="13">
        <v>2176</v>
      </c>
      <c r="BR308" s="13">
        <v>163</v>
      </c>
      <c r="BT308" s="13">
        <v>78</v>
      </c>
      <c r="BU308" s="13">
        <v>363</v>
      </c>
      <c r="BY308" s="13" t="s">
        <v>227</v>
      </c>
      <c r="BZ308" s="13" t="s">
        <v>228</v>
      </c>
      <c r="CA308" s="13">
        <v>2022</v>
      </c>
      <c r="CB308" s="13" t="s">
        <v>73</v>
      </c>
      <c r="CC308" s="13" t="s">
        <v>195</v>
      </c>
      <c r="CD308" s="13">
        <v>93</v>
      </c>
      <c r="CE308" s="13">
        <v>1</v>
      </c>
      <c r="CF308" s="13" t="s">
        <v>229</v>
      </c>
      <c r="CG308" s="13" t="s">
        <v>230</v>
      </c>
    </row>
    <row r="309" spans="1:85">
      <c r="A309" s="13" t="s">
        <v>3384</v>
      </c>
      <c r="C309" s="13" t="s">
        <v>3313</v>
      </c>
      <c r="D309" s="16" t="s">
        <v>4179</v>
      </c>
      <c r="J309" s="14"/>
      <c r="BY309" s="13" t="s">
        <v>3499</v>
      </c>
      <c r="BZ309" s="13" t="s">
        <v>3500</v>
      </c>
      <c r="CA309" s="13">
        <v>2025</v>
      </c>
      <c r="CB309" s="21">
        <v>45674</v>
      </c>
      <c r="CC309" s="13" t="s">
        <v>545</v>
      </c>
      <c r="CG309" s="13" t="s">
        <v>3239</v>
      </c>
    </row>
    <row r="310" spans="1:85">
      <c r="A310" s="13" t="s">
        <v>3385</v>
      </c>
      <c r="B310" s="16"/>
      <c r="C310" s="13" t="s">
        <v>3314</v>
      </c>
      <c r="D310" s="14" t="s">
        <v>830</v>
      </c>
      <c r="E310" s="13" t="s">
        <v>630</v>
      </c>
      <c r="F310" s="13" t="s">
        <v>3779</v>
      </c>
      <c r="G310" s="13" t="s">
        <v>674</v>
      </c>
      <c r="H310" s="13" t="s">
        <v>3793</v>
      </c>
      <c r="J310" s="14" t="s">
        <v>3780</v>
      </c>
      <c r="L310" s="13" t="s">
        <v>3781</v>
      </c>
      <c r="M310" s="13" t="s">
        <v>3782</v>
      </c>
      <c r="R310" s="13">
        <v>12</v>
      </c>
      <c r="S310" s="13">
        <v>12</v>
      </c>
      <c r="BY310" s="13" t="s">
        <v>3501</v>
      </c>
      <c r="BZ310" s="13" t="s">
        <v>3502</v>
      </c>
      <c r="CA310" s="13">
        <v>2025</v>
      </c>
      <c r="CC310" s="13" t="s">
        <v>3503</v>
      </c>
      <c r="CD310" s="13">
        <v>18</v>
      </c>
      <c r="CE310" s="13">
        <v>1</v>
      </c>
      <c r="CG310" s="13" t="s">
        <v>3240</v>
      </c>
    </row>
    <row r="311" spans="1:85">
      <c r="A311" s="13" t="s">
        <v>1697</v>
      </c>
      <c r="B311" s="13" t="s">
        <v>1820</v>
      </c>
      <c r="C311" s="13" t="s">
        <v>235</v>
      </c>
      <c r="D311" s="13" t="s">
        <v>818</v>
      </c>
      <c r="E311" s="13" t="s">
        <v>630</v>
      </c>
      <c r="F311" s="13" t="s">
        <v>809</v>
      </c>
      <c r="G311" s="13" t="s">
        <v>673</v>
      </c>
      <c r="H311" s="13" t="s">
        <v>811</v>
      </c>
      <c r="J311" s="13" t="s">
        <v>712</v>
      </c>
      <c r="K311" s="13" t="s">
        <v>4050</v>
      </c>
      <c r="L311" s="13" t="s">
        <v>585</v>
      </c>
      <c r="N311" s="13">
        <v>60</v>
      </c>
      <c r="O311" s="2">
        <f>N311/R311</f>
        <v>0.6</v>
      </c>
      <c r="P311" s="13">
        <v>56</v>
      </c>
      <c r="Q311" s="17">
        <f t="shared" ref="Q311:Q324" si="34">P311/S311</f>
        <v>0.56000000000000005</v>
      </c>
      <c r="R311" s="13">
        <v>100</v>
      </c>
      <c r="S311" s="13">
        <v>100</v>
      </c>
      <c r="W311" s="13">
        <v>49.99</v>
      </c>
      <c r="X311" s="13">
        <v>7.74</v>
      </c>
      <c r="AB311" s="13">
        <v>49.01</v>
      </c>
      <c r="AC311" s="13">
        <v>7.75</v>
      </c>
      <c r="AP311" s="13">
        <v>0.71299999999999997</v>
      </c>
      <c r="BX311" s="13" t="s">
        <v>701</v>
      </c>
      <c r="BY311" s="13" t="s">
        <v>231</v>
      </c>
      <c r="BZ311" s="13" t="s">
        <v>232</v>
      </c>
      <c r="CA311" s="13">
        <v>2024</v>
      </c>
      <c r="CB311" s="21">
        <v>45505</v>
      </c>
      <c r="CC311" s="13" t="s">
        <v>110</v>
      </c>
      <c r="CD311" s="13">
        <v>19</v>
      </c>
      <c r="CE311" s="13">
        <v>8</v>
      </c>
      <c r="CF311" s="13" t="s">
        <v>233</v>
      </c>
      <c r="CG311" s="13" t="s">
        <v>234</v>
      </c>
    </row>
    <row r="312" spans="1:85">
      <c r="A312" s="13" t="s">
        <v>1697</v>
      </c>
      <c r="B312" s="13" t="s">
        <v>1820</v>
      </c>
      <c r="C312" s="13" t="s">
        <v>235</v>
      </c>
      <c r="D312" s="13" t="s">
        <v>818</v>
      </c>
      <c r="E312" s="13" t="s">
        <v>630</v>
      </c>
      <c r="F312" s="13" t="s">
        <v>809</v>
      </c>
      <c r="G312" s="13" t="s">
        <v>673</v>
      </c>
      <c r="H312" s="13" t="s">
        <v>684</v>
      </c>
      <c r="I312" s="13" t="s">
        <v>812</v>
      </c>
      <c r="J312" s="13" t="s">
        <v>712</v>
      </c>
      <c r="K312" s="23" t="s">
        <v>3118</v>
      </c>
      <c r="L312" s="13" t="s">
        <v>585</v>
      </c>
      <c r="N312" s="13">
        <v>60</v>
      </c>
      <c r="O312" s="2">
        <f>N312/R312</f>
        <v>0.6</v>
      </c>
      <c r="P312" s="13">
        <v>56</v>
      </c>
      <c r="Q312" s="17">
        <f t="shared" si="34"/>
        <v>0.56000000000000005</v>
      </c>
      <c r="R312" s="13">
        <v>100</v>
      </c>
      <c r="S312" s="13">
        <v>100</v>
      </c>
      <c r="W312" s="13">
        <v>49.99</v>
      </c>
      <c r="X312" s="13">
        <v>7.74</v>
      </c>
      <c r="AB312" s="13">
        <v>49.01</v>
      </c>
      <c r="AC312" s="13">
        <v>7.75</v>
      </c>
      <c r="AH312" s="13" t="s">
        <v>813</v>
      </c>
      <c r="AJ312" s="13">
        <v>79</v>
      </c>
      <c r="AM312" s="13">
        <v>71</v>
      </c>
      <c r="AP312" s="13">
        <v>0.81100000000000005</v>
      </c>
      <c r="BX312" s="13" t="s">
        <v>701</v>
      </c>
      <c r="BY312" s="13" t="s">
        <v>231</v>
      </c>
      <c r="BZ312" s="13" t="s">
        <v>232</v>
      </c>
      <c r="CA312" s="13">
        <v>2024</v>
      </c>
      <c r="CB312" s="21">
        <v>45505</v>
      </c>
      <c r="CC312" s="13" t="s">
        <v>110</v>
      </c>
      <c r="CD312" s="13">
        <v>19</v>
      </c>
      <c r="CE312" s="13">
        <v>8</v>
      </c>
      <c r="CF312" s="13" t="s">
        <v>233</v>
      </c>
      <c r="CG312" s="13" t="s">
        <v>234</v>
      </c>
    </row>
    <row r="313" spans="1:85">
      <c r="A313" s="13" t="s">
        <v>2121</v>
      </c>
      <c r="B313" s="13" t="s">
        <v>2121</v>
      </c>
      <c r="C313" s="13" t="s">
        <v>2073</v>
      </c>
      <c r="D313" s="13" t="s">
        <v>2038</v>
      </c>
      <c r="E313" s="13" t="s">
        <v>852</v>
      </c>
      <c r="F313" s="13" t="s">
        <v>2479</v>
      </c>
      <c r="G313" s="13" t="s">
        <v>2480</v>
      </c>
      <c r="H313" s="13" t="s">
        <v>858</v>
      </c>
      <c r="J313" s="13" t="s">
        <v>855</v>
      </c>
      <c r="K313" s="14" t="s">
        <v>4068</v>
      </c>
      <c r="L313" s="13" t="s">
        <v>585</v>
      </c>
      <c r="M313" s="13" t="s">
        <v>2477</v>
      </c>
      <c r="N313" s="13">
        <v>10</v>
      </c>
      <c r="O313" s="2">
        <f>N313/R313</f>
        <v>0.52631578947368418</v>
      </c>
      <c r="P313" s="13">
        <v>12</v>
      </c>
      <c r="Q313" s="17">
        <f t="shared" si="34"/>
        <v>0.5714285714285714</v>
      </c>
      <c r="R313" s="13">
        <v>19</v>
      </c>
      <c r="S313" s="13">
        <v>21</v>
      </c>
      <c r="T313" s="13">
        <v>0</v>
      </c>
      <c r="U313" s="15">
        <v>0</v>
      </c>
      <c r="V313" s="13">
        <v>0</v>
      </c>
      <c r="W313" s="13">
        <v>66.239999999999995</v>
      </c>
      <c r="X313" s="13">
        <v>7.34</v>
      </c>
      <c r="AB313" s="13">
        <v>65.290000000000006</v>
      </c>
      <c r="AC313" s="13">
        <v>7.37</v>
      </c>
      <c r="AG313" s="13" t="s">
        <v>641</v>
      </c>
      <c r="BB313" s="13">
        <v>1.1779999999999999</v>
      </c>
      <c r="BC313" s="13">
        <f>BD313*SQRT(R313)</f>
        <v>0.80203740561148396</v>
      </c>
      <c r="BD313" s="13">
        <v>0.184</v>
      </c>
      <c r="BM313" s="13">
        <v>0.99299999999999999</v>
      </c>
      <c r="BN313" s="13">
        <f>BO313*SQRT(S313)</f>
        <v>1.1089833181793132</v>
      </c>
      <c r="BO313" s="13">
        <v>0.24199999999999999</v>
      </c>
      <c r="BX313" s="13" t="s">
        <v>769</v>
      </c>
      <c r="BY313" s="13" t="s">
        <v>2068</v>
      </c>
      <c r="BZ313" s="13" t="s">
        <v>2069</v>
      </c>
      <c r="CA313" s="13">
        <v>2019</v>
      </c>
      <c r="CB313" s="13" t="s">
        <v>25</v>
      </c>
      <c r="CC313" s="13" t="s">
        <v>2070</v>
      </c>
      <c r="CD313" s="13">
        <v>124</v>
      </c>
      <c r="CF313" s="13" t="s">
        <v>2071</v>
      </c>
      <c r="CG313" s="13" t="s">
        <v>2072</v>
      </c>
    </row>
    <row r="314" spans="1:85">
      <c r="A314" s="13" t="s">
        <v>1822</v>
      </c>
      <c r="B314" s="13" t="s">
        <v>1822</v>
      </c>
      <c r="C314" s="14" t="s">
        <v>1242</v>
      </c>
      <c r="D314" s="14" t="s">
        <v>2481</v>
      </c>
      <c r="E314" s="13" t="s">
        <v>630</v>
      </c>
      <c r="F314" s="13" t="s">
        <v>2486</v>
      </c>
      <c r="G314" s="13" t="s">
        <v>673</v>
      </c>
      <c r="H314" s="13" t="s">
        <v>2485</v>
      </c>
      <c r="J314" s="13" t="s">
        <v>2483</v>
      </c>
      <c r="K314" s="14" t="s">
        <v>4069</v>
      </c>
      <c r="L314" s="13" t="s">
        <v>2488</v>
      </c>
      <c r="P314" s="13">
        <v>50</v>
      </c>
      <c r="Q314" s="17">
        <f t="shared" si="34"/>
        <v>0.5494505494505495</v>
      </c>
      <c r="R314" s="13">
        <v>114</v>
      </c>
      <c r="S314" s="13">
        <v>91</v>
      </c>
      <c r="Y314" s="13">
        <v>68</v>
      </c>
      <c r="AD314" s="13">
        <v>66</v>
      </c>
      <c r="BY314" s="13" t="s">
        <v>1238</v>
      </c>
      <c r="BZ314" s="13" t="s">
        <v>1239</v>
      </c>
      <c r="CA314" s="13">
        <v>2020</v>
      </c>
      <c r="CC314" s="13" t="s">
        <v>135</v>
      </c>
      <c r="CD314" s="13">
        <v>2</v>
      </c>
      <c r="CE314" s="13">
        <v>2</v>
      </c>
      <c r="CF314" s="13" t="s">
        <v>1240</v>
      </c>
      <c r="CG314" s="13" t="s">
        <v>1241</v>
      </c>
    </row>
    <row r="315" spans="1:85">
      <c r="A315" s="13" t="s">
        <v>1822</v>
      </c>
      <c r="B315" s="13" t="s">
        <v>1822</v>
      </c>
      <c r="C315" s="14" t="s">
        <v>1242</v>
      </c>
      <c r="D315" s="14" t="s">
        <v>2481</v>
      </c>
      <c r="E315" s="13" t="s">
        <v>630</v>
      </c>
      <c r="F315" s="13" t="s">
        <v>2486</v>
      </c>
      <c r="G315" s="13" t="s">
        <v>673</v>
      </c>
      <c r="H315" s="13" t="s">
        <v>2485</v>
      </c>
      <c r="J315" s="13" t="s">
        <v>2483</v>
      </c>
      <c r="K315" s="14" t="s">
        <v>4069</v>
      </c>
      <c r="L315" s="13" t="s">
        <v>2488</v>
      </c>
      <c r="P315" s="13">
        <v>85</v>
      </c>
      <c r="Q315" s="17">
        <f t="shared" si="34"/>
        <v>0.6640625</v>
      </c>
      <c r="R315" s="13">
        <v>182</v>
      </c>
      <c r="S315" s="13">
        <v>128</v>
      </c>
      <c r="AD315" s="13">
        <v>67</v>
      </c>
      <c r="BY315" s="13" t="s">
        <v>1238</v>
      </c>
      <c r="BZ315" s="13" t="s">
        <v>1239</v>
      </c>
      <c r="CA315" s="13">
        <v>2020</v>
      </c>
      <c r="CC315" s="13" t="s">
        <v>135</v>
      </c>
      <c r="CD315" s="13">
        <v>2</v>
      </c>
      <c r="CE315" s="13">
        <v>2</v>
      </c>
      <c r="CF315" s="13" t="s">
        <v>1240</v>
      </c>
      <c r="CG315" s="13" t="s">
        <v>1241</v>
      </c>
    </row>
    <row r="316" spans="1:85">
      <c r="A316" s="13" t="s">
        <v>1698</v>
      </c>
      <c r="B316" s="13" t="s">
        <v>1823</v>
      </c>
      <c r="C316" s="13" t="s">
        <v>240</v>
      </c>
      <c r="D316" s="13" t="s">
        <v>832</v>
      </c>
      <c r="E316" s="13" t="s">
        <v>630</v>
      </c>
      <c r="F316" s="13" t="s">
        <v>815</v>
      </c>
      <c r="G316" s="13" t="s">
        <v>674</v>
      </c>
      <c r="H316" s="13" t="s">
        <v>814</v>
      </c>
      <c r="J316" s="13" t="s">
        <v>629</v>
      </c>
      <c r="K316" s="13" t="s">
        <v>4051</v>
      </c>
      <c r="L316" s="13" t="s">
        <v>585</v>
      </c>
      <c r="N316" s="13">
        <v>40</v>
      </c>
      <c r="O316" s="2">
        <f t="shared" ref="O316:O324" si="35">N316/R316</f>
        <v>0.64516129032258063</v>
      </c>
      <c r="P316" s="13">
        <v>29</v>
      </c>
      <c r="Q316" s="17">
        <f t="shared" si="34"/>
        <v>0.49152542372881358</v>
      </c>
      <c r="R316" s="13">
        <v>62</v>
      </c>
      <c r="S316" s="13">
        <v>59</v>
      </c>
      <c r="W316" s="13">
        <v>60.91</v>
      </c>
      <c r="X316" s="13">
        <v>8.26</v>
      </c>
      <c r="AB316" s="13">
        <v>57.05</v>
      </c>
      <c r="AC316" s="13">
        <v>10.64</v>
      </c>
      <c r="AG316" s="13" t="s">
        <v>641</v>
      </c>
      <c r="BB316" s="13">
        <v>59</v>
      </c>
      <c r="BC316" s="13">
        <v>39.36</v>
      </c>
      <c r="BM316" s="13">
        <v>75.7</v>
      </c>
      <c r="BX316" s="13">
        <v>2.5000000000000001E-2</v>
      </c>
      <c r="BY316" s="13" t="s">
        <v>236</v>
      </c>
      <c r="BZ316" s="13" t="s">
        <v>237</v>
      </c>
      <c r="CA316" s="13">
        <v>2022</v>
      </c>
      <c r="CB316" s="13" t="s">
        <v>73</v>
      </c>
      <c r="CC316" s="13" t="s">
        <v>114</v>
      </c>
      <c r="CD316" s="13">
        <v>23</v>
      </c>
      <c r="CE316" s="24">
        <v>45293</v>
      </c>
      <c r="CF316" s="13" t="s">
        <v>238</v>
      </c>
      <c r="CG316" s="13" t="s">
        <v>239</v>
      </c>
    </row>
    <row r="317" spans="1:85">
      <c r="A317" s="13" t="s">
        <v>1825</v>
      </c>
      <c r="B317" s="13" t="s">
        <v>1825</v>
      </c>
      <c r="C317" s="14" t="s">
        <v>1251</v>
      </c>
      <c r="D317" s="14" t="s">
        <v>827</v>
      </c>
      <c r="E317" s="13" t="s">
        <v>630</v>
      </c>
      <c r="F317" s="13" t="s">
        <v>2508</v>
      </c>
      <c r="G317" s="13" t="s">
        <v>674</v>
      </c>
      <c r="H317" s="13" t="s">
        <v>2499</v>
      </c>
      <c r="J317" s="13" t="s">
        <v>629</v>
      </c>
      <c r="K317" s="14" t="s">
        <v>4051</v>
      </c>
      <c r="L317" s="13" t="s">
        <v>585</v>
      </c>
      <c r="M317" s="13" t="s">
        <v>2509</v>
      </c>
      <c r="N317" s="13">
        <v>31</v>
      </c>
      <c r="O317" s="2">
        <f t="shared" si="35"/>
        <v>0.67391304347826086</v>
      </c>
      <c r="P317" s="13">
        <v>20</v>
      </c>
      <c r="Q317" s="17">
        <f t="shared" si="34"/>
        <v>0.46511627906976744</v>
      </c>
      <c r="R317" s="13">
        <v>46</v>
      </c>
      <c r="S317" s="13">
        <v>43</v>
      </c>
      <c r="W317" s="13">
        <v>59.2</v>
      </c>
      <c r="X317" s="13">
        <v>7.94</v>
      </c>
      <c r="AB317" s="13">
        <v>54.1</v>
      </c>
      <c r="AC317" s="13">
        <v>11.2</v>
      </c>
      <c r="AG317" s="13" t="s">
        <v>928</v>
      </c>
      <c r="BG317" s="13">
        <v>3.62</v>
      </c>
      <c r="BI317" s="13">
        <v>2.29</v>
      </c>
      <c r="BJ317" s="13">
        <v>6.71</v>
      </c>
      <c r="BR317" s="13">
        <v>7.53</v>
      </c>
      <c r="BT317" s="13">
        <v>3.29</v>
      </c>
      <c r="BU317" s="13">
        <v>19.29</v>
      </c>
      <c r="BX317" s="13">
        <v>1.2999999999999999E-2</v>
      </c>
      <c r="BY317" s="13" t="s">
        <v>1247</v>
      </c>
      <c r="BZ317" s="13" t="s">
        <v>1248</v>
      </c>
      <c r="CA317" s="13">
        <v>2024</v>
      </c>
      <c r="CB317" s="13" t="s">
        <v>73</v>
      </c>
      <c r="CC317" s="13" t="s">
        <v>19</v>
      </c>
      <c r="CD317" s="13">
        <v>31</v>
      </c>
      <c r="CE317" s="13">
        <v>1</v>
      </c>
      <c r="CF317" s="13" t="s">
        <v>1249</v>
      </c>
      <c r="CG317" s="13" t="s">
        <v>1250</v>
      </c>
    </row>
    <row r="318" spans="1:85">
      <c r="A318" s="13" t="s">
        <v>1825</v>
      </c>
      <c r="B318" s="13" t="s">
        <v>1825</v>
      </c>
      <c r="C318" s="14" t="s">
        <v>1251</v>
      </c>
      <c r="D318" s="14" t="s">
        <v>827</v>
      </c>
      <c r="E318" s="13" t="s">
        <v>630</v>
      </c>
      <c r="F318" s="13" t="s">
        <v>2508</v>
      </c>
      <c r="G318" s="13" t="s">
        <v>674</v>
      </c>
      <c r="H318" s="13" t="s">
        <v>2506</v>
      </c>
      <c r="J318" s="13" t="s">
        <v>629</v>
      </c>
      <c r="K318" s="14" t="s">
        <v>4051</v>
      </c>
      <c r="L318" s="13" t="s">
        <v>585</v>
      </c>
      <c r="M318" s="13" t="s">
        <v>2509</v>
      </c>
      <c r="N318" s="13">
        <v>31</v>
      </c>
      <c r="O318" s="2">
        <f t="shared" si="35"/>
        <v>0.67391304347826086</v>
      </c>
      <c r="P318" s="13">
        <v>20</v>
      </c>
      <c r="Q318" s="17">
        <f t="shared" si="34"/>
        <v>0.46511627906976744</v>
      </c>
      <c r="R318" s="13">
        <v>46</v>
      </c>
      <c r="S318" s="13">
        <v>43</v>
      </c>
      <c r="W318" s="13">
        <v>59.2</v>
      </c>
      <c r="X318" s="13">
        <v>7.94</v>
      </c>
      <c r="AB318" s="13">
        <v>54.1</v>
      </c>
      <c r="AC318" s="13">
        <v>11.2</v>
      </c>
      <c r="AG318" s="13" t="s">
        <v>928</v>
      </c>
      <c r="BG318" s="13">
        <v>2749</v>
      </c>
      <c r="BI318" s="13">
        <v>2517</v>
      </c>
      <c r="BJ318" s="13">
        <v>3787</v>
      </c>
      <c r="BR318" s="13">
        <v>2605</v>
      </c>
      <c r="BT318" s="13">
        <v>2167</v>
      </c>
      <c r="BU318" s="13">
        <v>3378</v>
      </c>
      <c r="BX318" s="13">
        <v>7.3999999999999996E-2</v>
      </c>
      <c r="BY318" s="13" t="s">
        <v>1247</v>
      </c>
      <c r="BZ318" s="13" t="s">
        <v>1248</v>
      </c>
      <c r="CA318" s="13">
        <v>2024</v>
      </c>
      <c r="CB318" s="13" t="s">
        <v>73</v>
      </c>
      <c r="CC318" s="13" t="s">
        <v>19</v>
      </c>
      <c r="CD318" s="13">
        <v>31</v>
      </c>
      <c r="CE318" s="13">
        <v>1</v>
      </c>
      <c r="CF318" s="13" t="s">
        <v>1249</v>
      </c>
      <c r="CG318" s="13" t="s">
        <v>1250</v>
      </c>
    </row>
    <row r="319" spans="1:85">
      <c r="A319" s="13" t="s">
        <v>1825</v>
      </c>
      <c r="B319" s="13" t="s">
        <v>1825</v>
      </c>
      <c r="C319" s="14" t="s">
        <v>1251</v>
      </c>
      <c r="D319" s="14" t="s">
        <v>827</v>
      </c>
      <c r="E319" s="13" t="s">
        <v>630</v>
      </c>
      <c r="F319" s="13" t="s">
        <v>2508</v>
      </c>
      <c r="G319" s="13" t="s">
        <v>674</v>
      </c>
      <c r="H319" s="13" t="s">
        <v>2510</v>
      </c>
      <c r="J319" s="13" t="s">
        <v>629</v>
      </c>
      <c r="K319" s="14" t="s">
        <v>4051</v>
      </c>
      <c r="L319" s="13" t="s">
        <v>585</v>
      </c>
      <c r="M319" s="13" t="s">
        <v>2509</v>
      </c>
      <c r="N319" s="13">
        <v>31</v>
      </c>
      <c r="O319" s="2">
        <f t="shared" si="35"/>
        <v>0.67391304347826086</v>
      </c>
      <c r="P319" s="13">
        <v>20</v>
      </c>
      <c r="Q319" s="17">
        <f t="shared" si="34"/>
        <v>0.46511627906976744</v>
      </c>
      <c r="R319" s="13">
        <v>46</v>
      </c>
      <c r="S319" s="13">
        <v>43</v>
      </c>
      <c r="W319" s="13">
        <v>59.2</v>
      </c>
      <c r="X319" s="13">
        <v>7.94</v>
      </c>
      <c r="AB319" s="13">
        <v>54.1</v>
      </c>
      <c r="AC319" s="13">
        <v>11.2</v>
      </c>
      <c r="BG319" s="13">
        <v>903</v>
      </c>
      <c r="BI319" s="13">
        <v>335</v>
      </c>
      <c r="BJ319" s="13">
        <v>1420</v>
      </c>
      <c r="BR319" s="13">
        <v>259</v>
      </c>
      <c r="BT319" s="13">
        <v>133</v>
      </c>
      <c r="BU319" s="13">
        <v>864</v>
      </c>
      <c r="BX319" s="13">
        <v>8.9999999999999993E-3</v>
      </c>
      <c r="BY319" s="13" t="s">
        <v>1247</v>
      </c>
      <c r="BZ319" s="13" t="s">
        <v>1248</v>
      </c>
      <c r="CA319" s="13">
        <v>2024</v>
      </c>
      <c r="CB319" s="13" t="s">
        <v>73</v>
      </c>
      <c r="CC319" s="13" t="s">
        <v>19</v>
      </c>
      <c r="CD319" s="13">
        <v>31</v>
      </c>
      <c r="CE319" s="13">
        <v>1</v>
      </c>
      <c r="CF319" s="13" t="s">
        <v>1249</v>
      </c>
      <c r="CG319" s="13" t="s">
        <v>1250</v>
      </c>
    </row>
    <row r="320" spans="1:85">
      <c r="A320" s="13" t="s">
        <v>1825</v>
      </c>
      <c r="B320" s="13" t="s">
        <v>1825</v>
      </c>
      <c r="C320" s="14" t="s">
        <v>1251</v>
      </c>
      <c r="D320" s="14" t="s">
        <v>827</v>
      </c>
      <c r="E320" s="13" t="s">
        <v>630</v>
      </c>
      <c r="F320" s="13" t="s">
        <v>2508</v>
      </c>
      <c r="G320" s="13" t="s">
        <v>674</v>
      </c>
      <c r="H320" s="13" t="s">
        <v>683</v>
      </c>
      <c r="J320" s="13" t="s">
        <v>629</v>
      </c>
      <c r="K320" s="14" t="s">
        <v>4051</v>
      </c>
      <c r="L320" s="13" t="s">
        <v>585</v>
      </c>
      <c r="M320" s="13" t="s">
        <v>2509</v>
      </c>
      <c r="N320" s="13">
        <v>31</v>
      </c>
      <c r="O320" s="2">
        <f t="shared" si="35"/>
        <v>0.67391304347826086</v>
      </c>
      <c r="P320" s="13">
        <v>20</v>
      </c>
      <c r="Q320" s="17">
        <f t="shared" si="34"/>
        <v>0.46511627906976744</v>
      </c>
      <c r="R320" s="13">
        <v>46</v>
      </c>
      <c r="S320" s="13">
        <v>43</v>
      </c>
      <c r="W320" s="13">
        <v>59.2</v>
      </c>
      <c r="X320" s="13">
        <v>7.94</v>
      </c>
      <c r="AB320" s="13">
        <v>54.1</v>
      </c>
      <c r="AC320" s="13">
        <v>11.2</v>
      </c>
      <c r="AG320" s="13" t="s">
        <v>928</v>
      </c>
      <c r="BG320" s="13">
        <v>2526</v>
      </c>
      <c r="BI320" s="13">
        <v>1162</v>
      </c>
      <c r="BJ320" s="13">
        <v>5169</v>
      </c>
      <c r="BR320" s="13">
        <v>1850</v>
      </c>
      <c r="BT320" s="13">
        <v>876</v>
      </c>
      <c r="BU320" s="13">
        <v>4365</v>
      </c>
      <c r="BX320" s="13">
        <v>0.255</v>
      </c>
      <c r="BY320" s="13" t="s">
        <v>1247</v>
      </c>
      <c r="BZ320" s="13" t="s">
        <v>1248</v>
      </c>
      <c r="CA320" s="13">
        <v>2024</v>
      </c>
      <c r="CB320" s="13" t="s">
        <v>73</v>
      </c>
      <c r="CC320" s="13" t="s">
        <v>19</v>
      </c>
      <c r="CD320" s="13">
        <v>31</v>
      </c>
      <c r="CE320" s="13">
        <v>1</v>
      </c>
      <c r="CF320" s="13" t="s">
        <v>1249</v>
      </c>
      <c r="CG320" s="13" t="s">
        <v>1250</v>
      </c>
    </row>
    <row r="321" spans="1:85">
      <c r="A321" s="13" t="s">
        <v>1699</v>
      </c>
      <c r="B321" s="13" t="s">
        <v>1827</v>
      </c>
      <c r="C321" s="13" t="s">
        <v>245</v>
      </c>
      <c r="D321" s="13" t="s">
        <v>834</v>
      </c>
      <c r="E321" s="13" t="s">
        <v>799</v>
      </c>
      <c r="F321" s="13" t="s">
        <v>833</v>
      </c>
      <c r="H321" s="13" t="s">
        <v>835</v>
      </c>
      <c r="J321" s="13" t="s">
        <v>584</v>
      </c>
      <c r="K321" s="13" t="s">
        <v>4052</v>
      </c>
      <c r="N321" s="13">
        <v>60</v>
      </c>
      <c r="O321" s="2">
        <f t="shared" si="35"/>
        <v>0.55555555555555558</v>
      </c>
      <c r="P321" s="13">
        <v>52</v>
      </c>
      <c r="Q321" s="17">
        <f t="shared" si="34"/>
        <v>0.65822784810126578</v>
      </c>
      <c r="R321" s="13">
        <v>108</v>
      </c>
      <c r="S321" s="13">
        <v>79</v>
      </c>
      <c r="T321" s="13">
        <v>17</v>
      </c>
      <c r="U321" s="15">
        <f>T321/R321</f>
        <v>0.15740740740740741</v>
      </c>
      <c r="V321" s="13">
        <v>10</v>
      </c>
      <c r="W321" s="13">
        <v>56.9</v>
      </c>
      <c r="X321" s="13">
        <v>10</v>
      </c>
      <c r="AB321" s="13">
        <v>43.4</v>
      </c>
      <c r="AC321" s="13">
        <v>11.8</v>
      </c>
      <c r="BY321" s="13" t="s">
        <v>241</v>
      </c>
      <c r="BZ321" s="13" t="s">
        <v>242</v>
      </c>
      <c r="CA321" s="13">
        <v>2020</v>
      </c>
      <c r="CB321" s="13" t="s">
        <v>53</v>
      </c>
      <c r="CC321" s="13" t="s">
        <v>26</v>
      </c>
      <c r="CD321" s="13">
        <v>7</v>
      </c>
      <c r="CE321" s="13">
        <v>7</v>
      </c>
      <c r="CF321" s="13" t="s">
        <v>243</v>
      </c>
      <c r="CG321" s="13" t="s">
        <v>244</v>
      </c>
    </row>
    <row r="322" spans="1:85">
      <c r="A322" s="13" t="s">
        <v>3386</v>
      </c>
      <c r="C322" s="13" t="s">
        <v>3315</v>
      </c>
      <c r="D322" s="14" t="s">
        <v>830</v>
      </c>
      <c r="E322" s="13" t="s">
        <v>630</v>
      </c>
      <c r="F322" s="13" t="s">
        <v>3784</v>
      </c>
      <c r="G322" s="13" t="s">
        <v>702</v>
      </c>
      <c r="H322" s="13" t="s">
        <v>3783</v>
      </c>
      <c r="J322" s="14" t="s">
        <v>712</v>
      </c>
      <c r="K322" s="13" t="s">
        <v>2968</v>
      </c>
      <c r="L322" s="13" t="s">
        <v>778</v>
      </c>
      <c r="N322" s="13">
        <v>35</v>
      </c>
      <c r="O322" s="2">
        <f t="shared" si="35"/>
        <v>0.58333333333333337</v>
      </c>
      <c r="P322" s="13">
        <v>20</v>
      </c>
      <c r="Q322" s="17">
        <f t="shared" si="34"/>
        <v>0.5</v>
      </c>
      <c r="R322" s="13">
        <v>60</v>
      </c>
      <c r="S322" s="13">
        <v>40</v>
      </c>
      <c r="W322" s="13">
        <v>52.85</v>
      </c>
      <c r="AB322" s="13">
        <v>51.28</v>
      </c>
      <c r="BY322" s="13" t="s">
        <v>3504</v>
      </c>
      <c r="BZ322" s="13" t="s">
        <v>3505</v>
      </c>
      <c r="CA322" s="13">
        <v>2024</v>
      </c>
      <c r="CC322" s="13" t="s">
        <v>3506</v>
      </c>
      <c r="CD322" s="13">
        <v>61</v>
      </c>
      <c r="CE322" s="13">
        <v>7</v>
      </c>
      <c r="CF322" s="13" t="s">
        <v>3507</v>
      </c>
      <c r="CG322" s="13" t="s">
        <v>3241</v>
      </c>
    </row>
    <row r="323" spans="1:85">
      <c r="A323" s="13" t="s">
        <v>1700</v>
      </c>
      <c r="C323" s="13" t="s">
        <v>250</v>
      </c>
      <c r="D323" s="13" t="s">
        <v>2038</v>
      </c>
      <c r="E323" s="13" t="s">
        <v>657</v>
      </c>
      <c r="F323" s="13" t="s">
        <v>836</v>
      </c>
      <c r="G323" s="13" t="s">
        <v>672</v>
      </c>
      <c r="H323" s="13" t="s">
        <v>837</v>
      </c>
      <c r="J323" s="13" t="s">
        <v>669</v>
      </c>
      <c r="K323" s="13" t="s">
        <v>3182</v>
      </c>
      <c r="L323" s="13" t="s">
        <v>1965</v>
      </c>
      <c r="M323" s="13" t="s">
        <v>839</v>
      </c>
      <c r="N323" s="13">
        <v>7</v>
      </c>
      <c r="O323" s="2">
        <f t="shared" si="35"/>
        <v>0.4375</v>
      </c>
      <c r="P323" s="13">
        <v>12</v>
      </c>
      <c r="Q323" s="17">
        <f t="shared" si="34"/>
        <v>0.46153846153846156</v>
      </c>
      <c r="R323" s="13">
        <v>16</v>
      </c>
      <c r="S323" s="13">
        <v>26</v>
      </c>
      <c r="W323" s="13">
        <v>63</v>
      </c>
      <c r="X323" s="13">
        <v>14.9</v>
      </c>
      <c r="AB323" s="13">
        <v>60.5</v>
      </c>
      <c r="AC323" s="13">
        <v>15.5</v>
      </c>
      <c r="AG323" s="13" t="s">
        <v>641</v>
      </c>
      <c r="BB323" s="13">
        <v>208.5</v>
      </c>
      <c r="BC323" s="13">
        <v>91.88</v>
      </c>
      <c r="BM323" s="13">
        <v>190.4</v>
      </c>
      <c r="BN323" s="13">
        <v>83.98</v>
      </c>
      <c r="BY323" s="13" t="s">
        <v>246</v>
      </c>
      <c r="BZ323" s="13" t="s">
        <v>247</v>
      </c>
      <c r="CA323" s="13">
        <v>2022</v>
      </c>
      <c r="CC323" s="13" t="s">
        <v>248</v>
      </c>
      <c r="CD323" s="13">
        <v>16</v>
      </c>
      <c r="CF323" s="13">
        <v>838432</v>
      </c>
      <c r="CG323" s="13" t="s">
        <v>249</v>
      </c>
    </row>
    <row r="324" spans="1:85">
      <c r="A324" s="13" t="s">
        <v>1700</v>
      </c>
      <c r="C324" s="13" t="s">
        <v>250</v>
      </c>
      <c r="D324" s="13" t="s">
        <v>2038</v>
      </c>
      <c r="E324" s="13" t="s">
        <v>657</v>
      </c>
      <c r="F324" s="13" t="s">
        <v>836</v>
      </c>
      <c r="G324" s="13" t="s">
        <v>672</v>
      </c>
      <c r="H324" s="13" t="s">
        <v>838</v>
      </c>
      <c r="J324" s="13" t="s">
        <v>669</v>
      </c>
      <c r="K324" s="13" t="s">
        <v>3182</v>
      </c>
      <c r="L324" s="13" t="s">
        <v>1965</v>
      </c>
      <c r="M324" s="13" t="s">
        <v>839</v>
      </c>
      <c r="N324" s="13">
        <v>7</v>
      </c>
      <c r="O324" s="2">
        <f t="shared" si="35"/>
        <v>0.46666666666666667</v>
      </c>
      <c r="P324" s="13">
        <v>12</v>
      </c>
      <c r="Q324" s="17">
        <f t="shared" si="34"/>
        <v>0.46153846153846156</v>
      </c>
      <c r="R324" s="13">
        <v>15</v>
      </c>
      <c r="S324" s="13">
        <v>26</v>
      </c>
      <c r="W324" s="13">
        <v>63</v>
      </c>
      <c r="X324" s="13">
        <v>14.9</v>
      </c>
      <c r="AB324" s="13">
        <v>60.5</v>
      </c>
      <c r="AC324" s="13">
        <v>15.5</v>
      </c>
      <c r="AG324" s="13" t="s">
        <v>641</v>
      </c>
      <c r="BB324" s="13">
        <v>29.16</v>
      </c>
      <c r="BC324" s="13">
        <v>13.06</v>
      </c>
      <c r="BM324" s="13">
        <v>29.26</v>
      </c>
      <c r="BN324" s="13">
        <v>14.12</v>
      </c>
      <c r="BY324" s="13" t="s">
        <v>246</v>
      </c>
      <c r="BZ324" s="13" t="s">
        <v>247</v>
      </c>
      <c r="CA324" s="13">
        <v>2022</v>
      </c>
      <c r="CC324" s="13" t="s">
        <v>248</v>
      </c>
      <c r="CD324" s="13">
        <v>16</v>
      </c>
      <c r="CF324" s="13">
        <v>838432</v>
      </c>
      <c r="CG324" s="13" t="s">
        <v>249</v>
      </c>
    </row>
    <row r="325" spans="1:85">
      <c r="A325" s="13" t="s">
        <v>1701</v>
      </c>
      <c r="B325" s="13" t="s">
        <v>2006</v>
      </c>
      <c r="C325" s="13" t="s">
        <v>257</v>
      </c>
      <c r="D325" s="13" t="s">
        <v>842</v>
      </c>
      <c r="E325" s="13" t="s">
        <v>657</v>
      </c>
      <c r="F325" s="13" t="s">
        <v>843</v>
      </c>
      <c r="G325" s="13" t="s">
        <v>674</v>
      </c>
      <c r="H325" s="13" t="s">
        <v>841</v>
      </c>
      <c r="J325" s="13" t="s">
        <v>584</v>
      </c>
      <c r="K325" s="13" t="s">
        <v>4082</v>
      </c>
      <c r="L325" s="13" t="s">
        <v>585</v>
      </c>
      <c r="M325" s="13" t="s">
        <v>840</v>
      </c>
      <c r="R325" s="13">
        <v>32</v>
      </c>
      <c r="S325" s="13">
        <v>25</v>
      </c>
      <c r="T325" s="13">
        <v>32</v>
      </c>
      <c r="U325" s="15">
        <v>1</v>
      </c>
      <c r="V325" s="13">
        <v>32</v>
      </c>
      <c r="W325" s="13">
        <v>57.4</v>
      </c>
      <c r="X325" s="13">
        <v>9.4</v>
      </c>
      <c r="AG325" s="13" t="s">
        <v>641</v>
      </c>
      <c r="BB325" s="13">
        <v>6.4</v>
      </c>
      <c r="BC325" s="13">
        <v>11.4</v>
      </c>
      <c r="BM325" s="13">
        <v>1.1000000000000001</v>
      </c>
      <c r="BN325" s="13">
        <v>1.6</v>
      </c>
      <c r="BY325" s="13" t="s">
        <v>251</v>
      </c>
      <c r="BZ325" s="13" t="s">
        <v>252</v>
      </c>
      <c r="CA325" s="13">
        <v>2024</v>
      </c>
      <c r="CB325" s="13" t="s">
        <v>253</v>
      </c>
      <c r="CC325" s="13" t="s">
        <v>254</v>
      </c>
      <c r="CD325" s="13">
        <v>30</v>
      </c>
      <c r="CE325" s="13">
        <v>2</v>
      </c>
      <c r="CF325" s="13" t="s">
        <v>255</v>
      </c>
      <c r="CG325" s="13" t="s">
        <v>256</v>
      </c>
    </row>
    <row r="326" spans="1:85">
      <c r="A326" s="13" t="s">
        <v>1833</v>
      </c>
      <c r="B326" s="13" t="s">
        <v>1833</v>
      </c>
      <c r="C326" s="14" t="s">
        <v>1289</v>
      </c>
      <c r="D326" s="14" t="s">
        <v>827</v>
      </c>
      <c r="E326" s="13" t="s">
        <v>630</v>
      </c>
      <c r="F326" s="13" t="s">
        <v>2535</v>
      </c>
      <c r="G326" s="13" t="s">
        <v>674</v>
      </c>
      <c r="H326" s="13" t="s">
        <v>2355</v>
      </c>
      <c r="J326" s="13" t="s">
        <v>2356</v>
      </c>
      <c r="K326" s="14" t="s">
        <v>4070</v>
      </c>
      <c r="L326" s="13" t="s">
        <v>585</v>
      </c>
      <c r="M326" s="13" t="s">
        <v>2536</v>
      </c>
      <c r="N326" s="13">
        <v>16</v>
      </c>
      <c r="O326" s="2">
        <f>N326/R326</f>
        <v>0.53333333333333333</v>
      </c>
      <c r="P326" s="13">
        <v>12</v>
      </c>
      <c r="Q326" s="17">
        <f>P326/S326</f>
        <v>0.46153846153846156</v>
      </c>
      <c r="R326" s="13">
        <v>30</v>
      </c>
      <c r="S326" s="13">
        <v>26</v>
      </c>
      <c r="T326" s="13">
        <v>6</v>
      </c>
      <c r="V326" s="13">
        <v>6</v>
      </c>
      <c r="Y326" s="13">
        <v>55.5</v>
      </c>
      <c r="Z326" s="13">
        <v>48</v>
      </c>
      <c r="AA326" s="13">
        <v>65</v>
      </c>
      <c r="AD326" s="13">
        <v>56</v>
      </c>
      <c r="AE326" s="13">
        <v>45</v>
      </c>
      <c r="AF326" s="13">
        <v>60</v>
      </c>
      <c r="AG326" s="13" t="s">
        <v>2537</v>
      </c>
      <c r="BG326" s="13">
        <v>6368.76</v>
      </c>
      <c r="BI326" s="13">
        <v>5302.41</v>
      </c>
      <c r="BJ326" s="13">
        <v>7800.83</v>
      </c>
      <c r="BR326" s="13">
        <v>7657.3</v>
      </c>
      <c r="BT326" s="13">
        <v>6592.24</v>
      </c>
      <c r="BU326" s="13">
        <v>8569.09</v>
      </c>
      <c r="BX326" s="13" t="s">
        <v>769</v>
      </c>
      <c r="BY326" s="13" t="s">
        <v>1284</v>
      </c>
      <c r="BZ326" s="13" t="s">
        <v>1285</v>
      </c>
      <c r="CA326" s="13">
        <v>2020</v>
      </c>
      <c r="CB326" s="13" t="s">
        <v>53</v>
      </c>
      <c r="CC326" s="13" t="s">
        <v>1286</v>
      </c>
      <c r="CD326" s="13">
        <v>14</v>
      </c>
      <c r="CE326" s="13">
        <v>3</v>
      </c>
      <c r="CF326" s="13" t="s">
        <v>1287</v>
      </c>
      <c r="CG326" s="13" t="s">
        <v>1288</v>
      </c>
    </row>
    <row r="327" spans="1:85">
      <c r="A327" s="13" t="s">
        <v>1833</v>
      </c>
      <c r="B327" s="13" t="s">
        <v>1833</v>
      </c>
      <c r="C327" s="14" t="s">
        <v>1289</v>
      </c>
      <c r="D327" s="14" t="s">
        <v>827</v>
      </c>
      <c r="E327" s="13" t="s">
        <v>630</v>
      </c>
      <c r="F327" s="13" t="s">
        <v>2535</v>
      </c>
      <c r="G327" s="13" t="s">
        <v>674</v>
      </c>
      <c r="H327" s="13" t="s">
        <v>2359</v>
      </c>
      <c r="J327" s="13" t="s">
        <v>2356</v>
      </c>
      <c r="K327" s="14" t="s">
        <v>4070</v>
      </c>
      <c r="L327" s="13" t="s">
        <v>585</v>
      </c>
      <c r="M327" s="13" t="s">
        <v>2536</v>
      </c>
      <c r="N327" s="13">
        <v>16</v>
      </c>
      <c r="O327" s="2">
        <f>N327/R327</f>
        <v>0.53333333333333333</v>
      </c>
      <c r="P327" s="13">
        <v>12</v>
      </c>
      <c r="Q327" s="17">
        <f>P327/S327</f>
        <v>0.46153846153846156</v>
      </c>
      <c r="R327" s="13">
        <v>30</v>
      </c>
      <c r="S327" s="13">
        <v>26</v>
      </c>
      <c r="T327" s="13">
        <v>6</v>
      </c>
      <c r="V327" s="13">
        <v>6</v>
      </c>
      <c r="Y327" s="13">
        <v>55.5</v>
      </c>
      <c r="Z327" s="13">
        <v>48</v>
      </c>
      <c r="AA327" s="13">
        <v>65</v>
      </c>
      <c r="AD327" s="13">
        <v>56</v>
      </c>
      <c r="AE327" s="13">
        <v>45</v>
      </c>
      <c r="AF327" s="13">
        <v>60</v>
      </c>
      <c r="AG327" s="13" t="s">
        <v>2537</v>
      </c>
      <c r="BG327" s="13">
        <v>1869.22</v>
      </c>
      <c r="BI327" s="13">
        <v>1235.5899999999999</v>
      </c>
      <c r="BJ327" s="13">
        <v>2373.6</v>
      </c>
      <c r="BR327" s="13">
        <v>2900.73</v>
      </c>
      <c r="BT327" s="13">
        <v>2202.86</v>
      </c>
      <c r="BU327" s="13">
        <v>3968.4</v>
      </c>
      <c r="BX327" s="13" t="s">
        <v>769</v>
      </c>
      <c r="BY327" s="13" t="s">
        <v>1284</v>
      </c>
      <c r="BZ327" s="13" t="s">
        <v>1285</v>
      </c>
      <c r="CA327" s="13">
        <v>2020</v>
      </c>
      <c r="CB327" s="13" t="s">
        <v>53</v>
      </c>
      <c r="CC327" s="13" t="s">
        <v>1286</v>
      </c>
      <c r="CD327" s="13">
        <v>14</v>
      </c>
      <c r="CE327" s="13">
        <v>3</v>
      </c>
      <c r="CF327" s="13" t="s">
        <v>1287</v>
      </c>
      <c r="CG327" s="13" t="s">
        <v>1288</v>
      </c>
    </row>
    <row r="328" spans="1:85">
      <c r="A328" s="13" t="s">
        <v>1833</v>
      </c>
      <c r="B328" s="13" t="s">
        <v>1833</v>
      </c>
      <c r="C328" s="14" t="s">
        <v>1289</v>
      </c>
      <c r="D328" s="14" t="s">
        <v>827</v>
      </c>
      <c r="E328" s="13" t="s">
        <v>634</v>
      </c>
      <c r="G328" s="13" t="s">
        <v>672</v>
      </c>
      <c r="H328" s="13" t="s">
        <v>2355</v>
      </c>
      <c r="J328" s="13" t="s">
        <v>2356</v>
      </c>
      <c r="K328" s="14" t="s">
        <v>4070</v>
      </c>
      <c r="L328" s="13" t="s">
        <v>585</v>
      </c>
      <c r="M328" s="13" t="s">
        <v>2536</v>
      </c>
      <c r="R328" s="13">
        <v>8</v>
      </c>
      <c r="S328" s="13">
        <v>0</v>
      </c>
      <c r="AG328" s="13" t="s">
        <v>2537</v>
      </c>
      <c r="BG328" s="13">
        <v>2365.19</v>
      </c>
      <c r="BI328" s="13">
        <v>2219.35</v>
      </c>
      <c r="BJ328" s="13">
        <v>4175.0600000000004</v>
      </c>
      <c r="BY328" s="13" t="s">
        <v>1284</v>
      </c>
      <c r="BZ328" s="13" t="s">
        <v>1285</v>
      </c>
      <c r="CA328" s="13">
        <v>2020</v>
      </c>
      <c r="CB328" s="13" t="s">
        <v>53</v>
      </c>
      <c r="CC328" s="13" t="s">
        <v>1286</v>
      </c>
      <c r="CD328" s="13">
        <v>14</v>
      </c>
      <c r="CE328" s="13">
        <v>3</v>
      </c>
      <c r="CF328" s="13" t="s">
        <v>1287</v>
      </c>
      <c r="CG328" s="13" t="s">
        <v>1288</v>
      </c>
    </row>
    <row r="329" spans="1:85">
      <c r="A329" s="13" t="s">
        <v>3387</v>
      </c>
      <c r="B329" s="16"/>
      <c r="C329" s="13" t="s">
        <v>3316</v>
      </c>
      <c r="D329" s="14" t="s">
        <v>820</v>
      </c>
      <c r="E329" s="13" t="s">
        <v>633</v>
      </c>
      <c r="F329" s="13" t="s">
        <v>3786</v>
      </c>
      <c r="G329" s="13" t="s">
        <v>672</v>
      </c>
      <c r="H329" s="13" t="s">
        <v>675</v>
      </c>
      <c r="J329" s="14" t="s">
        <v>2573</v>
      </c>
      <c r="K329" s="13" t="s">
        <v>3785</v>
      </c>
      <c r="L329" s="13" t="s">
        <v>652</v>
      </c>
      <c r="N329" s="13">
        <v>61</v>
      </c>
      <c r="O329" s="2">
        <f t="shared" ref="O329:O336" si="36">N329/R329</f>
        <v>0.62886597938144329</v>
      </c>
      <c r="P329" s="13">
        <v>37</v>
      </c>
      <c r="Q329" s="17">
        <f t="shared" ref="Q329:Q336" si="37">P329/S329</f>
        <v>0.69811320754716977</v>
      </c>
      <c r="R329" s="13">
        <v>97</v>
      </c>
      <c r="S329" s="13">
        <v>53</v>
      </c>
      <c r="W329" s="13">
        <v>67.099999999999994</v>
      </c>
      <c r="X329" s="13">
        <v>11.5</v>
      </c>
      <c r="AB329" s="13">
        <v>62.4</v>
      </c>
      <c r="AC329" s="13">
        <v>11.9</v>
      </c>
      <c r="AG329" s="13" t="s">
        <v>639</v>
      </c>
      <c r="AH329" s="13">
        <v>2239</v>
      </c>
      <c r="AJ329" s="13">
        <v>84.9</v>
      </c>
      <c r="AM329" s="13">
        <v>83.5</v>
      </c>
      <c r="AP329" s="13">
        <v>0.84199999999999997</v>
      </c>
      <c r="BY329" s="13" t="s">
        <v>3508</v>
      </c>
      <c r="BZ329" s="13" t="s">
        <v>3509</v>
      </c>
      <c r="CA329" s="13">
        <v>2024</v>
      </c>
      <c r="CC329" s="13" t="s">
        <v>523</v>
      </c>
      <c r="CD329" s="13">
        <v>11</v>
      </c>
      <c r="CE329" s="13">
        <v>7</v>
      </c>
      <c r="CF329" s="13" t="s">
        <v>3510</v>
      </c>
      <c r="CG329" s="13" t="s">
        <v>3242</v>
      </c>
    </row>
    <row r="330" spans="1:85">
      <c r="A330" s="13" t="s">
        <v>3387</v>
      </c>
      <c r="B330" s="16"/>
      <c r="C330" s="13" t="s">
        <v>3316</v>
      </c>
      <c r="D330" s="14" t="s">
        <v>820</v>
      </c>
      <c r="E330" s="13" t="s">
        <v>633</v>
      </c>
      <c r="F330" s="13" t="s">
        <v>3786</v>
      </c>
      <c r="G330" s="13" t="s">
        <v>672</v>
      </c>
      <c r="H330" s="13" t="s">
        <v>684</v>
      </c>
      <c r="I330" s="13" t="s">
        <v>3790</v>
      </c>
      <c r="J330" s="14" t="s">
        <v>2573</v>
      </c>
      <c r="K330" s="13" t="s">
        <v>3785</v>
      </c>
      <c r="L330" s="13" t="s">
        <v>652</v>
      </c>
      <c r="N330" s="13">
        <v>61</v>
      </c>
      <c r="O330" s="2">
        <f t="shared" si="36"/>
        <v>0.62886597938144329</v>
      </c>
      <c r="P330" s="13">
        <v>37</v>
      </c>
      <c r="Q330" s="17">
        <f t="shared" si="37"/>
        <v>0.69811320754716977</v>
      </c>
      <c r="R330" s="13">
        <v>97</v>
      </c>
      <c r="S330" s="13">
        <v>53</v>
      </c>
      <c r="W330" s="13">
        <v>67.099999999999994</v>
      </c>
      <c r="X330" s="13">
        <v>11.5</v>
      </c>
      <c r="AB330" s="13">
        <v>62.4</v>
      </c>
      <c r="AC330" s="13">
        <v>11.9</v>
      </c>
      <c r="AH330" s="13">
        <v>-152.1</v>
      </c>
      <c r="AJ330" s="13">
        <v>73.599999999999994</v>
      </c>
      <c r="AM330" s="13">
        <v>93.8</v>
      </c>
      <c r="AP330" s="13">
        <v>0.85399999999999998</v>
      </c>
      <c r="BY330" s="13" t="s">
        <v>3508</v>
      </c>
      <c r="BZ330" s="13" t="s">
        <v>3509</v>
      </c>
      <c r="CA330" s="13">
        <v>2024</v>
      </c>
      <c r="CC330" s="13" t="s">
        <v>523</v>
      </c>
      <c r="CD330" s="13">
        <v>11</v>
      </c>
      <c r="CE330" s="13">
        <v>7</v>
      </c>
      <c r="CF330" s="13" t="s">
        <v>3510</v>
      </c>
      <c r="CG330" s="13" t="s">
        <v>3242</v>
      </c>
    </row>
    <row r="331" spans="1:85">
      <c r="A331" s="13" t="s">
        <v>1702</v>
      </c>
      <c r="C331" s="13" t="s">
        <v>263</v>
      </c>
      <c r="D331" s="13" t="s">
        <v>827</v>
      </c>
      <c r="E331" s="13" t="s">
        <v>630</v>
      </c>
      <c r="F331" s="13" t="s">
        <v>845</v>
      </c>
      <c r="G331" s="13" t="s">
        <v>672</v>
      </c>
      <c r="H331" s="13" t="s">
        <v>844</v>
      </c>
      <c r="J331" s="13" t="s">
        <v>647</v>
      </c>
      <c r="K331" s="13" t="s">
        <v>3630</v>
      </c>
      <c r="L331" s="13" t="s">
        <v>585</v>
      </c>
      <c r="N331" s="13">
        <v>29</v>
      </c>
      <c r="O331" s="2">
        <f t="shared" si="36"/>
        <v>0.63043478260869568</v>
      </c>
      <c r="P331" s="13">
        <v>48</v>
      </c>
      <c r="Q331" s="17">
        <f t="shared" si="37"/>
        <v>1.0434782608695652</v>
      </c>
      <c r="R331" s="13">
        <v>46</v>
      </c>
      <c r="S331" s="13">
        <v>46</v>
      </c>
      <c r="Y331" s="13">
        <v>69</v>
      </c>
      <c r="Z331" s="13">
        <v>63</v>
      </c>
      <c r="AA331" s="13">
        <v>75</v>
      </c>
      <c r="AD331" s="13">
        <v>59</v>
      </c>
      <c r="AE331" s="13">
        <v>51</v>
      </c>
      <c r="AF331" s="13">
        <v>66</v>
      </c>
      <c r="AG331" s="13" t="s">
        <v>639</v>
      </c>
      <c r="AH331" s="13">
        <v>627.20000000000005</v>
      </c>
      <c r="AJ331" s="13">
        <v>72</v>
      </c>
      <c r="AM331" s="13">
        <v>60</v>
      </c>
      <c r="AP331" s="13">
        <v>0.66400000000000003</v>
      </c>
      <c r="AR331" s="13">
        <v>0.54900000000000004</v>
      </c>
      <c r="AS331" s="13">
        <v>0.77900000000000003</v>
      </c>
      <c r="BG331" s="13">
        <v>790</v>
      </c>
      <c r="BI331" s="13">
        <v>602</v>
      </c>
      <c r="BJ331" s="13">
        <v>1058</v>
      </c>
      <c r="BR331" s="13">
        <v>587</v>
      </c>
      <c r="BT331" s="13">
        <v>355</v>
      </c>
      <c r="BU331" s="13">
        <v>941</v>
      </c>
      <c r="BX331" s="13" t="s">
        <v>760</v>
      </c>
      <c r="BY331" s="13" t="s">
        <v>258</v>
      </c>
      <c r="BZ331" s="13" t="s">
        <v>259</v>
      </c>
      <c r="CA331" s="13">
        <v>2023</v>
      </c>
      <c r="CB331" s="13" t="s">
        <v>25</v>
      </c>
      <c r="CC331" s="13" t="s">
        <v>260</v>
      </c>
      <c r="CD331" s="13">
        <v>109</v>
      </c>
      <c r="CF331" s="13" t="s">
        <v>261</v>
      </c>
      <c r="CG331" s="13" t="s">
        <v>262</v>
      </c>
    </row>
    <row r="332" spans="1:85">
      <c r="A332" s="13" t="s">
        <v>1702</v>
      </c>
      <c r="C332" s="13" t="s">
        <v>263</v>
      </c>
      <c r="D332" s="13" t="s">
        <v>827</v>
      </c>
      <c r="E332" s="13" t="s">
        <v>630</v>
      </c>
      <c r="F332" s="13" t="s">
        <v>711</v>
      </c>
      <c r="G332" s="13" t="s">
        <v>673</v>
      </c>
      <c r="H332" s="13" t="s">
        <v>844</v>
      </c>
      <c r="J332" s="13" t="s">
        <v>647</v>
      </c>
      <c r="K332" s="13" t="s">
        <v>3630</v>
      </c>
      <c r="L332" s="13" t="s">
        <v>585</v>
      </c>
      <c r="N332" s="13">
        <v>48</v>
      </c>
      <c r="O332" s="2">
        <f t="shared" si="36"/>
        <v>0.48</v>
      </c>
      <c r="P332" s="13">
        <v>48</v>
      </c>
      <c r="Q332" s="17">
        <f t="shared" si="37"/>
        <v>0.48</v>
      </c>
      <c r="R332" s="13">
        <v>100</v>
      </c>
      <c r="S332" s="13">
        <v>100</v>
      </c>
      <c r="Y332" s="13">
        <v>69</v>
      </c>
      <c r="Z332" s="13">
        <v>63</v>
      </c>
      <c r="AA332" s="13">
        <v>75</v>
      </c>
      <c r="AD332" s="13">
        <v>69</v>
      </c>
      <c r="AE332" s="13">
        <v>63</v>
      </c>
      <c r="AF332" s="13">
        <v>75</v>
      </c>
      <c r="AG332" s="13" t="s">
        <v>639</v>
      </c>
      <c r="AH332" s="13">
        <v>2834.81</v>
      </c>
      <c r="AJ332" s="13">
        <v>75</v>
      </c>
      <c r="AM332" s="13">
        <v>53</v>
      </c>
      <c r="AP332" s="13">
        <v>0.64800000000000002</v>
      </c>
      <c r="AR332" s="13">
        <v>0.57099999999999995</v>
      </c>
      <c r="AS332" s="13">
        <v>0.72399999999999998</v>
      </c>
      <c r="BG332" s="13">
        <v>3679</v>
      </c>
      <c r="BI332" s="13">
        <v>2692</v>
      </c>
      <c r="BJ332" s="13">
        <v>4778</v>
      </c>
      <c r="BR332" s="13">
        <v>2811</v>
      </c>
      <c r="BT332" s="13">
        <v>1844</v>
      </c>
      <c r="BU332" s="13">
        <v>3802</v>
      </c>
      <c r="BX332" s="13" t="s">
        <v>769</v>
      </c>
      <c r="BY332" s="13" t="s">
        <v>258</v>
      </c>
      <c r="BZ332" s="13" t="s">
        <v>259</v>
      </c>
      <c r="CA332" s="13">
        <v>2023</v>
      </c>
      <c r="CB332" s="13" t="s">
        <v>25</v>
      </c>
      <c r="CC332" s="13" t="s">
        <v>260</v>
      </c>
      <c r="CD332" s="13">
        <v>109</v>
      </c>
      <c r="CF332" s="13" t="s">
        <v>261</v>
      </c>
      <c r="CG332" s="13" t="s">
        <v>262</v>
      </c>
    </row>
    <row r="333" spans="1:85">
      <c r="A333" s="13" t="s">
        <v>1703</v>
      </c>
      <c r="B333" s="13" t="s">
        <v>1835</v>
      </c>
      <c r="C333" s="13" t="s">
        <v>267</v>
      </c>
      <c r="D333" s="13" t="s">
        <v>825</v>
      </c>
      <c r="E333" s="13" t="s">
        <v>630</v>
      </c>
      <c r="F333" s="13" t="s">
        <v>846</v>
      </c>
      <c r="G333" s="13" t="s">
        <v>673</v>
      </c>
      <c r="H333" s="13" t="s">
        <v>687</v>
      </c>
      <c r="I333" s="13" t="s">
        <v>848</v>
      </c>
      <c r="J333" s="13" t="s">
        <v>712</v>
      </c>
      <c r="K333" s="13" t="s">
        <v>4083</v>
      </c>
      <c r="L333" s="13" t="s">
        <v>1966</v>
      </c>
      <c r="M333" s="13" t="s">
        <v>847</v>
      </c>
      <c r="N333" s="13">
        <v>12</v>
      </c>
      <c r="O333" s="2">
        <f t="shared" si="36"/>
        <v>0.52173913043478259</v>
      </c>
      <c r="P333" s="13">
        <v>12</v>
      </c>
      <c r="Q333" s="17">
        <f t="shared" si="37"/>
        <v>0.48</v>
      </c>
      <c r="R333" s="13">
        <v>23</v>
      </c>
      <c r="S333" s="13">
        <v>25</v>
      </c>
      <c r="W333" s="13">
        <v>52.5</v>
      </c>
      <c r="X333" s="13">
        <v>1.7</v>
      </c>
      <c r="AB333" s="13">
        <v>52.4</v>
      </c>
      <c r="AC333" s="13">
        <v>2.1</v>
      </c>
      <c r="AP333" s="13">
        <v>0.89800000000000002</v>
      </c>
      <c r="AR333" s="13">
        <v>0.80200000000000005</v>
      </c>
      <c r="AS333" s="13">
        <v>0.995</v>
      </c>
      <c r="BY333" s="13" t="s">
        <v>264</v>
      </c>
      <c r="BZ333" s="13" t="s">
        <v>265</v>
      </c>
      <c r="CA333" s="13">
        <v>2021</v>
      </c>
      <c r="CB333" s="21">
        <v>45586</v>
      </c>
      <c r="CC333" s="13" t="s">
        <v>61</v>
      </c>
      <c r="CD333" s="13">
        <v>11</v>
      </c>
      <c r="CE333" s="13">
        <v>1</v>
      </c>
      <c r="CF333" s="13">
        <v>20786</v>
      </c>
      <c r="CG333" s="13" t="s">
        <v>266</v>
      </c>
    </row>
    <row r="334" spans="1:85">
      <c r="A334" s="13" t="s">
        <v>1703</v>
      </c>
      <c r="B334" s="13" t="s">
        <v>1835</v>
      </c>
      <c r="C334" s="13" t="s">
        <v>267</v>
      </c>
      <c r="D334" s="13" t="s">
        <v>825</v>
      </c>
      <c r="E334" s="13" t="s">
        <v>630</v>
      </c>
      <c r="F334" s="13" t="s">
        <v>846</v>
      </c>
      <c r="G334" s="13" t="s">
        <v>673</v>
      </c>
      <c r="H334" s="13" t="s">
        <v>687</v>
      </c>
      <c r="I334" s="13" t="s">
        <v>849</v>
      </c>
      <c r="J334" s="13" t="s">
        <v>712</v>
      </c>
      <c r="K334" s="13" t="s">
        <v>4083</v>
      </c>
      <c r="L334" s="13" t="s">
        <v>1966</v>
      </c>
      <c r="M334" s="13" t="s">
        <v>847</v>
      </c>
      <c r="N334" s="13">
        <v>12</v>
      </c>
      <c r="O334" s="2">
        <f t="shared" si="36"/>
        <v>0.52173913043478259</v>
      </c>
      <c r="P334" s="13">
        <v>12</v>
      </c>
      <c r="Q334" s="17">
        <f t="shared" si="37"/>
        <v>0.48</v>
      </c>
      <c r="R334" s="13">
        <v>23</v>
      </c>
      <c r="S334" s="13">
        <v>25</v>
      </c>
      <c r="W334" s="13">
        <v>52.5</v>
      </c>
      <c r="X334" s="13">
        <v>1.7</v>
      </c>
      <c r="AB334" s="13">
        <v>52.4</v>
      </c>
      <c r="AC334" s="13">
        <v>2.1</v>
      </c>
      <c r="AP334" s="13">
        <v>0.95199999999999996</v>
      </c>
      <c r="AR334" s="13">
        <v>0.89500000000000002</v>
      </c>
      <c r="AS334" s="13">
        <v>1</v>
      </c>
      <c r="BY334" s="13" t="s">
        <v>264</v>
      </c>
      <c r="BZ334" s="13" t="s">
        <v>265</v>
      </c>
      <c r="CA334" s="13">
        <v>2021</v>
      </c>
      <c r="CB334" s="21">
        <v>45586</v>
      </c>
      <c r="CC334" s="13" t="s">
        <v>61</v>
      </c>
      <c r="CD334" s="13">
        <v>11</v>
      </c>
      <c r="CE334" s="13">
        <v>1</v>
      </c>
      <c r="CF334" s="13">
        <v>20786</v>
      </c>
      <c r="CG334" s="13" t="s">
        <v>266</v>
      </c>
    </row>
    <row r="335" spans="1:85">
      <c r="A335" s="13" t="s">
        <v>3388</v>
      </c>
      <c r="C335" s="13" t="s">
        <v>3317</v>
      </c>
      <c r="D335" s="14" t="s">
        <v>1015</v>
      </c>
      <c r="E335" s="13" t="s">
        <v>799</v>
      </c>
      <c r="F335" s="13" t="s">
        <v>3787</v>
      </c>
      <c r="G335" s="13" t="s">
        <v>672</v>
      </c>
      <c r="H335" s="13" t="s">
        <v>844</v>
      </c>
      <c r="J335" s="14" t="s">
        <v>712</v>
      </c>
      <c r="K335" s="13" t="s">
        <v>2998</v>
      </c>
      <c r="L335" s="13" t="s">
        <v>585</v>
      </c>
      <c r="M335" s="13" t="s">
        <v>3788</v>
      </c>
      <c r="N335" s="13">
        <v>24</v>
      </c>
      <c r="O335" s="2">
        <f t="shared" si="36"/>
        <v>0.51063829787234039</v>
      </c>
      <c r="P335" s="13">
        <v>13</v>
      </c>
      <c r="Q335" s="17">
        <f t="shared" si="37"/>
        <v>0.56521739130434778</v>
      </c>
      <c r="R335" s="13">
        <v>47</v>
      </c>
      <c r="S335" s="13">
        <v>23</v>
      </c>
      <c r="W335" s="13">
        <v>55.4</v>
      </c>
      <c r="X335" s="13">
        <v>9.69</v>
      </c>
      <c r="AB335" s="13">
        <v>56</v>
      </c>
      <c r="AC335" s="13">
        <v>9.6</v>
      </c>
      <c r="AG335" s="13" t="s">
        <v>641</v>
      </c>
      <c r="BG335" s="13">
        <v>13.94</v>
      </c>
      <c r="BI335" s="13">
        <f>BG335-9.08/2</f>
        <v>9.3999999999999986</v>
      </c>
      <c r="BJ335" s="13">
        <f>BG335+9.08/2</f>
        <v>18.48</v>
      </c>
      <c r="BR335" s="13">
        <v>10.199999999999999</v>
      </c>
      <c r="BT335" s="13">
        <f>BR335-3.84/2</f>
        <v>8.2799999999999994</v>
      </c>
      <c r="BU335" s="13">
        <f>BR335+3.84/2</f>
        <v>12.12</v>
      </c>
      <c r="BX335" s="13">
        <v>2E-3</v>
      </c>
      <c r="BY335" s="13" t="s">
        <v>3511</v>
      </c>
      <c r="BZ335" s="13" t="s">
        <v>3512</v>
      </c>
      <c r="CA335" s="13">
        <v>2024</v>
      </c>
      <c r="CC335" s="13" t="s">
        <v>416</v>
      </c>
      <c r="CD335" s="13">
        <v>15</v>
      </c>
      <c r="CF335" s="13">
        <v>1515252</v>
      </c>
      <c r="CG335" s="13" t="s">
        <v>3243</v>
      </c>
    </row>
    <row r="336" spans="1:85">
      <c r="A336" s="13" t="s">
        <v>3389</v>
      </c>
      <c r="C336" s="13" t="s">
        <v>3318</v>
      </c>
      <c r="D336" s="14" t="s">
        <v>830</v>
      </c>
      <c r="E336" s="13" t="s">
        <v>630</v>
      </c>
      <c r="F336" s="13" t="s">
        <v>2761</v>
      </c>
      <c r="G336" s="13" t="s">
        <v>674</v>
      </c>
      <c r="H336" s="13" t="s">
        <v>3794</v>
      </c>
      <c r="J336" s="14" t="s">
        <v>584</v>
      </c>
      <c r="K336" s="13" t="s">
        <v>3791</v>
      </c>
      <c r="L336" s="13" t="s">
        <v>3781</v>
      </c>
      <c r="M336" s="13" t="s">
        <v>3792</v>
      </c>
      <c r="N336" s="13">
        <v>10</v>
      </c>
      <c r="O336" s="2">
        <f t="shared" si="36"/>
        <v>1</v>
      </c>
      <c r="P336" s="13">
        <v>8</v>
      </c>
      <c r="Q336" s="17">
        <f t="shared" si="37"/>
        <v>1</v>
      </c>
      <c r="R336" s="13">
        <v>10</v>
      </c>
      <c r="S336" s="13">
        <v>8</v>
      </c>
      <c r="W336" s="13">
        <v>60</v>
      </c>
      <c r="AB336" s="13">
        <v>60</v>
      </c>
      <c r="BY336" s="13" t="s">
        <v>3513</v>
      </c>
      <c r="BZ336" s="13" t="s">
        <v>3514</v>
      </c>
      <c r="CA336" s="13">
        <v>2025</v>
      </c>
      <c r="CB336" s="21">
        <v>45708</v>
      </c>
      <c r="CC336" s="13" t="s">
        <v>3515</v>
      </c>
      <c r="CD336" s="13">
        <v>15</v>
      </c>
      <c r="CE336" s="13">
        <v>1</v>
      </c>
      <c r="CF336" s="13">
        <v>26</v>
      </c>
      <c r="CG336" s="13" t="s">
        <v>3244</v>
      </c>
    </row>
    <row r="337" spans="1:85">
      <c r="A337" s="13" t="s">
        <v>1704</v>
      </c>
      <c r="B337" s="13" t="s">
        <v>1838</v>
      </c>
      <c r="C337" s="13" t="s">
        <v>2559</v>
      </c>
      <c r="D337" s="13" t="s">
        <v>830</v>
      </c>
      <c r="E337" s="13" t="s">
        <v>852</v>
      </c>
      <c r="F337" s="13" t="s">
        <v>853</v>
      </c>
      <c r="G337" s="13" t="s">
        <v>673</v>
      </c>
      <c r="H337" s="13" t="s">
        <v>684</v>
      </c>
      <c r="I337" s="13" t="s">
        <v>854</v>
      </c>
      <c r="J337" s="13" t="s">
        <v>850</v>
      </c>
      <c r="K337" s="13" t="s">
        <v>4084</v>
      </c>
      <c r="L337" s="13" t="s">
        <v>1967</v>
      </c>
      <c r="M337" s="13" t="s">
        <v>851</v>
      </c>
      <c r="R337" s="13">
        <v>44</v>
      </c>
      <c r="S337" s="13">
        <v>35</v>
      </c>
      <c r="AJ337" s="13">
        <v>95.5</v>
      </c>
      <c r="AM337" s="13">
        <v>91.4</v>
      </c>
      <c r="AP337" s="13">
        <v>0.99199999999999999</v>
      </c>
      <c r="BY337" s="13" t="s">
        <v>268</v>
      </c>
      <c r="BZ337" s="13" t="s">
        <v>269</v>
      </c>
      <c r="CA337" s="13">
        <v>2020</v>
      </c>
      <c r="CC337" s="13" t="s">
        <v>105</v>
      </c>
      <c r="CD337" s="13">
        <v>2</v>
      </c>
      <c r="CE337" s="13">
        <v>1</v>
      </c>
      <c r="CG337" s="13" t="s">
        <v>270</v>
      </c>
    </row>
    <row r="338" spans="1:85">
      <c r="A338" s="13" t="s">
        <v>1704</v>
      </c>
      <c r="B338" s="13" t="s">
        <v>1838</v>
      </c>
      <c r="C338" s="13" t="s">
        <v>2560</v>
      </c>
      <c r="D338" s="13" t="s">
        <v>830</v>
      </c>
      <c r="E338" s="13" t="s">
        <v>852</v>
      </c>
      <c r="F338" s="13" t="s">
        <v>853</v>
      </c>
      <c r="G338" s="13" t="s">
        <v>673</v>
      </c>
      <c r="H338" s="13" t="s">
        <v>684</v>
      </c>
      <c r="I338" s="13" t="s">
        <v>854</v>
      </c>
      <c r="J338" s="13" t="s">
        <v>850</v>
      </c>
      <c r="K338" s="13" t="s">
        <v>4084</v>
      </c>
      <c r="L338" s="13" t="s">
        <v>1967</v>
      </c>
      <c r="M338" s="13" t="s">
        <v>851</v>
      </c>
      <c r="R338" s="13">
        <v>51</v>
      </c>
      <c r="S338" s="13">
        <v>106</v>
      </c>
      <c r="AJ338" s="13">
        <v>86.8</v>
      </c>
      <c r="AM338" s="13">
        <v>47.1</v>
      </c>
      <c r="AP338" s="13">
        <v>0.65600000000000003</v>
      </c>
      <c r="BY338" s="13" t="s">
        <v>268</v>
      </c>
      <c r="BZ338" s="13" t="s">
        <v>269</v>
      </c>
      <c r="CA338" s="13">
        <v>2020</v>
      </c>
      <c r="CC338" s="13" t="s">
        <v>105</v>
      </c>
      <c r="CD338" s="13">
        <v>2</v>
      </c>
      <c r="CE338" s="13">
        <v>1</v>
      </c>
      <c r="CG338" s="13" t="s">
        <v>270</v>
      </c>
    </row>
    <row r="339" spans="1:85">
      <c r="A339" s="13" t="s">
        <v>1839</v>
      </c>
      <c r="B339" s="13" t="s">
        <v>1839</v>
      </c>
      <c r="C339" s="27" t="s">
        <v>1307</v>
      </c>
      <c r="D339" s="14" t="s">
        <v>898</v>
      </c>
      <c r="E339" s="13" t="s">
        <v>630</v>
      </c>
      <c r="F339" s="13" t="s">
        <v>2566</v>
      </c>
      <c r="G339" s="13" t="s">
        <v>673</v>
      </c>
      <c r="H339" s="13" t="s">
        <v>737</v>
      </c>
      <c r="J339" s="13" t="s">
        <v>2563</v>
      </c>
      <c r="K339" s="14" t="s">
        <v>4071</v>
      </c>
      <c r="L339" s="13" t="s">
        <v>585</v>
      </c>
      <c r="N339" s="13">
        <v>70</v>
      </c>
      <c r="O339" s="2">
        <f t="shared" ref="O339:O350" si="38">N339/R339</f>
        <v>0.66666666666666663</v>
      </c>
      <c r="P339" s="13">
        <v>55</v>
      </c>
      <c r="Q339" s="17">
        <f t="shared" ref="Q339:Q350" si="39">P339/S339</f>
        <v>1</v>
      </c>
      <c r="R339" s="13">
        <v>105</v>
      </c>
      <c r="S339" s="13">
        <v>55</v>
      </c>
      <c r="W339" s="13">
        <v>57.5</v>
      </c>
      <c r="X339" s="13">
        <v>10.4</v>
      </c>
      <c r="AB339" s="13">
        <v>57.9</v>
      </c>
      <c r="AC339" s="13">
        <v>10.6</v>
      </c>
      <c r="AG339" s="13" t="s">
        <v>641</v>
      </c>
      <c r="BG339" s="13">
        <v>23.08</v>
      </c>
      <c r="BI339" s="13">
        <v>15.85</v>
      </c>
      <c r="BJ339" s="13">
        <v>30.65</v>
      </c>
      <c r="BR339" s="13">
        <v>20.46</v>
      </c>
      <c r="BT339" s="13">
        <v>13.8</v>
      </c>
      <c r="BU339" s="13">
        <v>25.9</v>
      </c>
      <c r="BX339" s="13">
        <v>0.22</v>
      </c>
      <c r="BY339" s="13" t="s">
        <v>1303</v>
      </c>
      <c r="BZ339" s="13" t="s">
        <v>1304</v>
      </c>
      <c r="CA339" s="13">
        <v>2024</v>
      </c>
      <c r="CB339" s="13" t="s">
        <v>53</v>
      </c>
      <c r="CC339" s="13" t="s">
        <v>26</v>
      </c>
      <c r="CD339" s="13">
        <v>11</v>
      </c>
      <c r="CE339" s="13">
        <v>7</v>
      </c>
      <c r="CF339" s="13" t="s">
        <v>1305</v>
      </c>
      <c r="CG339" s="13" t="s">
        <v>1306</v>
      </c>
    </row>
    <row r="340" spans="1:85">
      <c r="A340" s="13" t="s">
        <v>1839</v>
      </c>
      <c r="B340" s="13" t="s">
        <v>1839</v>
      </c>
      <c r="C340" s="27" t="s">
        <v>1307</v>
      </c>
      <c r="D340" s="14" t="s">
        <v>898</v>
      </c>
      <c r="E340" s="13" t="s">
        <v>939</v>
      </c>
      <c r="F340" s="13" t="s">
        <v>2566</v>
      </c>
      <c r="G340" s="13" t="s">
        <v>673</v>
      </c>
      <c r="H340" s="13" t="s">
        <v>737</v>
      </c>
      <c r="J340" s="13" t="s">
        <v>2563</v>
      </c>
      <c r="K340" s="14" t="s">
        <v>4071</v>
      </c>
      <c r="L340" s="13" t="s">
        <v>585</v>
      </c>
      <c r="N340" s="13">
        <v>70</v>
      </c>
      <c r="O340" s="2">
        <f t="shared" si="38"/>
        <v>0.66666666666666663</v>
      </c>
      <c r="P340" s="13">
        <v>77</v>
      </c>
      <c r="Q340" s="17">
        <f t="shared" si="39"/>
        <v>1</v>
      </c>
      <c r="R340" s="13">
        <v>105</v>
      </c>
      <c r="S340" s="13">
        <v>77</v>
      </c>
      <c r="W340" s="13">
        <v>57.5</v>
      </c>
      <c r="X340" s="13">
        <v>10.4</v>
      </c>
      <c r="AB340" s="13">
        <v>54.1</v>
      </c>
      <c r="AC340" s="13">
        <v>9.9</v>
      </c>
      <c r="AG340" s="13" t="s">
        <v>641</v>
      </c>
      <c r="BG340" s="13">
        <v>23.08</v>
      </c>
      <c r="BI340" s="13">
        <v>15.85</v>
      </c>
      <c r="BJ340" s="13">
        <v>30.65</v>
      </c>
      <c r="BR340" s="13">
        <v>20.9</v>
      </c>
      <c r="BT340" s="13">
        <v>16.18</v>
      </c>
      <c r="BU340" s="13">
        <v>29.53</v>
      </c>
      <c r="BX340" s="13">
        <v>0.22</v>
      </c>
      <c r="BY340" s="13" t="s">
        <v>1303</v>
      </c>
      <c r="BZ340" s="13" t="s">
        <v>1304</v>
      </c>
      <c r="CA340" s="13">
        <v>2024</v>
      </c>
      <c r="CB340" s="13" t="s">
        <v>53</v>
      </c>
      <c r="CC340" s="13" t="s">
        <v>26</v>
      </c>
      <c r="CD340" s="13">
        <v>11</v>
      </c>
      <c r="CE340" s="13">
        <v>7</v>
      </c>
      <c r="CF340" s="13" t="s">
        <v>1305</v>
      </c>
      <c r="CG340" s="13" t="s">
        <v>1306</v>
      </c>
    </row>
    <row r="341" spans="1:85">
      <c r="A341" s="13" t="s">
        <v>1705</v>
      </c>
      <c r="B341" s="13" t="s">
        <v>1840</v>
      </c>
      <c r="C341" s="13" t="s">
        <v>275</v>
      </c>
      <c r="D341" s="13" t="s">
        <v>860</v>
      </c>
      <c r="E341" s="13" t="s">
        <v>799</v>
      </c>
      <c r="F341" s="13" t="s">
        <v>856</v>
      </c>
      <c r="G341" s="13" t="s">
        <v>672</v>
      </c>
      <c r="H341" s="13" t="s">
        <v>675</v>
      </c>
      <c r="J341" s="13" t="s">
        <v>855</v>
      </c>
      <c r="K341" s="13" t="s">
        <v>4085</v>
      </c>
      <c r="L341" s="13" t="s">
        <v>652</v>
      </c>
      <c r="N341" s="13">
        <v>18</v>
      </c>
      <c r="O341" s="2">
        <f t="shared" si="38"/>
        <v>0.62068965517241381</v>
      </c>
      <c r="P341" s="13">
        <v>19</v>
      </c>
      <c r="Q341" s="17">
        <f t="shared" si="39"/>
        <v>0.65517241379310343</v>
      </c>
      <c r="R341" s="13">
        <v>29</v>
      </c>
      <c r="S341" s="13">
        <v>29</v>
      </c>
      <c r="W341" s="13">
        <v>65.41</v>
      </c>
      <c r="X341" s="13">
        <v>12.34</v>
      </c>
      <c r="AB341" s="13">
        <v>66.400000000000006</v>
      </c>
      <c r="AC341" s="13">
        <v>9.1999999999999993</v>
      </c>
      <c r="AJ341" s="13">
        <v>82.76</v>
      </c>
      <c r="AM341" s="13">
        <v>82.76</v>
      </c>
      <c r="AP341" s="13">
        <v>0.8347</v>
      </c>
      <c r="BY341" s="13" t="s">
        <v>271</v>
      </c>
      <c r="BZ341" s="13" t="s">
        <v>272</v>
      </c>
      <c r="CA341" s="13">
        <v>2019</v>
      </c>
      <c r="CB341" s="13" t="s">
        <v>162</v>
      </c>
      <c r="CC341" s="13" t="s">
        <v>26</v>
      </c>
      <c r="CD341" s="13">
        <v>6</v>
      </c>
      <c r="CE341" s="13">
        <v>12</v>
      </c>
      <c r="CF341" s="13" t="s">
        <v>273</v>
      </c>
      <c r="CG341" s="13" t="s">
        <v>274</v>
      </c>
    </row>
    <row r="342" spans="1:85">
      <c r="A342" s="13" t="s">
        <v>1705</v>
      </c>
      <c r="B342" s="13" t="s">
        <v>1840</v>
      </c>
      <c r="C342" s="13" t="s">
        <v>275</v>
      </c>
      <c r="D342" s="13" t="s">
        <v>860</v>
      </c>
      <c r="E342" s="13" t="s">
        <v>799</v>
      </c>
      <c r="F342" s="13" t="s">
        <v>856</v>
      </c>
      <c r="G342" s="13" t="s">
        <v>672</v>
      </c>
      <c r="H342" s="13" t="s">
        <v>858</v>
      </c>
      <c r="J342" s="13" t="s">
        <v>855</v>
      </c>
      <c r="K342" s="13" t="s">
        <v>4085</v>
      </c>
      <c r="L342" s="13" t="s">
        <v>652</v>
      </c>
      <c r="N342" s="13">
        <v>18</v>
      </c>
      <c r="O342" s="2">
        <f t="shared" si="38"/>
        <v>0.62068965517241381</v>
      </c>
      <c r="P342" s="13">
        <v>19</v>
      </c>
      <c r="Q342" s="17">
        <f t="shared" si="39"/>
        <v>0.65517241379310343</v>
      </c>
      <c r="R342" s="13">
        <v>29</v>
      </c>
      <c r="S342" s="13">
        <v>29</v>
      </c>
      <c r="W342" s="13">
        <v>65.41</v>
      </c>
      <c r="X342" s="13">
        <v>12.34</v>
      </c>
      <c r="AB342" s="13">
        <v>66.400000000000006</v>
      </c>
      <c r="AC342" s="13">
        <v>9.1999999999999993</v>
      </c>
      <c r="AJ342" s="13">
        <v>75.86</v>
      </c>
      <c r="AM342" s="13">
        <v>75.86</v>
      </c>
      <c r="AP342" s="13">
        <v>0.82050000000000001</v>
      </c>
      <c r="BY342" s="13" t="s">
        <v>271</v>
      </c>
      <c r="BZ342" s="13" t="s">
        <v>272</v>
      </c>
      <c r="CA342" s="13">
        <v>2019</v>
      </c>
      <c r="CB342" s="13" t="s">
        <v>162</v>
      </c>
      <c r="CC342" s="13" t="s">
        <v>26</v>
      </c>
      <c r="CD342" s="13">
        <v>6</v>
      </c>
      <c r="CE342" s="13">
        <v>12</v>
      </c>
      <c r="CF342" s="13" t="s">
        <v>273</v>
      </c>
      <c r="CG342" s="13" t="s">
        <v>274</v>
      </c>
    </row>
    <row r="343" spans="1:85">
      <c r="A343" s="13" t="s">
        <v>1705</v>
      </c>
      <c r="B343" s="13" t="s">
        <v>1840</v>
      </c>
      <c r="C343" s="13" t="s">
        <v>275</v>
      </c>
      <c r="D343" s="13" t="s">
        <v>860</v>
      </c>
      <c r="E343" s="13" t="s">
        <v>799</v>
      </c>
      <c r="F343" s="13" t="s">
        <v>856</v>
      </c>
      <c r="G343" s="13" t="s">
        <v>672</v>
      </c>
      <c r="H343" s="13" t="s">
        <v>684</v>
      </c>
      <c r="I343" s="13" t="s">
        <v>859</v>
      </c>
      <c r="J343" s="13" t="s">
        <v>855</v>
      </c>
      <c r="K343" s="13" t="s">
        <v>4085</v>
      </c>
      <c r="L343" s="13" t="s">
        <v>652</v>
      </c>
      <c r="N343" s="13">
        <v>18</v>
      </c>
      <c r="O343" s="2">
        <f t="shared" si="38"/>
        <v>0.62068965517241381</v>
      </c>
      <c r="P343" s="13">
        <v>19</v>
      </c>
      <c r="Q343" s="17">
        <f t="shared" si="39"/>
        <v>0.65517241379310343</v>
      </c>
      <c r="R343" s="13">
        <v>29</v>
      </c>
      <c r="S343" s="13">
        <v>29</v>
      </c>
      <c r="W343" s="13">
        <v>65.41</v>
      </c>
      <c r="X343" s="13">
        <v>12.34</v>
      </c>
      <c r="AB343" s="13">
        <v>66.400000000000006</v>
      </c>
      <c r="AC343" s="13">
        <v>9.1999999999999993</v>
      </c>
      <c r="AJ343" s="13">
        <v>79.31</v>
      </c>
      <c r="AM343" s="13">
        <v>86.21</v>
      </c>
      <c r="AP343" s="13">
        <v>0.84299999999999997</v>
      </c>
      <c r="BY343" s="13" t="s">
        <v>271</v>
      </c>
      <c r="BZ343" s="13" t="s">
        <v>272</v>
      </c>
      <c r="CA343" s="13">
        <v>2019</v>
      </c>
      <c r="CB343" s="13" t="s">
        <v>162</v>
      </c>
      <c r="CC343" s="13" t="s">
        <v>26</v>
      </c>
      <c r="CD343" s="13">
        <v>6</v>
      </c>
      <c r="CE343" s="13">
        <v>12</v>
      </c>
      <c r="CF343" s="13" t="s">
        <v>273</v>
      </c>
      <c r="CG343" s="13" t="s">
        <v>274</v>
      </c>
    </row>
    <row r="344" spans="1:85">
      <c r="A344" s="13" t="s">
        <v>1705</v>
      </c>
      <c r="B344" s="13" t="s">
        <v>1840</v>
      </c>
      <c r="C344" s="13" t="s">
        <v>275</v>
      </c>
      <c r="D344" s="13" t="s">
        <v>860</v>
      </c>
      <c r="E344" s="13" t="s">
        <v>799</v>
      </c>
      <c r="F344" s="13" t="s">
        <v>856</v>
      </c>
      <c r="G344" s="13" t="s">
        <v>692</v>
      </c>
      <c r="H344" s="13" t="s">
        <v>684</v>
      </c>
      <c r="I344" s="13" t="s">
        <v>861</v>
      </c>
      <c r="J344" s="13" t="s">
        <v>855</v>
      </c>
      <c r="K344" s="13" t="s">
        <v>4085</v>
      </c>
      <c r="L344" s="13" t="s">
        <v>652</v>
      </c>
      <c r="N344" s="13">
        <v>18</v>
      </c>
      <c r="O344" s="2">
        <f t="shared" si="38"/>
        <v>0.62068965517241381</v>
      </c>
      <c r="P344" s="13">
        <v>19</v>
      </c>
      <c r="Q344" s="17">
        <f t="shared" si="39"/>
        <v>0.65517241379310343</v>
      </c>
      <c r="R344" s="13">
        <v>29</v>
      </c>
      <c r="S344" s="13">
        <v>29</v>
      </c>
      <c r="W344" s="13">
        <v>65.41</v>
      </c>
      <c r="X344" s="13">
        <v>12.34</v>
      </c>
      <c r="AB344" s="13">
        <v>66.400000000000006</v>
      </c>
      <c r="AC344" s="13">
        <v>9.1999999999999993</v>
      </c>
      <c r="AP344" s="13">
        <v>0.75980000000000003</v>
      </c>
      <c r="BY344" s="13" t="s">
        <v>271</v>
      </c>
      <c r="BZ344" s="13" t="s">
        <v>272</v>
      </c>
      <c r="CA344" s="13">
        <v>2019</v>
      </c>
      <c r="CB344" s="13" t="s">
        <v>162</v>
      </c>
      <c r="CC344" s="13" t="s">
        <v>26</v>
      </c>
      <c r="CD344" s="13">
        <v>6</v>
      </c>
      <c r="CE344" s="13">
        <v>12</v>
      </c>
      <c r="CF344" s="13" t="s">
        <v>273</v>
      </c>
      <c r="CG344" s="13" t="s">
        <v>274</v>
      </c>
    </row>
    <row r="345" spans="1:85">
      <c r="A345" s="13" t="s">
        <v>1705</v>
      </c>
      <c r="B345" s="13" t="s">
        <v>1840</v>
      </c>
      <c r="C345" s="13" t="s">
        <v>275</v>
      </c>
      <c r="D345" s="13" t="s">
        <v>860</v>
      </c>
      <c r="E345" s="13" t="s">
        <v>799</v>
      </c>
      <c r="F345" s="13" t="s">
        <v>856</v>
      </c>
      <c r="G345" s="13" t="s">
        <v>692</v>
      </c>
      <c r="H345" s="13" t="s">
        <v>684</v>
      </c>
      <c r="I345" s="13" t="s">
        <v>862</v>
      </c>
      <c r="J345" s="13" t="s">
        <v>855</v>
      </c>
      <c r="K345" s="13" t="s">
        <v>4085</v>
      </c>
      <c r="L345" s="13" t="s">
        <v>652</v>
      </c>
      <c r="N345" s="13">
        <v>18</v>
      </c>
      <c r="O345" s="2">
        <f t="shared" si="38"/>
        <v>0.62068965517241381</v>
      </c>
      <c r="P345" s="13">
        <v>19</v>
      </c>
      <c r="Q345" s="17">
        <f t="shared" si="39"/>
        <v>0.65517241379310343</v>
      </c>
      <c r="R345" s="13">
        <v>29</v>
      </c>
      <c r="S345" s="13">
        <v>29</v>
      </c>
      <c r="W345" s="13">
        <v>65.41</v>
      </c>
      <c r="X345" s="13">
        <v>12.34</v>
      </c>
      <c r="AB345" s="13">
        <v>66.400000000000006</v>
      </c>
      <c r="AC345" s="13">
        <v>9.1999999999999993</v>
      </c>
      <c r="AP345" s="13">
        <v>0.68130000000000002</v>
      </c>
      <c r="BY345" s="13" t="s">
        <v>271</v>
      </c>
      <c r="BZ345" s="13" t="s">
        <v>272</v>
      </c>
      <c r="CA345" s="13">
        <v>2019</v>
      </c>
      <c r="CB345" s="13" t="s">
        <v>162</v>
      </c>
      <c r="CC345" s="13" t="s">
        <v>26</v>
      </c>
      <c r="CD345" s="13">
        <v>6</v>
      </c>
      <c r="CE345" s="13">
        <v>12</v>
      </c>
      <c r="CF345" s="13" t="s">
        <v>273</v>
      </c>
      <c r="CG345" s="13" t="s">
        <v>274</v>
      </c>
    </row>
    <row r="346" spans="1:85">
      <c r="A346" s="13" t="s">
        <v>1705</v>
      </c>
      <c r="B346" s="13" t="s">
        <v>1840</v>
      </c>
      <c r="C346" s="13" t="s">
        <v>275</v>
      </c>
      <c r="D346" s="13" t="s">
        <v>860</v>
      </c>
      <c r="E346" s="13" t="s">
        <v>799</v>
      </c>
      <c r="F346" s="13" t="s">
        <v>856</v>
      </c>
      <c r="G346" s="13" t="s">
        <v>674</v>
      </c>
      <c r="H346" s="13" t="s">
        <v>675</v>
      </c>
      <c r="J346" s="13" t="s">
        <v>855</v>
      </c>
      <c r="K346" s="13" t="s">
        <v>4085</v>
      </c>
      <c r="L346" s="13" t="s">
        <v>652</v>
      </c>
      <c r="N346" s="13">
        <v>18</v>
      </c>
      <c r="O346" s="2">
        <f t="shared" si="38"/>
        <v>0.62068965517241381</v>
      </c>
      <c r="P346" s="13">
        <v>19</v>
      </c>
      <c r="Q346" s="17">
        <f t="shared" si="39"/>
        <v>0.65517241379310343</v>
      </c>
      <c r="R346" s="13">
        <v>29</v>
      </c>
      <c r="S346" s="13">
        <v>29</v>
      </c>
      <c r="W346" s="13">
        <v>65.41</v>
      </c>
      <c r="X346" s="13">
        <v>12.34</v>
      </c>
      <c r="AB346" s="13">
        <v>66.400000000000006</v>
      </c>
      <c r="AC346" s="13">
        <v>9.1999999999999993</v>
      </c>
      <c r="AJ346" s="13">
        <v>62.07</v>
      </c>
      <c r="AM346" s="13">
        <v>65.52</v>
      </c>
      <c r="AP346" s="13">
        <v>0.68130000000000002</v>
      </c>
      <c r="BY346" s="13" t="s">
        <v>271</v>
      </c>
      <c r="BZ346" s="13" t="s">
        <v>272</v>
      </c>
      <c r="CA346" s="13">
        <v>2019</v>
      </c>
      <c r="CB346" s="13" t="s">
        <v>162</v>
      </c>
      <c r="CC346" s="13" t="s">
        <v>26</v>
      </c>
      <c r="CD346" s="13">
        <v>6</v>
      </c>
      <c r="CE346" s="13">
        <v>12</v>
      </c>
      <c r="CF346" s="13" t="s">
        <v>273</v>
      </c>
      <c r="CG346" s="13" t="s">
        <v>274</v>
      </c>
    </row>
    <row r="347" spans="1:85">
      <c r="A347" s="13" t="s">
        <v>1705</v>
      </c>
      <c r="B347" s="13" t="s">
        <v>1840</v>
      </c>
      <c r="C347" s="13" t="s">
        <v>275</v>
      </c>
      <c r="D347" s="13" t="s">
        <v>860</v>
      </c>
      <c r="E347" s="13" t="s">
        <v>657</v>
      </c>
      <c r="F347" s="13" t="s">
        <v>857</v>
      </c>
      <c r="G347" s="13" t="s">
        <v>672</v>
      </c>
      <c r="H347" s="13" t="s">
        <v>675</v>
      </c>
      <c r="J347" s="13" t="s">
        <v>855</v>
      </c>
      <c r="K347" s="13" t="s">
        <v>4085</v>
      </c>
      <c r="L347" s="13" t="s">
        <v>652</v>
      </c>
      <c r="N347" s="13">
        <v>29</v>
      </c>
      <c r="O347" s="2">
        <f t="shared" si="38"/>
        <v>0.63043478260869568</v>
      </c>
      <c r="P347" s="13">
        <v>34</v>
      </c>
      <c r="Q347" s="17">
        <f t="shared" si="39"/>
        <v>0.73913043478260865</v>
      </c>
      <c r="R347" s="13">
        <v>46</v>
      </c>
      <c r="S347" s="13">
        <v>46</v>
      </c>
      <c r="W347" s="13">
        <v>71.36</v>
      </c>
      <c r="X347" s="13">
        <v>9.27</v>
      </c>
      <c r="AB347" s="13">
        <v>69.83</v>
      </c>
      <c r="AC347" s="13">
        <v>20.18</v>
      </c>
      <c r="AJ347" s="13">
        <v>80.489999999999995</v>
      </c>
      <c r="AM347" s="13">
        <v>74.36</v>
      </c>
      <c r="AP347" s="13">
        <v>0.8347</v>
      </c>
      <c r="BY347" s="13" t="s">
        <v>271</v>
      </c>
      <c r="BZ347" s="13" t="s">
        <v>272</v>
      </c>
      <c r="CA347" s="13">
        <v>2019</v>
      </c>
      <c r="CB347" s="13" t="s">
        <v>162</v>
      </c>
      <c r="CC347" s="13" t="s">
        <v>26</v>
      </c>
      <c r="CD347" s="13">
        <v>6</v>
      </c>
      <c r="CE347" s="13">
        <v>12</v>
      </c>
      <c r="CF347" s="13" t="s">
        <v>273</v>
      </c>
      <c r="CG347" s="13" t="s">
        <v>274</v>
      </c>
    </row>
    <row r="348" spans="1:85">
      <c r="A348" s="13" t="s">
        <v>1705</v>
      </c>
      <c r="B348" s="13" t="s">
        <v>1840</v>
      </c>
      <c r="C348" s="13" t="s">
        <v>275</v>
      </c>
      <c r="D348" s="13" t="s">
        <v>860</v>
      </c>
      <c r="E348" s="13" t="s">
        <v>657</v>
      </c>
      <c r="F348" s="13" t="s">
        <v>857</v>
      </c>
      <c r="G348" s="13" t="s">
        <v>672</v>
      </c>
      <c r="H348" s="13" t="s">
        <v>858</v>
      </c>
      <c r="J348" s="13" t="s">
        <v>855</v>
      </c>
      <c r="K348" s="13" t="s">
        <v>4085</v>
      </c>
      <c r="L348" s="13" t="s">
        <v>652</v>
      </c>
      <c r="N348" s="13">
        <v>29</v>
      </c>
      <c r="O348" s="2">
        <f t="shared" si="38"/>
        <v>0.63043478260869568</v>
      </c>
      <c r="P348" s="13">
        <v>34</v>
      </c>
      <c r="Q348" s="17">
        <f t="shared" si="39"/>
        <v>0.73913043478260865</v>
      </c>
      <c r="R348" s="13">
        <v>46</v>
      </c>
      <c r="S348" s="13">
        <v>46</v>
      </c>
      <c r="W348" s="13">
        <v>71.36</v>
      </c>
      <c r="X348" s="13">
        <v>9.27</v>
      </c>
      <c r="AB348" s="13">
        <v>69.83</v>
      </c>
      <c r="AC348" s="13">
        <v>20.18</v>
      </c>
      <c r="AJ348" s="13">
        <v>73.17</v>
      </c>
      <c r="AM348" s="13">
        <v>53.85</v>
      </c>
      <c r="AP348" s="13">
        <v>0.82499999999999996</v>
      </c>
      <c r="BY348" s="13" t="s">
        <v>271</v>
      </c>
      <c r="BZ348" s="13" t="s">
        <v>272</v>
      </c>
      <c r="CA348" s="13">
        <v>2019</v>
      </c>
      <c r="CB348" s="13" t="s">
        <v>162</v>
      </c>
      <c r="CC348" s="13" t="s">
        <v>26</v>
      </c>
      <c r="CD348" s="13">
        <v>6</v>
      </c>
      <c r="CE348" s="13">
        <v>12</v>
      </c>
      <c r="CF348" s="13" t="s">
        <v>273</v>
      </c>
      <c r="CG348" s="13" t="s">
        <v>274</v>
      </c>
    </row>
    <row r="349" spans="1:85">
      <c r="A349" s="13" t="s">
        <v>1705</v>
      </c>
      <c r="B349" s="13" t="s">
        <v>1840</v>
      </c>
      <c r="C349" s="13" t="s">
        <v>275</v>
      </c>
      <c r="D349" s="13" t="s">
        <v>860</v>
      </c>
      <c r="E349" s="13" t="s">
        <v>657</v>
      </c>
      <c r="F349" s="13" t="s">
        <v>857</v>
      </c>
      <c r="G349" s="13" t="s">
        <v>672</v>
      </c>
      <c r="H349" s="13" t="s">
        <v>684</v>
      </c>
      <c r="I349" s="13" t="s">
        <v>859</v>
      </c>
      <c r="J349" s="13" t="s">
        <v>855</v>
      </c>
      <c r="K349" s="13" t="s">
        <v>4085</v>
      </c>
      <c r="L349" s="13" t="s">
        <v>652</v>
      </c>
      <c r="N349" s="13">
        <v>29</v>
      </c>
      <c r="O349" s="2">
        <f t="shared" si="38"/>
        <v>0.63043478260869568</v>
      </c>
      <c r="P349" s="13">
        <v>34</v>
      </c>
      <c r="Q349" s="17">
        <f t="shared" si="39"/>
        <v>0.73913043478260865</v>
      </c>
      <c r="R349" s="13">
        <v>46</v>
      </c>
      <c r="S349" s="13">
        <v>46</v>
      </c>
      <c r="W349" s="13">
        <v>71.36</v>
      </c>
      <c r="X349" s="13">
        <v>9.27</v>
      </c>
      <c r="AB349" s="13">
        <v>69.83</v>
      </c>
      <c r="AC349" s="13">
        <v>20.18</v>
      </c>
      <c r="AJ349" s="13">
        <v>87.8</v>
      </c>
      <c r="AM349" s="13">
        <v>89.74</v>
      </c>
      <c r="AP349" s="13">
        <v>0.94930000000000003</v>
      </c>
      <c r="BY349" s="13" t="s">
        <v>271</v>
      </c>
      <c r="BZ349" s="13" t="s">
        <v>272</v>
      </c>
      <c r="CA349" s="13">
        <v>2019</v>
      </c>
      <c r="CB349" s="13" t="s">
        <v>162</v>
      </c>
      <c r="CC349" s="13" t="s">
        <v>26</v>
      </c>
      <c r="CD349" s="13">
        <v>6</v>
      </c>
      <c r="CE349" s="13">
        <v>12</v>
      </c>
      <c r="CF349" s="13" t="s">
        <v>273</v>
      </c>
      <c r="CG349" s="13" t="s">
        <v>274</v>
      </c>
    </row>
    <row r="350" spans="1:85">
      <c r="A350" s="13" t="s">
        <v>1764</v>
      </c>
      <c r="C350" s="13" t="s">
        <v>281</v>
      </c>
      <c r="D350" s="13" t="s">
        <v>1067</v>
      </c>
      <c r="E350" s="13" t="s">
        <v>799</v>
      </c>
      <c r="F350" s="13" t="s">
        <v>1068</v>
      </c>
      <c r="G350" s="13" t="s">
        <v>672</v>
      </c>
      <c r="H350" s="13" t="s">
        <v>1069</v>
      </c>
      <c r="J350" s="13" t="s">
        <v>584</v>
      </c>
      <c r="K350" s="13" t="s">
        <v>3647</v>
      </c>
      <c r="L350" s="13" t="s">
        <v>1066</v>
      </c>
      <c r="N350" s="13">
        <v>8</v>
      </c>
      <c r="O350" s="2">
        <f t="shared" si="38"/>
        <v>0.61538461538461542</v>
      </c>
      <c r="P350" s="13">
        <v>4</v>
      </c>
      <c r="Q350" s="17">
        <f t="shared" si="39"/>
        <v>0.5714285714285714</v>
      </c>
      <c r="R350" s="13">
        <v>13</v>
      </c>
      <c r="S350" s="13">
        <v>7</v>
      </c>
      <c r="W350" s="13">
        <v>60.4</v>
      </c>
      <c r="X350" s="13">
        <v>12.8</v>
      </c>
      <c r="Y350" s="13">
        <v>66</v>
      </c>
      <c r="Z350" s="13">
        <v>52</v>
      </c>
      <c r="AA350" s="13">
        <v>78</v>
      </c>
      <c r="AG350" s="13" t="s">
        <v>1070</v>
      </c>
      <c r="BB350" s="13">
        <v>3.2</v>
      </c>
      <c r="BC350" s="13">
        <v>0.5</v>
      </c>
      <c r="BM350" s="13">
        <v>1.2</v>
      </c>
      <c r="BN350" s="13">
        <v>2.4</v>
      </c>
      <c r="BY350" s="13" t="s">
        <v>276</v>
      </c>
      <c r="BZ350" s="13" t="s">
        <v>277</v>
      </c>
      <c r="CA350" s="13">
        <v>2019</v>
      </c>
      <c r="CB350" s="21">
        <v>45300</v>
      </c>
      <c r="CC350" s="13" t="s">
        <v>278</v>
      </c>
      <c r="CD350" s="13">
        <v>11</v>
      </c>
      <c r="CE350" s="13">
        <v>1</v>
      </c>
      <c r="CF350" s="13" t="s">
        <v>279</v>
      </c>
      <c r="CG350" s="13" t="s">
        <v>280</v>
      </c>
    </row>
    <row r="351" spans="1:85">
      <c r="A351" s="13" t="s">
        <v>3390</v>
      </c>
      <c r="B351" s="16"/>
      <c r="C351" s="13" t="s">
        <v>3319</v>
      </c>
      <c r="D351" s="14" t="s">
        <v>4180</v>
      </c>
      <c r="J351" s="14"/>
      <c r="BY351" s="13" t="s">
        <v>3516</v>
      </c>
      <c r="BZ351" s="13" t="s">
        <v>3517</v>
      </c>
      <c r="CA351" s="13">
        <v>2024</v>
      </c>
      <c r="CB351" s="21">
        <v>45925</v>
      </c>
      <c r="CC351" s="13" t="s">
        <v>3518</v>
      </c>
      <c r="CG351" s="13" t="s">
        <v>3245</v>
      </c>
    </row>
    <row r="352" spans="1:85">
      <c r="A352" s="13" t="s">
        <v>1706</v>
      </c>
      <c r="B352" s="13" t="s">
        <v>1842</v>
      </c>
      <c r="C352" s="13" t="s">
        <v>287</v>
      </c>
      <c r="D352" s="13" t="s">
        <v>863</v>
      </c>
      <c r="E352" s="13" t="s">
        <v>630</v>
      </c>
      <c r="F352" s="13" t="s">
        <v>864</v>
      </c>
      <c r="G352" s="13" t="s">
        <v>692</v>
      </c>
      <c r="H352" s="13" t="s">
        <v>684</v>
      </c>
      <c r="I352" s="25" t="s">
        <v>866</v>
      </c>
      <c r="J352" s="13" t="s">
        <v>865</v>
      </c>
      <c r="K352" s="13" t="s">
        <v>4075</v>
      </c>
      <c r="L352" s="13" t="s">
        <v>585</v>
      </c>
      <c r="R352" s="13">
        <v>107</v>
      </c>
      <c r="S352" s="13">
        <v>132</v>
      </c>
      <c r="T352" s="13">
        <v>0</v>
      </c>
      <c r="U352" s="15">
        <v>0</v>
      </c>
      <c r="AJ352" s="13">
        <v>98</v>
      </c>
      <c r="AM352" s="13">
        <v>93</v>
      </c>
      <c r="AP352" s="13">
        <v>0.99299999999999999</v>
      </c>
      <c r="AR352" s="13">
        <v>0.98599999999999999</v>
      </c>
      <c r="AS352" s="13">
        <v>0.999</v>
      </c>
      <c r="BY352" s="13" t="s">
        <v>282</v>
      </c>
      <c r="BZ352" s="13" t="s">
        <v>283</v>
      </c>
      <c r="CA352" s="13">
        <v>2021</v>
      </c>
      <c r="CC352" s="13" t="s">
        <v>284</v>
      </c>
      <c r="CD352" s="13">
        <v>16</v>
      </c>
      <c r="CE352" s="13">
        <v>2</v>
      </c>
      <c r="CF352" s="13" t="s">
        <v>285</v>
      </c>
      <c r="CG352" s="13" t="s">
        <v>286</v>
      </c>
    </row>
    <row r="353" spans="1:85">
      <c r="A353" s="13" t="s">
        <v>1842</v>
      </c>
      <c r="B353" s="13" t="s">
        <v>1842</v>
      </c>
      <c r="C353" s="14" t="s">
        <v>287</v>
      </c>
      <c r="D353" s="14" t="s">
        <v>3132</v>
      </c>
      <c r="G353" s="13" t="s">
        <v>692</v>
      </c>
      <c r="H353" s="13" t="s">
        <v>684</v>
      </c>
      <c r="I353" s="13" t="s">
        <v>3134</v>
      </c>
      <c r="J353" s="13" t="s">
        <v>865</v>
      </c>
      <c r="K353" s="27" t="s">
        <v>3133</v>
      </c>
      <c r="L353" s="27" t="s">
        <v>585</v>
      </c>
      <c r="R353" s="13">
        <v>107</v>
      </c>
      <c r="S353" s="13">
        <v>132</v>
      </c>
      <c r="T353" s="13">
        <v>0</v>
      </c>
      <c r="AJ353" s="13">
        <v>98</v>
      </c>
      <c r="AM353" s="13">
        <v>93</v>
      </c>
      <c r="AP353" s="13">
        <v>0.99299999999999999</v>
      </c>
      <c r="BY353" s="13" t="s">
        <v>282</v>
      </c>
      <c r="BZ353" s="13" t="s">
        <v>283</v>
      </c>
      <c r="CA353" s="13">
        <v>2021</v>
      </c>
      <c r="CC353" s="13" t="s">
        <v>284</v>
      </c>
      <c r="CD353" s="13">
        <v>16</v>
      </c>
      <c r="CE353" s="13">
        <v>2</v>
      </c>
      <c r="CF353" s="13" t="s">
        <v>285</v>
      </c>
      <c r="CG353" s="13" t="s">
        <v>286</v>
      </c>
    </row>
    <row r="354" spans="1:85">
      <c r="A354" s="13" t="s">
        <v>1843</v>
      </c>
      <c r="B354" s="13" t="s">
        <v>1843</v>
      </c>
      <c r="C354" s="14" t="s">
        <v>1316</v>
      </c>
      <c r="D354" s="14" t="s">
        <v>830</v>
      </c>
      <c r="E354" s="13" t="s">
        <v>657</v>
      </c>
      <c r="F354" s="13" t="s">
        <v>2570</v>
      </c>
      <c r="G354" s="13" t="s">
        <v>673</v>
      </c>
      <c r="H354" s="13" t="s">
        <v>2567</v>
      </c>
      <c r="J354" s="13" t="s">
        <v>669</v>
      </c>
      <c r="K354" s="14" t="s">
        <v>4041</v>
      </c>
      <c r="L354" s="13" t="s">
        <v>2569</v>
      </c>
      <c r="M354" s="13" t="s">
        <v>2568</v>
      </c>
      <c r="N354" s="13">
        <v>75</v>
      </c>
      <c r="O354" s="2">
        <f t="shared" ref="O354:O360" si="40">N354/R354</f>
        <v>0.57692307692307687</v>
      </c>
      <c r="R354" s="13">
        <v>130</v>
      </c>
      <c r="S354" s="13">
        <v>64</v>
      </c>
      <c r="T354" s="13">
        <v>0</v>
      </c>
      <c r="Y354" s="13">
        <v>64.8</v>
      </c>
      <c r="AG354" s="13" t="s">
        <v>641</v>
      </c>
      <c r="AH354" s="13" t="s">
        <v>2571</v>
      </c>
      <c r="AJ354" s="13">
        <v>83</v>
      </c>
      <c r="AK354" s="13">
        <v>77</v>
      </c>
      <c r="AL354" s="13">
        <v>89</v>
      </c>
      <c r="AM354" s="13">
        <v>83</v>
      </c>
      <c r="AN354" s="13">
        <v>77</v>
      </c>
      <c r="AO354" s="13">
        <v>89</v>
      </c>
      <c r="AP354" s="13">
        <v>0.83</v>
      </c>
      <c r="AR354" s="13">
        <v>0.77</v>
      </c>
      <c r="AS354" s="13">
        <v>0.89</v>
      </c>
      <c r="BG354" s="13">
        <v>6.4</v>
      </c>
      <c r="BR354" s="13">
        <v>2.6</v>
      </c>
      <c r="BX354" s="13" t="s">
        <v>2394</v>
      </c>
      <c r="BY354" s="13" t="s">
        <v>1313</v>
      </c>
      <c r="BZ354" s="13" t="s">
        <v>1314</v>
      </c>
      <c r="CA354" s="13">
        <v>2023</v>
      </c>
      <c r="CB354" s="13" t="s">
        <v>53</v>
      </c>
      <c r="CC354" s="13" t="s">
        <v>45</v>
      </c>
      <c r="CD354" s="13">
        <v>24</v>
      </c>
      <c r="CE354" s="13">
        <v>14</v>
      </c>
      <c r="CG354" s="13" t="s">
        <v>1315</v>
      </c>
    </row>
    <row r="355" spans="1:85">
      <c r="A355" s="13" t="s">
        <v>1707</v>
      </c>
      <c r="B355" s="13" t="s">
        <v>1846</v>
      </c>
      <c r="C355" s="13" t="s">
        <v>292</v>
      </c>
      <c r="D355" s="13" t="s">
        <v>863</v>
      </c>
      <c r="E355" s="13" t="s">
        <v>630</v>
      </c>
      <c r="F355" s="13" t="s">
        <v>867</v>
      </c>
      <c r="G355" s="13" t="s">
        <v>674</v>
      </c>
      <c r="H355" s="13" t="s">
        <v>869</v>
      </c>
      <c r="J355" s="13" t="s">
        <v>868</v>
      </c>
      <c r="K355" s="13" t="s">
        <v>3127</v>
      </c>
      <c r="L355" s="13" t="s">
        <v>1968</v>
      </c>
      <c r="M355" s="13" t="s">
        <v>870</v>
      </c>
      <c r="N355" s="13">
        <v>80</v>
      </c>
      <c r="O355" s="2">
        <f t="shared" si="40"/>
        <v>0.53333333333333333</v>
      </c>
      <c r="P355" s="13">
        <v>41</v>
      </c>
      <c r="Q355" s="17">
        <f t="shared" ref="Q355:Q360" si="41">P355/S355</f>
        <v>0.37962962962962965</v>
      </c>
      <c r="R355" s="13">
        <v>150</v>
      </c>
      <c r="S355" s="13">
        <v>108</v>
      </c>
      <c r="T355" s="13">
        <v>13</v>
      </c>
      <c r="U355" s="15">
        <f>T355/R355</f>
        <v>8.666666666666667E-2</v>
      </c>
      <c r="V355" s="13">
        <v>13</v>
      </c>
      <c r="Y355" s="13">
        <v>68</v>
      </c>
      <c r="Z355" s="13">
        <v>60.4</v>
      </c>
      <c r="AA355" s="13">
        <v>74.099999999999994</v>
      </c>
      <c r="AD355" s="13">
        <v>63.5</v>
      </c>
      <c r="AE355" s="13">
        <v>57.4</v>
      </c>
      <c r="AF355" s="13">
        <v>70.2</v>
      </c>
      <c r="AG355" s="13" t="s">
        <v>708</v>
      </c>
      <c r="AP355" s="13">
        <v>0.88</v>
      </c>
      <c r="AR355" s="13">
        <v>0.79</v>
      </c>
      <c r="AS355" s="13">
        <v>0.97</v>
      </c>
      <c r="BG355" s="13">
        <v>16.5</v>
      </c>
      <c r="BI355" s="13">
        <v>10</v>
      </c>
      <c r="BJ355" s="13">
        <v>33</v>
      </c>
      <c r="BR355" s="13">
        <v>6</v>
      </c>
      <c r="BT355" s="13">
        <v>2.5</v>
      </c>
      <c r="BU355" s="13">
        <v>9.5</v>
      </c>
      <c r="BX355" s="13" t="s">
        <v>635</v>
      </c>
      <c r="BY355" s="13" t="s">
        <v>288</v>
      </c>
      <c r="BZ355" s="13" t="s">
        <v>289</v>
      </c>
      <c r="CA355" s="13">
        <v>2022</v>
      </c>
      <c r="CB355" s="13" t="s">
        <v>253</v>
      </c>
      <c r="CC355" s="13" t="s">
        <v>64</v>
      </c>
      <c r="CD355" s="13">
        <v>23</v>
      </c>
      <c r="CE355" s="24">
        <v>45293</v>
      </c>
      <c r="CF355" s="13" t="s">
        <v>290</v>
      </c>
      <c r="CG355" s="13" t="s">
        <v>291</v>
      </c>
    </row>
    <row r="356" spans="1:85">
      <c r="A356" s="13" t="s">
        <v>1707</v>
      </c>
      <c r="B356" s="13" t="s">
        <v>1846</v>
      </c>
      <c r="C356" s="13" t="s">
        <v>292</v>
      </c>
      <c r="D356" s="13" t="s">
        <v>863</v>
      </c>
      <c r="E356" s="13" t="s">
        <v>633</v>
      </c>
      <c r="F356" s="13" t="s">
        <v>871</v>
      </c>
      <c r="G356" s="13" t="s">
        <v>674</v>
      </c>
      <c r="H356" s="13" t="s">
        <v>869</v>
      </c>
      <c r="J356" s="13" t="s">
        <v>868</v>
      </c>
      <c r="K356" s="13" t="s">
        <v>3127</v>
      </c>
      <c r="L356" s="13" t="s">
        <v>1968</v>
      </c>
      <c r="M356" s="13" t="s">
        <v>870</v>
      </c>
      <c r="N356" s="13">
        <v>80</v>
      </c>
      <c r="O356" s="2">
        <f t="shared" si="40"/>
        <v>0.53333333333333333</v>
      </c>
      <c r="P356" s="13">
        <v>19</v>
      </c>
      <c r="Q356" s="17">
        <f t="shared" si="41"/>
        <v>0.6785714285714286</v>
      </c>
      <c r="R356" s="13">
        <v>150</v>
      </c>
      <c r="S356" s="13">
        <v>28</v>
      </c>
      <c r="T356" s="13">
        <v>13</v>
      </c>
      <c r="U356" s="15">
        <f>T356/R356</f>
        <v>8.666666666666667E-2</v>
      </c>
      <c r="V356" s="13">
        <v>13</v>
      </c>
      <c r="Y356" s="13">
        <v>68</v>
      </c>
      <c r="Z356" s="13">
        <v>60.4</v>
      </c>
      <c r="AA356" s="13">
        <v>74.099999999999994</v>
      </c>
      <c r="AD356" s="13">
        <v>67.8</v>
      </c>
      <c r="AE356" s="13">
        <v>51.8</v>
      </c>
      <c r="AF356" s="13">
        <v>75.099999999999994</v>
      </c>
      <c r="AG356" s="13" t="s">
        <v>708</v>
      </c>
      <c r="AP356" s="13">
        <v>0.7</v>
      </c>
      <c r="AR356" s="13">
        <v>0.61</v>
      </c>
      <c r="AS356" s="13">
        <v>0.79</v>
      </c>
      <c r="BG356" s="13">
        <v>16.5</v>
      </c>
      <c r="BI356" s="13">
        <v>10</v>
      </c>
      <c r="BJ356" s="13">
        <v>33</v>
      </c>
      <c r="BR356" s="13">
        <v>11</v>
      </c>
      <c r="BT356" s="13">
        <v>6.5</v>
      </c>
      <c r="BU356" s="13">
        <v>14</v>
      </c>
      <c r="BX356" s="13" t="s">
        <v>635</v>
      </c>
      <c r="BY356" s="13" t="s">
        <v>288</v>
      </c>
      <c r="BZ356" s="13" t="s">
        <v>289</v>
      </c>
      <c r="CA356" s="13">
        <v>2022</v>
      </c>
      <c r="CB356" s="13" t="s">
        <v>253</v>
      </c>
      <c r="CC356" s="13" t="s">
        <v>64</v>
      </c>
      <c r="CD356" s="13">
        <v>23</v>
      </c>
      <c r="CE356" s="24">
        <v>45293</v>
      </c>
      <c r="CF356" s="13" t="s">
        <v>290</v>
      </c>
      <c r="CG356" s="13" t="s">
        <v>291</v>
      </c>
    </row>
    <row r="357" spans="1:85">
      <c r="A357" s="13" t="s">
        <v>1707</v>
      </c>
      <c r="B357" s="13" t="s">
        <v>1846</v>
      </c>
      <c r="C357" s="13" t="s">
        <v>292</v>
      </c>
      <c r="D357" s="13" t="s">
        <v>863</v>
      </c>
      <c r="E357" s="13" t="s">
        <v>630</v>
      </c>
      <c r="F357" s="13" t="s">
        <v>867</v>
      </c>
      <c r="G357" s="13" t="s">
        <v>672</v>
      </c>
      <c r="H357" s="13" t="s">
        <v>675</v>
      </c>
      <c r="J357" s="13" t="s">
        <v>868</v>
      </c>
      <c r="K357" s="13" t="s">
        <v>3127</v>
      </c>
      <c r="L357" s="13" t="s">
        <v>585</v>
      </c>
      <c r="M357" s="13" t="s">
        <v>872</v>
      </c>
      <c r="N357" s="13">
        <v>80</v>
      </c>
      <c r="O357" s="2">
        <f t="shared" si="40"/>
        <v>0.53333333333333333</v>
      </c>
      <c r="P357" s="13">
        <v>41</v>
      </c>
      <c r="Q357" s="17">
        <f t="shared" si="41"/>
        <v>0.37962962962962965</v>
      </c>
      <c r="R357" s="13">
        <v>150</v>
      </c>
      <c r="S357" s="13">
        <v>108</v>
      </c>
      <c r="T357" s="13">
        <v>13</v>
      </c>
      <c r="U357" s="15">
        <f>T357/R357</f>
        <v>8.666666666666667E-2</v>
      </c>
      <c r="V357" s="13">
        <v>13</v>
      </c>
      <c r="Y357" s="13">
        <v>68</v>
      </c>
      <c r="Z357" s="13">
        <v>60.4</v>
      </c>
      <c r="AA357" s="13">
        <v>74.099999999999994</v>
      </c>
      <c r="AD357" s="13">
        <v>63.5</v>
      </c>
      <c r="AE357" s="13">
        <v>57.4</v>
      </c>
      <c r="AF357" s="13">
        <v>70.2</v>
      </c>
      <c r="AG357" s="13" t="s">
        <v>708</v>
      </c>
      <c r="AP357" s="13">
        <v>0.98</v>
      </c>
      <c r="AR357" s="13">
        <v>0.97</v>
      </c>
      <c r="AS357" s="13">
        <v>1</v>
      </c>
      <c r="BG357" s="13">
        <v>6105</v>
      </c>
      <c r="BI357" s="13">
        <v>3390</v>
      </c>
      <c r="BJ357" s="13">
        <v>9090</v>
      </c>
      <c r="BR357" s="13">
        <v>720</v>
      </c>
      <c r="BT357" s="13">
        <v>633</v>
      </c>
      <c r="BU357" s="13">
        <v>870</v>
      </c>
      <c r="BX357" s="13">
        <v>0.03</v>
      </c>
      <c r="BY357" s="13" t="s">
        <v>288</v>
      </c>
      <c r="BZ357" s="13" t="s">
        <v>289</v>
      </c>
      <c r="CA357" s="13">
        <v>2022</v>
      </c>
      <c r="CB357" s="13" t="s">
        <v>253</v>
      </c>
      <c r="CC357" s="13" t="s">
        <v>64</v>
      </c>
      <c r="CD357" s="13">
        <v>23</v>
      </c>
      <c r="CE357" s="24">
        <v>45293</v>
      </c>
      <c r="CF357" s="13" t="s">
        <v>290</v>
      </c>
      <c r="CG357" s="13" t="s">
        <v>291</v>
      </c>
    </row>
    <row r="358" spans="1:85">
      <c r="A358" s="13" t="s">
        <v>1707</v>
      </c>
      <c r="B358" s="13" t="s">
        <v>1846</v>
      </c>
      <c r="C358" s="13" t="s">
        <v>292</v>
      </c>
      <c r="D358" s="13" t="s">
        <v>863</v>
      </c>
      <c r="E358" s="13" t="s">
        <v>633</v>
      </c>
      <c r="F358" s="13" t="s">
        <v>871</v>
      </c>
      <c r="G358" s="13" t="s">
        <v>672</v>
      </c>
      <c r="H358" s="13" t="s">
        <v>675</v>
      </c>
      <c r="J358" s="13" t="s">
        <v>868</v>
      </c>
      <c r="K358" s="13" t="s">
        <v>3127</v>
      </c>
      <c r="L358" s="13" t="s">
        <v>585</v>
      </c>
      <c r="M358" s="13" t="s">
        <v>872</v>
      </c>
      <c r="N358" s="13">
        <v>80</v>
      </c>
      <c r="O358" s="2">
        <f t="shared" si="40"/>
        <v>0.53333333333333333</v>
      </c>
      <c r="P358" s="13">
        <v>19</v>
      </c>
      <c r="Q358" s="17">
        <f t="shared" si="41"/>
        <v>0.6785714285714286</v>
      </c>
      <c r="R358" s="13">
        <v>150</v>
      </c>
      <c r="S358" s="13">
        <v>28</v>
      </c>
      <c r="T358" s="13">
        <v>13</v>
      </c>
      <c r="U358" s="15">
        <f>T358/R358</f>
        <v>8.666666666666667E-2</v>
      </c>
      <c r="V358" s="13">
        <v>13</v>
      </c>
      <c r="Y358" s="13">
        <v>68</v>
      </c>
      <c r="Z358" s="13">
        <v>60.4</v>
      </c>
      <c r="AA358" s="13">
        <v>74.099999999999994</v>
      </c>
      <c r="AD358" s="13">
        <v>67.8</v>
      </c>
      <c r="AE358" s="13">
        <v>51.8</v>
      </c>
      <c r="AF358" s="13">
        <v>75.099999999999994</v>
      </c>
      <c r="AG358" s="13" t="s">
        <v>708</v>
      </c>
      <c r="AP358" s="13">
        <v>0.88</v>
      </c>
      <c r="AR358" s="13">
        <v>0.79</v>
      </c>
      <c r="AS358" s="13">
        <v>0.97</v>
      </c>
      <c r="BG358" s="13">
        <v>6105</v>
      </c>
      <c r="BI358" s="13">
        <v>3390</v>
      </c>
      <c r="BJ358" s="13">
        <v>9090</v>
      </c>
      <c r="BR358" s="13">
        <v>1185</v>
      </c>
      <c r="BT358" s="13">
        <v>775</v>
      </c>
      <c r="BU358" s="13">
        <v>1715</v>
      </c>
      <c r="BX358" s="13">
        <v>5.0000000000000001E-3</v>
      </c>
      <c r="BY358" s="13" t="s">
        <v>288</v>
      </c>
      <c r="BZ358" s="13" t="s">
        <v>289</v>
      </c>
      <c r="CA358" s="13">
        <v>2022</v>
      </c>
      <c r="CB358" s="13" t="s">
        <v>253</v>
      </c>
      <c r="CC358" s="13" t="s">
        <v>64</v>
      </c>
      <c r="CD358" s="13">
        <v>23</v>
      </c>
      <c r="CE358" s="24">
        <v>45293</v>
      </c>
      <c r="CF358" s="13" t="s">
        <v>290</v>
      </c>
      <c r="CG358" s="13" t="s">
        <v>291</v>
      </c>
    </row>
    <row r="359" spans="1:85">
      <c r="A359" s="13" t="s">
        <v>1708</v>
      </c>
      <c r="B359" s="13" t="s">
        <v>1847</v>
      </c>
      <c r="C359" s="13" t="s">
        <v>297</v>
      </c>
      <c r="D359" s="13" t="s">
        <v>818</v>
      </c>
      <c r="E359" s="13" t="s">
        <v>633</v>
      </c>
      <c r="F359" s="13" t="s">
        <v>878</v>
      </c>
      <c r="G359" s="13" t="s">
        <v>672</v>
      </c>
      <c r="H359" s="13" t="s">
        <v>686</v>
      </c>
      <c r="J359" s="13" t="s">
        <v>868</v>
      </c>
      <c r="K359" s="13" t="s">
        <v>3127</v>
      </c>
      <c r="L359" s="13" t="s">
        <v>585</v>
      </c>
      <c r="M359" s="13" t="s">
        <v>873</v>
      </c>
      <c r="N359" s="13">
        <f>192-86</f>
        <v>106</v>
      </c>
      <c r="O359" s="2">
        <f t="shared" si="40"/>
        <v>0.55208333333333337</v>
      </c>
      <c r="P359" s="13">
        <v>32</v>
      </c>
      <c r="Q359" s="17">
        <f t="shared" si="41"/>
        <v>0.76190476190476186</v>
      </c>
      <c r="R359" s="13">
        <v>192</v>
      </c>
      <c r="S359" s="13">
        <v>42</v>
      </c>
      <c r="Y359" s="13">
        <v>67.599999999999994</v>
      </c>
      <c r="Z359" s="13">
        <v>59.1</v>
      </c>
      <c r="AA359" s="13">
        <v>74</v>
      </c>
      <c r="AD359" s="13">
        <v>71.2</v>
      </c>
      <c r="AE359" s="13">
        <v>63.1</v>
      </c>
      <c r="AF359" s="13">
        <v>75.400000000000006</v>
      </c>
      <c r="AG359" s="13" t="s">
        <v>708</v>
      </c>
      <c r="AH359" s="13">
        <v>726</v>
      </c>
      <c r="AJ359" s="13">
        <v>94.3</v>
      </c>
      <c r="AM359" s="13">
        <v>83.3</v>
      </c>
      <c r="AP359" s="13">
        <v>0.92</v>
      </c>
      <c r="AR359" s="13">
        <v>0.86</v>
      </c>
      <c r="AS359" s="13">
        <v>0.98</v>
      </c>
      <c r="BG359" s="13">
        <v>2124</v>
      </c>
      <c r="BI359" s="13">
        <v>1350</v>
      </c>
      <c r="BJ359" s="13">
        <v>3092</v>
      </c>
      <c r="BR359" s="13">
        <v>411</v>
      </c>
      <c r="BT359" s="13">
        <v>258</v>
      </c>
      <c r="BU359" s="13">
        <v>568</v>
      </c>
      <c r="BY359" s="13" t="s">
        <v>293</v>
      </c>
      <c r="BZ359" s="13" t="s">
        <v>294</v>
      </c>
      <c r="CA359" s="13">
        <v>2024</v>
      </c>
      <c r="CB359" s="13" t="s">
        <v>253</v>
      </c>
      <c r="CC359" s="13" t="s">
        <v>64</v>
      </c>
      <c r="CD359" s="13">
        <v>25</v>
      </c>
      <c r="CE359" s="24">
        <v>45293</v>
      </c>
      <c r="CF359" s="13" t="s">
        <v>295</v>
      </c>
      <c r="CG359" s="13" t="s">
        <v>296</v>
      </c>
    </row>
    <row r="360" spans="1:85">
      <c r="A360" s="13" t="s">
        <v>1708</v>
      </c>
      <c r="B360" s="13" t="s">
        <v>1847</v>
      </c>
      <c r="C360" s="13" t="s">
        <v>297</v>
      </c>
      <c r="D360" s="13" t="s">
        <v>818</v>
      </c>
      <c r="E360" s="13" t="s">
        <v>633</v>
      </c>
      <c r="F360" s="13" t="s">
        <v>878</v>
      </c>
      <c r="G360" s="13" t="s">
        <v>672</v>
      </c>
      <c r="H360" s="13" t="s">
        <v>675</v>
      </c>
      <c r="J360" s="13" t="s">
        <v>868</v>
      </c>
      <c r="K360" s="13" t="s">
        <v>3127</v>
      </c>
      <c r="L360" s="13" t="s">
        <v>585</v>
      </c>
      <c r="M360" s="13" t="s">
        <v>874</v>
      </c>
      <c r="N360" s="13">
        <f>192-86</f>
        <v>106</v>
      </c>
      <c r="O360" s="2">
        <f t="shared" si="40"/>
        <v>0.55208333333333337</v>
      </c>
      <c r="P360" s="13">
        <v>32</v>
      </c>
      <c r="Q360" s="17">
        <f t="shared" si="41"/>
        <v>0.76190476190476186</v>
      </c>
      <c r="R360" s="13">
        <v>192</v>
      </c>
      <c r="S360" s="13">
        <v>42</v>
      </c>
      <c r="Y360" s="13">
        <v>67.599999999999994</v>
      </c>
      <c r="Z360" s="13">
        <v>59.1</v>
      </c>
      <c r="AA360" s="13">
        <v>74</v>
      </c>
      <c r="AD360" s="13">
        <v>71.2</v>
      </c>
      <c r="AE360" s="13">
        <v>63.1</v>
      </c>
      <c r="AF360" s="13">
        <v>75.400000000000006</v>
      </c>
      <c r="AG360" s="13" t="s">
        <v>708</v>
      </c>
      <c r="AH360" s="13">
        <v>2588</v>
      </c>
      <c r="AJ360" s="13">
        <v>90.6</v>
      </c>
      <c r="AM360" s="13">
        <v>76.2</v>
      </c>
      <c r="AP360" s="13">
        <v>0.86</v>
      </c>
      <c r="AR360" s="13">
        <v>0.78</v>
      </c>
      <c r="AS360" s="13">
        <v>0.94</v>
      </c>
      <c r="BG360" s="13">
        <v>6300</v>
      </c>
      <c r="BI360" s="13">
        <v>3764</v>
      </c>
      <c r="BJ360" s="13">
        <v>10234</v>
      </c>
      <c r="BR360" s="13">
        <v>1373</v>
      </c>
      <c r="BT360" s="13">
        <v>881</v>
      </c>
      <c r="BU360" s="13">
        <v>2407</v>
      </c>
      <c r="BY360" s="13" t="s">
        <v>293</v>
      </c>
      <c r="BZ360" s="13" t="s">
        <v>294</v>
      </c>
      <c r="CA360" s="13">
        <v>2024</v>
      </c>
      <c r="CB360" s="13" t="s">
        <v>253</v>
      </c>
      <c r="CC360" s="13" t="s">
        <v>64</v>
      </c>
      <c r="CD360" s="13">
        <v>25</v>
      </c>
      <c r="CE360" s="24">
        <v>45293</v>
      </c>
      <c r="CF360" s="13" t="s">
        <v>295</v>
      </c>
      <c r="CG360" s="13" t="s">
        <v>296</v>
      </c>
    </row>
    <row r="361" spans="1:85">
      <c r="A361" s="13" t="s">
        <v>1708</v>
      </c>
      <c r="B361" s="13" t="s">
        <v>1847</v>
      </c>
      <c r="C361" s="13" t="s">
        <v>297</v>
      </c>
      <c r="D361" s="13" t="s">
        <v>818</v>
      </c>
      <c r="E361" s="13" t="s">
        <v>633</v>
      </c>
      <c r="F361" s="13" t="s">
        <v>878</v>
      </c>
      <c r="G361" s="13" t="s">
        <v>673</v>
      </c>
      <c r="H361" s="13" t="s">
        <v>675</v>
      </c>
      <c r="J361" s="13" t="s">
        <v>868</v>
      </c>
      <c r="K361" s="13" t="s">
        <v>3127</v>
      </c>
      <c r="L361" s="13" t="s">
        <v>652</v>
      </c>
      <c r="M361" s="13" t="s">
        <v>875</v>
      </c>
      <c r="R361" s="13">
        <v>157</v>
      </c>
      <c r="S361" s="13">
        <v>30</v>
      </c>
      <c r="AG361" s="13" t="s">
        <v>708</v>
      </c>
      <c r="AH361" s="13">
        <v>56.4</v>
      </c>
      <c r="AJ361" s="13">
        <v>91.7</v>
      </c>
      <c r="AM361" s="13">
        <v>76.7</v>
      </c>
      <c r="AP361" s="13">
        <v>0.91</v>
      </c>
      <c r="AR361" s="13">
        <v>0.84</v>
      </c>
      <c r="AS361" s="13">
        <v>0.97</v>
      </c>
      <c r="BG361" s="13">
        <v>106</v>
      </c>
      <c r="BI361" s="13">
        <v>74.5</v>
      </c>
      <c r="BJ361" s="13">
        <v>167.6</v>
      </c>
      <c r="BR361" s="13">
        <v>24.6</v>
      </c>
      <c r="BT361" s="13">
        <v>15.7</v>
      </c>
      <c r="BU361" s="13">
        <v>52.4</v>
      </c>
      <c r="BY361" s="13" t="s">
        <v>293</v>
      </c>
      <c r="BZ361" s="13" t="s">
        <v>294</v>
      </c>
      <c r="CA361" s="13">
        <v>2024</v>
      </c>
      <c r="CB361" s="13" t="s">
        <v>253</v>
      </c>
      <c r="CC361" s="13" t="s">
        <v>64</v>
      </c>
      <c r="CD361" s="13">
        <v>25</v>
      </c>
      <c r="CE361" s="24">
        <v>45293</v>
      </c>
      <c r="CF361" s="13" t="s">
        <v>295</v>
      </c>
      <c r="CG361" s="13" t="s">
        <v>296</v>
      </c>
    </row>
    <row r="362" spans="1:85">
      <c r="A362" s="13" t="s">
        <v>1708</v>
      </c>
      <c r="B362" s="13" t="s">
        <v>1847</v>
      </c>
      <c r="C362" s="13" t="s">
        <v>297</v>
      </c>
      <c r="D362" s="13" t="s">
        <v>818</v>
      </c>
      <c r="E362" s="13" t="s">
        <v>633</v>
      </c>
      <c r="F362" s="13" t="s">
        <v>878</v>
      </c>
      <c r="G362" s="13" t="s">
        <v>672</v>
      </c>
      <c r="H362" s="13" t="s">
        <v>680</v>
      </c>
      <c r="J362" s="13" t="s">
        <v>868</v>
      </c>
      <c r="K362" s="13" t="s">
        <v>3127</v>
      </c>
      <c r="L362" s="13" t="s">
        <v>585</v>
      </c>
      <c r="M362" s="13" t="s">
        <v>876</v>
      </c>
      <c r="N362" s="13">
        <f>192-86</f>
        <v>106</v>
      </c>
      <c r="O362" s="2">
        <f>N362/R362</f>
        <v>0.55208333333333337</v>
      </c>
      <c r="P362" s="13">
        <v>32</v>
      </c>
      <c r="Q362" s="17">
        <f>P362/S362</f>
        <v>0.76190476190476186</v>
      </c>
      <c r="R362" s="13">
        <v>192</v>
      </c>
      <c r="S362" s="13">
        <v>42</v>
      </c>
      <c r="AD362" s="13">
        <v>71.2</v>
      </c>
      <c r="AE362" s="13">
        <v>63.1</v>
      </c>
      <c r="AF362" s="13">
        <v>75.400000000000006</v>
      </c>
      <c r="AG362" s="13" t="s">
        <v>708</v>
      </c>
      <c r="AH362" s="13">
        <v>3379</v>
      </c>
      <c r="AJ362" s="13">
        <v>75.5</v>
      </c>
      <c r="AM362" s="13">
        <v>64.3</v>
      </c>
      <c r="AP362" s="13">
        <v>0.71</v>
      </c>
      <c r="AR362" s="13">
        <v>0.63</v>
      </c>
      <c r="AS362" s="13">
        <v>0.8</v>
      </c>
      <c r="BG362" s="13">
        <v>7290</v>
      </c>
      <c r="BI362" s="13">
        <v>3038</v>
      </c>
      <c r="BJ362" s="13">
        <v>17398</v>
      </c>
      <c r="BR362" s="13">
        <v>2320</v>
      </c>
      <c r="BT362" s="13">
        <v>1277</v>
      </c>
      <c r="BU362" s="13">
        <v>4745</v>
      </c>
      <c r="BY362" s="13" t="s">
        <v>293</v>
      </c>
      <c r="BZ362" s="13" t="s">
        <v>294</v>
      </c>
      <c r="CA362" s="13">
        <v>2024</v>
      </c>
      <c r="CB362" s="13" t="s">
        <v>253</v>
      </c>
      <c r="CC362" s="13" t="s">
        <v>64</v>
      </c>
      <c r="CD362" s="13">
        <v>25</v>
      </c>
      <c r="CE362" s="24">
        <v>45293</v>
      </c>
      <c r="CF362" s="13" t="s">
        <v>295</v>
      </c>
      <c r="CG362" s="13" t="s">
        <v>296</v>
      </c>
    </row>
    <row r="363" spans="1:85">
      <c r="A363" s="13" t="s">
        <v>1708</v>
      </c>
      <c r="B363" s="13" t="s">
        <v>1847</v>
      </c>
      <c r="C363" s="13" t="s">
        <v>297</v>
      </c>
      <c r="D363" s="13" t="s">
        <v>818</v>
      </c>
      <c r="E363" s="13" t="s">
        <v>633</v>
      </c>
      <c r="F363" s="13" t="s">
        <v>878</v>
      </c>
      <c r="G363" s="13" t="s">
        <v>672</v>
      </c>
      <c r="H363" s="13" t="s">
        <v>767</v>
      </c>
      <c r="J363" s="13" t="s">
        <v>868</v>
      </c>
      <c r="K363" s="13" t="s">
        <v>3127</v>
      </c>
      <c r="L363" s="13" t="s">
        <v>585</v>
      </c>
      <c r="M363" s="13" t="s">
        <v>877</v>
      </c>
      <c r="N363" s="13">
        <f>192-86</f>
        <v>106</v>
      </c>
      <c r="O363" s="2">
        <f>N363/R363</f>
        <v>0.55208333333333337</v>
      </c>
      <c r="P363" s="13">
        <v>32</v>
      </c>
      <c r="Q363" s="17">
        <f>P363/S363</f>
        <v>0.76190476190476186</v>
      </c>
      <c r="R363" s="13">
        <v>192</v>
      </c>
      <c r="S363" s="13">
        <v>42</v>
      </c>
      <c r="AD363" s="13">
        <v>71.2</v>
      </c>
      <c r="AE363" s="13">
        <v>63.1</v>
      </c>
      <c r="AF363" s="13">
        <v>75.400000000000006</v>
      </c>
      <c r="AG363" s="13" t="s">
        <v>708</v>
      </c>
      <c r="AH363" s="13">
        <v>535</v>
      </c>
      <c r="AJ363" s="13">
        <v>84.4</v>
      </c>
      <c r="AM363" s="13">
        <v>28.6</v>
      </c>
      <c r="AP363" s="13">
        <v>0.56000000000000005</v>
      </c>
      <c r="AR363" s="13">
        <v>0.44</v>
      </c>
      <c r="AS363" s="13">
        <v>0.67</v>
      </c>
      <c r="BG363" s="13">
        <v>601</v>
      </c>
      <c r="BI363" s="13">
        <v>514</v>
      </c>
      <c r="BJ363" s="13">
        <v>700</v>
      </c>
      <c r="BR363" s="13">
        <v>592</v>
      </c>
      <c r="BT363" s="13">
        <v>436</v>
      </c>
      <c r="BU363" s="13">
        <v>685</v>
      </c>
      <c r="BY363" s="13" t="s">
        <v>293</v>
      </c>
      <c r="BZ363" s="13" t="s">
        <v>294</v>
      </c>
      <c r="CA363" s="13">
        <v>2024</v>
      </c>
      <c r="CB363" s="13" t="s">
        <v>253</v>
      </c>
      <c r="CC363" s="13" t="s">
        <v>64</v>
      </c>
      <c r="CD363" s="13">
        <v>25</v>
      </c>
      <c r="CE363" s="24">
        <v>45293</v>
      </c>
      <c r="CF363" s="13" t="s">
        <v>295</v>
      </c>
      <c r="CG363" s="13" t="s">
        <v>296</v>
      </c>
    </row>
    <row r="364" spans="1:85">
      <c r="A364" s="13" t="s">
        <v>1708</v>
      </c>
      <c r="B364" s="13" t="s">
        <v>1847</v>
      </c>
      <c r="C364" s="13" t="s">
        <v>297</v>
      </c>
      <c r="D364" s="13" t="s">
        <v>818</v>
      </c>
      <c r="E364" s="13" t="s">
        <v>630</v>
      </c>
      <c r="F364" s="13" t="s">
        <v>879</v>
      </c>
      <c r="G364" s="13" t="s">
        <v>672</v>
      </c>
      <c r="H364" s="13" t="s">
        <v>686</v>
      </c>
      <c r="J364" s="13" t="s">
        <v>868</v>
      </c>
      <c r="K364" s="13" t="s">
        <v>3127</v>
      </c>
      <c r="L364" s="13" t="s">
        <v>585</v>
      </c>
      <c r="M364" s="13" t="s">
        <v>873</v>
      </c>
      <c r="N364" s="13">
        <f>192-86</f>
        <v>106</v>
      </c>
      <c r="O364" s="2">
        <f>N364/R364</f>
        <v>0.55208333333333337</v>
      </c>
      <c r="P364" s="13">
        <v>14</v>
      </c>
      <c r="Q364" s="17">
        <f>P364/S364</f>
        <v>0.60869565217391308</v>
      </c>
      <c r="R364" s="13">
        <v>192</v>
      </c>
      <c r="S364" s="13">
        <v>23</v>
      </c>
      <c r="Y364" s="13">
        <v>67.599999999999994</v>
      </c>
      <c r="Z364" s="13">
        <v>59.1</v>
      </c>
      <c r="AA364" s="13">
        <v>74</v>
      </c>
      <c r="AD364" s="13">
        <v>50.5</v>
      </c>
      <c r="AE364" s="13">
        <v>41</v>
      </c>
      <c r="AF364" s="13">
        <v>60.2</v>
      </c>
      <c r="AG364" s="13" t="s">
        <v>708</v>
      </c>
      <c r="AH364" s="13">
        <v>726</v>
      </c>
      <c r="AJ364" s="13">
        <v>94.3</v>
      </c>
      <c r="AM364" s="13">
        <v>83.3</v>
      </c>
      <c r="AP364" s="13">
        <v>0.92</v>
      </c>
      <c r="AR364" s="13">
        <v>0.86</v>
      </c>
      <c r="AS364" s="13">
        <v>0.98</v>
      </c>
      <c r="BG364" s="13">
        <v>2124</v>
      </c>
      <c r="BI364" s="13">
        <v>1350</v>
      </c>
      <c r="BJ364" s="13">
        <v>3092</v>
      </c>
      <c r="BR364" s="13">
        <v>194</v>
      </c>
      <c r="BT364" s="13">
        <v>143</v>
      </c>
      <c r="BU364" s="13">
        <v>225</v>
      </c>
      <c r="BY364" s="13" t="s">
        <v>293</v>
      </c>
      <c r="BZ364" s="13" t="s">
        <v>294</v>
      </c>
      <c r="CA364" s="13">
        <v>2024</v>
      </c>
      <c r="CB364" s="13" t="s">
        <v>253</v>
      </c>
      <c r="CC364" s="13" t="s">
        <v>64</v>
      </c>
      <c r="CD364" s="13">
        <v>25</v>
      </c>
      <c r="CE364" s="24">
        <v>45293</v>
      </c>
      <c r="CF364" s="13" t="s">
        <v>295</v>
      </c>
      <c r="CG364" s="13" t="s">
        <v>296</v>
      </c>
    </row>
    <row r="365" spans="1:85">
      <c r="A365" s="13" t="s">
        <v>1708</v>
      </c>
      <c r="B365" s="13" t="s">
        <v>1847</v>
      </c>
      <c r="C365" s="13" t="s">
        <v>297</v>
      </c>
      <c r="D365" s="13" t="s">
        <v>818</v>
      </c>
      <c r="E365" s="13" t="s">
        <v>630</v>
      </c>
      <c r="F365" s="13" t="s">
        <v>879</v>
      </c>
      <c r="G365" s="13" t="s">
        <v>672</v>
      </c>
      <c r="H365" s="13" t="s">
        <v>675</v>
      </c>
      <c r="J365" s="13" t="s">
        <v>868</v>
      </c>
      <c r="K365" s="13" t="s">
        <v>3127</v>
      </c>
      <c r="L365" s="13" t="s">
        <v>585</v>
      </c>
      <c r="M365" s="13" t="s">
        <v>874</v>
      </c>
      <c r="N365" s="13">
        <f>192-86</f>
        <v>106</v>
      </c>
      <c r="O365" s="2">
        <f>N365/R365</f>
        <v>0.55208333333333337</v>
      </c>
      <c r="P365" s="13">
        <v>14</v>
      </c>
      <c r="Q365" s="17">
        <f>P365/S365</f>
        <v>0.60869565217391308</v>
      </c>
      <c r="R365" s="13">
        <v>192</v>
      </c>
      <c r="S365" s="13">
        <v>23</v>
      </c>
      <c r="Y365" s="13">
        <v>67.599999999999994</v>
      </c>
      <c r="Z365" s="13">
        <v>59.1</v>
      </c>
      <c r="AA365" s="13">
        <v>74</v>
      </c>
      <c r="AD365" s="13">
        <v>50.5</v>
      </c>
      <c r="AE365" s="13">
        <v>41</v>
      </c>
      <c r="AF365" s="13">
        <v>60.2</v>
      </c>
      <c r="AG365" s="13" t="s">
        <v>708</v>
      </c>
      <c r="AH365" s="13">
        <v>2588</v>
      </c>
      <c r="AJ365" s="13">
        <v>90.6</v>
      </c>
      <c r="AM365" s="13">
        <v>76.2</v>
      </c>
      <c r="AP365" s="13">
        <v>0.86</v>
      </c>
      <c r="AR365" s="13">
        <v>0.78</v>
      </c>
      <c r="AS365" s="13">
        <v>0.94</v>
      </c>
      <c r="BG365" s="13">
        <v>6300</v>
      </c>
      <c r="BI365" s="13">
        <v>3764</v>
      </c>
      <c r="BJ365" s="13">
        <v>10234</v>
      </c>
      <c r="BR365" s="13">
        <v>455</v>
      </c>
      <c r="BT365" s="13">
        <v>314</v>
      </c>
      <c r="BU365" s="13">
        <v>662</v>
      </c>
      <c r="BY365" s="13" t="s">
        <v>293</v>
      </c>
      <c r="BZ365" s="13" t="s">
        <v>294</v>
      </c>
      <c r="CA365" s="13">
        <v>2024</v>
      </c>
      <c r="CB365" s="13" t="s">
        <v>253</v>
      </c>
      <c r="CC365" s="13" t="s">
        <v>64</v>
      </c>
      <c r="CD365" s="13">
        <v>25</v>
      </c>
      <c r="CE365" s="24">
        <v>45293</v>
      </c>
      <c r="CF365" s="13" t="s">
        <v>295</v>
      </c>
      <c r="CG365" s="13" t="s">
        <v>296</v>
      </c>
    </row>
    <row r="366" spans="1:85">
      <c r="A366" s="13" t="s">
        <v>1708</v>
      </c>
      <c r="B366" s="13" t="s">
        <v>1847</v>
      </c>
      <c r="C366" s="13" t="s">
        <v>297</v>
      </c>
      <c r="D366" s="13" t="s">
        <v>818</v>
      </c>
      <c r="E366" s="13" t="s">
        <v>630</v>
      </c>
      <c r="F366" s="13" t="s">
        <v>879</v>
      </c>
      <c r="G366" s="13" t="s">
        <v>673</v>
      </c>
      <c r="H366" s="13" t="s">
        <v>675</v>
      </c>
      <c r="J366" s="13" t="s">
        <v>868</v>
      </c>
      <c r="K366" s="13" t="s">
        <v>3127</v>
      </c>
      <c r="L366" s="13" t="s">
        <v>652</v>
      </c>
      <c r="M366" s="13" t="s">
        <v>875</v>
      </c>
      <c r="R366" s="13">
        <v>157</v>
      </c>
      <c r="S366" s="13">
        <v>117</v>
      </c>
      <c r="AG366" s="13" t="s">
        <v>708</v>
      </c>
      <c r="AR366" s="13">
        <v>0.84</v>
      </c>
      <c r="AS366" s="13">
        <v>0.97</v>
      </c>
      <c r="BG366" s="13">
        <v>106</v>
      </c>
      <c r="BI366" s="13">
        <v>74.5</v>
      </c>
      <c r="BJ366" s="13">
        <v>167.6</v>
      </c>
      <c r="BR366" s="13">
        <v>20.399999999999999</v>
      </c>
      <c r="BT366" s="13">
        <v>14.6</v>
      </c>
      <c r="BU366" s="13">
        <v>27.3</v>
      </c>
      <c r="BY366" s="13" t="s">
        <v>293</v>
      </c>
      <c r="BZ366" s="13" t="s">
        <v>294</v>
      </c>
      <c r="CA366" s="13">
        <v>2024</v>
      </c>
      <c r="CB366" s="13" t="s">
        <v>253</v>
      </c>
      <c r="CC366" s="13" t="s">
        <v>64</v>
      </c>
      <c r="CD366" s="13">
        <v>25</v>
      </c>
      <c r="CE366" s="24">
        <v>45293</v>
      </c>
      <c r="CF366" s="13" t="s">
        <v>295</v>
      </c>
      <c r="CG366" s="13" t="s">
        <v>296</v>
      </c>
    </row>
    <row r="367" spans="1:85">
      <c r="A367" s="13" t="s">
        <v>1708</v>
      </c>
      <c r="B367" s="13" t="s">
        <v>1847</v>
      </c>
      <c r="C367" s="13" t="s">
        <v>297</v>
      </c>
      <c r="D367" s="13" t="s">
        <v>818</v>
      </c>
      <c r="E367" s="13" t="s">
        <v>630</v>
      </c>
      <c r="F367" s="13" t="s">
        <v>879</v>
      </c>
      <c r="G367" s="13" t="s">
        <v>672</v>
      </c>
      <c r="H367" s="13" t="s">
        <v>680</v>
      </c>
      <c r="J367" s="13" t="s">
        <v>868</v>
      </c>
      <c r="K367" s="13" t="s">
        <v>3127</v>
      </c>
      <c r="L367" s="13" t="s">
        <v>585</v>
      </c>
      <c r="M367" s="13" t="s">
        <v>876</v>
      </c>
      <c r="N367" s="13">
        <f>192-86</f>
        <v>106</v>
      </c>
      <c r="O367" s="2">
        <f t="shared" ref="O367:O391" si="42">N367/R367</f>
        <v>0.55208333333333337</v>
      </c>
      <c r="P367" s="13">
        <v>14</v>
      </c>
      <c r="Q367" s="17">
        <f t="shared" ref="Q367:Q391" si="43">P367/S367</f>
        <v>0.60869565217391308</v>
      </c>
      <c r="R367" s="13">
        <v>192</v>
      </c>
      <c r="S367" s="13">
        <v>23</v>
      </c>
      <c r="AD367" s="13">
        <v>50.5</v>
      </c>
      <c r="AE367" s="13">
        <v>41</v>
      </c>
      <c r="AF367" s="13">
        <v>60.2</v>
      </c>
      <c r="AG367" s="13" t="s">
        <v>708</v>
      </c>
      <c r="AR367" s="13">
        <v>0.63</v>
      </c>
      <c r="AS367" s="13">
        <v>0.8</v>
      </c>
      <c r="BG367" s="13">
        <v>7290</v>
      </c>
      <c r="BI367" s="13">
        <v>3038</v>
      </c>
      <c r="BJ367" s="13">
        <v>17398</v>
      </c>
      <c r="BR367" s="13">
        <v>1295</v>
      </c>
      <c r="BT367" s="13">
        <v>631</v>
      </c>
      <c r="BU367" s="13">
        <v>1837</v>
      </c>
      <c r="BY367" s="13" t="s">
        <v>293</v>
      </c>
      <c r="BZ367" s="13" t="s">
        <v>294</v>
      </c>
      <c r="CA367" s="13">
        <v>2024</v>
      </c>
      <c r="CB367" s="13" t="s">
        <v>253</v>
      </c>
      <c r="CC367" s="13" t="s">
        <v>64</v>
      </c>
      <c r="CD367" s="13">
        <v>25</v>
      </c>
      <c r="CE367" s="24">
        <v>45293</v>
      </c>
      <c r="CF367" s="13" t="s">
        <v>295</v>
      </c>
      <c r="CG367" s="13" t="s">
        <v>296</v>
      </c>
    </row>
    <row r="368" spans="1:85">
      <c r="A368" s="13" t="s">
        <v>1708</v>
      </c>
      <c r="B368" s="13" t="s">
        <v>1847</v>
      </c>
      <c r="C368" s="13" t="s">
        <v>297</v>
      </c>
      <c r="D368" s="13" t="s">
        <v>818</v>
      </c>
      <c r="E368" s="13" t="s">
        <v>630</v>
      </c>
      <c r="F368" s="13" t="s">
        <v>879</v>
      </c>
      <c r="G368" s="13" t="s">
        <v>672</v>
      </c>
      <c r="H368" s="13" t="s">
        <v>767</v>
      </c>
      <c r="J368" s="13" t="s">
        <v>868</v>
      </c>
      <c r="K368" s="13" t="s">
        <v>3127</v>
      </c>
      <c r="L368" s="13" t="s">
        <v>585</v>
      </c>
      <c r="M368" s="13" t="s">
        <v>877</v>
      </c>
      <c r="N368" s="13">
        <f>192-86</f>
        <v>106</v>
      </c>
      <c r="O368" s="2">
        <f t="shared" si="42"/>
        <v>0.55208333333333337</v>
      </c>
      <c r="P368" s="13">
        <v>14</v>
      </c>
      <c r="Q368" s="17">
        <f t="shared" si="43"/>
        <v>0.60869565217391308</v>
      </c>
      <c r="R368" s="13">
        <v>192</v>
      </c>
      <c r="S368" s="13">
        <v>23</v>
      </c>
      <c r="AD368" s="13">
        <v>50.5</v>
      </c>
      <c r="AE368" s="13">
        <v>41</v>
      </c>
      <c r="AF368" s="13">
        <v>60.2</v>
      </c>
      <c r="AG368" s="13" t="s">
        <v>708</v>
      </c>
      <c r="AR368" s="13">
        <v>0.44</v>
      </c>
      <c r="AS368" s="13">
        <v>0.67</v>
      </c>
      <c r="BG368" s="13">
        <v>601</v>
      </c>
      <c r="BI368" s="13">
        <v>514</v>
      </c>
      <c r="BJ368" s="13">
        <v>700</v>
      </c>
      <c r="BR368" s="13">
        <v>423</v>
      </c>
      <c r="BT368" s="13">
        <v>347</v>
      </c>
      <c r="BU368" s="13">
        <v>499</v>
      </c>
      <c r="BY368" s="13" t="s">
        <v>293</v>
      </c>
      <c r="BZ368" s="13" t="s">
        <v>294</v>
      </c>
      <c r="CA368" s="13">
        <v>2024</v>
      </c>
      <c r="CB368" s="13" t="s">
        <v>253</v>
      </c>
      <c r="CC368" s="13" t="s">
        <v>64</v>
      </c>
      <c r="CD368" s="13">
        <v>25</v>
      </c>
      <c r="CE368" s="24">
        <v>45293</v>
      </c>
      <c r="CF368" s="13" t="s">
        <v>295</v>
      </c>
      <c r="CG368" s="13" t="s">
        <v>296</v>
      </c>
    </row>
    <row r="369" spans="1:85">
      <c r="A369" s="13" t="s">
        <v>1709</v>
      </c>
      <c r="C369" s="13" t="s">
        <v>303</v>
      </c>
      <c r="D369" s="13" t="s">
        <v>829</v>
      </c>
      <c r="E369" s="13" t="s">
        <v>882</v>
      </c>
      <c r="F369" s="13" t="s">
        <v>881</v>
      </c>
      <c r="G369" s="13" t="s">
        <v>673</v>
      </c>
      <c r="H369" s="13" t="s">
        <v>675</v>
      </c>
      <c r="J369" s="13" t="s">
        <v>880</v>
      </c>
      <c r="K369" s="13" t="s">
        <v>3631</v>
      </c>
      <c r="L369" s="13" t="s">
        <v>585</v>
      </c>
      <c r="N369" s="13">
        <v>25</v>
      </c>
      <c r="O369" s="2">
        <f t="shared" si="42"/>
        <v>0.67567567567567566</v>
      </c>
      <c r="P369" s="13">
        <v>25</v>
      </c>
      <c r="Q369" s="17">
        <f t="shared" si="43"/>
        <v>0.67567567567567566</v>
      </c>
      <c r="R369" s="13">
        <v>37</v>
      </c>
      <c r="S369" s="13">
        <v>37</v>
      </c>
      <c r="W369" s="13">
        <v>61.1</v>
      </c>
      <c r="X369" s="13">
        <v>7.4</v>
      </c>
      <c r="AB369" s="13">
        <v>57.9</v>
      </c>
      <c r="AC369" s="13">
        <v>12</v>
      </c>
      <c r="AG369" s="13" t="s">
        <v>639</v>
      </c>
      <c r="AH369" s="13">
        <v>44</v>
      </c>
      <c r="AJ369" s="13">
        <v>94.6</v>
      </c>
      <c r="AM369" s="13">
        <v>100</v>
      </c>
      <c r="AP369" s="13">
        <v>0.98499999999999999</v>
      </c>
      <c r="AR369" s="13">
        <v>0.96299999999999997</v>
      </c>
      <c r="AS369" s="13">
        <v>1</v>
      </c>
      <c r="BB369" s="13">
        <v>59.4</v>
      </c>
      <c r="BC369" s="13">
        <v>56.9</v>
      </c>
      <c r="BM369" s="13">
        <v>20.7</v>
      </c>
      <c r="BN369" s="13">
        <v>10.199999999999999</v>
      </c>
      <c r="BX369" s="13" t="s">
        <v>760</v>
      </c>
      <c r="BY369" s="13" t="s">
        <v>298</v>
      </c>
      <c r="BZ369" s="13" t="s">
        <v>299</v>
      </c>
      <c r="CA369" s="13">
        <v>2024</v>
      </c>
      <c r="CB369" s="13" t="s">
        <v>188</v>
      </c>
      <c r="CC369" s="13" t="s">
        <v>300</v>
      </c>
      <c r="CD369" s="13">
        <v>69</v>
      </c>
      <c r="CE369" s="13">
        <v>4</v>
      </c>
      <c r="CF369" s="13" t="s">
        <v>301</v>
      </c>
      <c r="CG369" s="13" t="s">
        <v>302</v>
      </c>
    </row>
    <row r="370" spans="1:85">
      <c r="A370" s="13" t="s">
        <v>1710</v>
      </c>
      <c r="B370" s="13" t="s">
        <v>1845</v>
      </c>
      <c r="C370" s="13" t="s">
        <v>308</v>
      </c>
      <c r="D370" s="13" t="s">
        <v>818</v>
      </c>
      <c r="E370" s="13" t="s">
        <v>799</v>
      </c>
      <c r="F370" s="13" t="s">
        <v>883</v>
      </c>
      <c r="G370" s="13" t="s">
        <v>672</v>
      </c>
      <c r="H370" s="13" t="s">
        <v>884</v>
      </c>
      <c r="J370" s="13" t="s">
        <v>654</v>
      </c>
      <c r="K370" s="13" t="s">
        <v>4087</v>
      </c>
      <c r="L370" s="13" t="s">
        <v>585</v>
      </c>
      <c r="N370" s="13">
        <v>35</v>
      </c>
      <c r="O370" s="2">
        <f t="shared" si="42"/>
        <v>0.64814814814814814</v>
      </c>
      <c r="P370" s="13">
        <v>32</v>
      </c>
      <c r="Q370" s="17">
        <f t="shared" si="43"/>
        <v>0.55172413793103448</v>
      </c>
      <c r="R370" s="13">
        <v>54</v>
      </c>
      <c r="S370" s="13">
        <v>58</v>
      </c>
      <c r="T370" s="13">
        <v>3</v>
      </c>
      <c r="U370" s="15">
        <f>T370/R370</f>
        <v>5.5555555555555552E-2</v>
      </c>
      <c r="Y370" s="13">
        <v>62</v>
      </c>
      <c r="Z370" s="13">
        <v>40</v>
      </c>
      <c r="AA370" s="13">
        <v>80</v>
      </c>
      <c r="AD370" s="13">
        <v>60</v>
      </c>
      <c r="AE370" s="13">
        <v>43</v>
      </c>
      <c r="AF370" s="13">
        <v>83</v>
      </c>
      <c r="AG370" s="13" t="s">
        <v>885</v>
      </c>
      <c r="AP370" s="13">
        <v>0.55000000000000004</v>
      </c>
      <c r="AR370" s="13">
        <v>0.42199999999999999</v>
      </c>
      <c r="AS370" s="13">
        <v>0.67800000000000005</v>
      </c>
      <c r="BG370" s="13">
        <v>2148</v>
      </c>
      <c r="BR370" s="13">
        <v>1987.5</v>
      </c>
      <c r="BX370" s="13">
        <v>3.7999999999999999E-2</v>
      </c>
      <c r="BY370" s="13" t="s">
        <v>304</v>
      </c>
      <c r="BZ370" s="13" t="s">
        <v>305</v>
      </c>
      <c r="CA370" s="13">
        <v>2024</v>
      </c>
      <c r="CB370" s="21">
        <v>45297</v>
      </c>
      <c r="CC370" s="13" t="s">
        <v>306</v>
      </c>
      <c r="CD370" s="13">
        <v>29</v>
      </c>
      <c r="CE370" s="13">
        <v>1</v>
      </c>
      <c r="CF370" s="13">
        <v>31</v>
      </c>
      <c r="CG370" s="13" t="s">
        <v>307</v>
      </c>
    </row>
    <row r="371" spans="1:85">
      <c r="A371" s="13" t="s">
        <v>1710</v>
      </c>
      <c r="B371" s="13" t="s">
        <v>1845</v>
      </c>
      <c r="C371" s="13" t="s">
        <v>308</v>
      </c>
      <c r="D371" s="13" t="s">
        <v>818</v>
      </c>
      <c r="E371" s="13" t="s">
        <v>799</v>
      </c>
      <c r="F371" s="13" t="s">
        <v>883</v>
      </c>
      <c r="G371" s="13" t="s">
        <v>672</v>
      </c>
      <c r="H371" s="13" t="s">
        <v>676</v>
      </c>
      <c r="J371" s="13" t="s">
        <v>654</v>
      </c>
      <c r="K371" s="13" t="s">
        <v>4087</v>
      </c>
      <c r="L371" s="13" t="s">
        <v>585</v>
      </c>
      <c r="N371" s="13">
        <v>35</v>
      </c>
      <c r="O371" s="2">
        <f t="shared" si="42"/>
        <v>0.64814814814814814</v>
      </c>
      <c r="P371" s="13">
        <v>32</v>
      </c>
      <c r="Q371" s="17">
        <f t="shared" si="43"/>
        <v>0.55172413793103448</v>
      </c>
      <c r="R371" s="13">
        <v>54</v>
      </c>
      <c r="S371" s="13">
        <v>58</v>
      </c>
      <c r="T371" s="13">
        <v>3</v>
      </c>
      <c r="U371" s="15">
        <f>T371/R371</f>
        <v>5.5555555555555552E-2</v>
      </c>
      <c r="Y371" s="13">
        <v>62</v>
      </c>
      <c r="Z371" s="13">
        <v>40</v>
      </c>
      <c r="AA371" s="13">
        <v>80</v>
      </c>
      <c r="AD371" s="13">
        <v>60</v>
      </c>
      <c r="AE371" s="13">
        <v>43</v>
      </c>
      <c r="AF371" s="13">
        <v>83</v>
      </c>
      <c r="AG371" s="13" t="s">
        <v>708</v>
      </c>
      <c r="AH371" s="13">
        <v>209.5</v>
      </c>
      <c r="AJ371" s="13">
        <v>88.2</v>
      </c>
      <c r="AM371" s="13">
        <v>63.6</v>
      </c>
      <c r="AP371" s="13">
        <v>0.76700000000000002</v>
      </c>
      <c r="AR371" s="13">
        <v>0.65900000000000003</v>
      </c>
      <c r="AS371" s="13">
        <v>0.875</v>
      </c>
      <c r="BG371" s="13">
        <v>323.5</v>
      </c>
      <c r="BR371" s="13">
        <v>177.5</v>
      </c>
      <c r="BX371" s="13" t="s">
        <v>701</v>
      </c>
      <c r="BY371" s="13" t="s">
        <v>304</v>
      </c>
      <c r="BZ371" s="13" t="s">
        <v>305</v>
      </c>
      <c r="CA371" s="13">
        <v>2024</v>
      </c>
      <c r="CB371" s="21">
        <v>45297</v>
      </c>
      <c r="CC371" s="13" t="s">
        <v>306</v>
      </c>
      <c r="CD371" s="13">
        <v>29</v>
      </c>
      <c r="CE371" s="13">
        <v>1</v>
      </c>
      <c r="CF371" s="13">
        <v>31</v>
      </c>
      <c r="CG371" s="13" t="s">
        <v>307</v>
      </c>
    </row>
    <row r="372" spans="1:85">
      <c r="A372" s="13" t="s">
        <v>1710</v>
      </c>
      <c r="B372" s="13" t="s">
        <v>1845</v>
      </c>
      <c r="C372" s="13" t="s">
        <v>308</v>
      </c>
      <c r="D372" s="13" t="s">
        <v>818</v>
      </c>
      <c r="E372" s="13" t="s">
        <v>799</v>
      </c>
      <c r="F372" s="13" t="s">
        <v>883</v>
      </c>
      <c r="G372" s="13" t="s">
        <v>672</v>
      </c>
      <c r="H372" s="13" t="s">
        <v>823</v>
      </c>
      <c r="J372" s="13" t="s">
        <v>654</v>
      </c>
      <c r="K372" s="13" t="s">
        <v>4087</v>
      </c>
      <c r="L372" s="13" t="s">
        <v>585</v>
      </c>
      <c r="N372" s="13">
        <v>35</v>
      </c>
      <c r="O372" s="2">
        <f t="shared" si="42"/>
        <v>0.64814814814814814</v>
      </c>
      <c r="P372" s="13">
        <v>32</v>
      </c>
      <c r="Q372" s="17">
        <f t="shared" si="43"/>
        <v>0.55172413793103448</v>
      </c>
      <c r="R372" s="13">
        <v>54</v>
      </c>
      <c r="S372" s="13">
        <v>58</v>
      </c>
      <c r="T372" s="13">
        <v>3</v>
      </c>
      <c r="U372" s="15">
        <f>T372/R372</f>
        <v>5.5555555555555552E-2</v>
      </c>
      <c r="Y372" s="13">
        <v>62</v>
      </c>
      <c r="Z372" s="13">
        <v>40</v>
      </c>
      <c r="AA372" s="13">
        <v>80</v>
      </c>
      <c r="AD372" s="13">
        <v>60</v>
      </c>
      <c r="AE372" s="13">
        <v>43</v>
      </c>
      <c r="AF372" s="13">
        <v>83</v>
      </c>
      <c r="AG372" s="13" t="s">
        <v>708</v>
      </c>
      <c r="BG372" s="13">
        <v>920.5</v>
      </c>
      <c r="BR372" s="13">
        <v>918</v>
      </c>
      <c r="BX372" s="13">
        <v>0.77400000000000002</v>
      </c>
      <c r="BY372" s="13" t="s">
        <v>304</v>
      </c>
      <c r="BZ372" s="13" t="s">
        <v>305</v>
      </c>
      <c r="CA372" s="13">
        <v>2024</v>
      </c>
      <c r="CB372" s="21">
        <v>45297</v>
      </c>
      <c r="CC372" s="13" t="s">
        <v>306</v>
      </c>
      <c r="CD372" s="13">
        <v>29</v>
      </c>
      <c r="CE372" s="13">
        <v>1</v>
      </c>
      <c r="CF372" s="13">
        <v>31</v>
      </c>
      <c r="CG372" s="13" t="s">
        <v>307</v>
      </c>
    </row>
    <row r="373" spans="1:85">
      <c r="A373" s="13" t="s">
        <v>1710</v>
      </c>
      <c r="B373" s="13" t="s">
        <v>1845</v>
      </c>
      <c r="C373" s="13" t="s">
        <v>308</v>
      </c>
      <c r="D373" s="13" t="s">
        <v>818</v>
      </c>
      <c r="E373" s="13" t="s">
        <v>799</v>
      </c>
      <c r="F373" s="13" t="s">
        <v>883</v>
      </c>
      <c r="G373" s="13" t="s">
        <v>672</v>
      </c>
      <c r="H373" s="13" t="s">
        <v>4141</v>
      </c>
      <c r="J373" s="13" t="s">
        <v>654</v>
      </c>
      <c r="K373" s="13" t="s">
        <v>4087</v>
      </c>
      <c r="L373" s="13" t="s">
        <v>585</v>
      </c>
      <c r="M373" s="13" t="s">
        <v>4149</v>
      </c>
      <c r="N373" s="13">
        <v>35</v>
      </c>
      <c r="O373" s="2">
        <f t="shared" si="42"/>
        <v>0.64814814814814814</v>
      </c>
      <c r="P373" s="13">
        <v>32</v>
      </c>
      <c r="Q373" s="17">
        <f t="shared" si="43"/>
        <v>0.55172413793103448</v>
      </c>
      <c r="R373" s="13">
        <v>54</v>
      </c>
      <c r="S373" s="13">
        <v>58</v>
      </c>
      <c r="T373" s="13">
        <v>3</v>
      </c>
      <c r="U373" s="15">
        <f>T373/R373</f>
        <v>5.5555555555555552E-2</v>
      </c>
      <c r="Y373" s="13">
        <v>62</v>
      </c>
      <c r="Z373" s="13">
        <v>40</v>
      </c>
      <c r="AA373" s="13">
        <v>80</v>
      </c>
      <c r="AD373" s="13">
        <v>60</v>
      </c>
      <c r="AE373" s="13">
        <v>43</v>
      </c>
      <c r="AF373" s="13">
        <v>83</v>
      </c>
      <c r="AG373" s="13" t="s">
        <v>708</v>
      </c>
      <c r="AH373" s="13">
        <v>37.5</v>
      </c>
      <c r="AJ373" s="13">
        <v>70.599999999999994</v>
      </c>
      <c r="AM373" s="13">
        <v>77.3</v>
      </c>
      <c r="AP373" s="13">
        <v>0.71899999999999997</v>
      </c>
      <c r="AR373" s="13">
        <v>0.6</v>
      </c>
      <c r="AS373" s="13">
        <v>0.83799999999999997</v>
      </c>
      <c r="BG373" s="13">
        <v>43.85</v>
      </c>
      <c r="BR373" s="13">
        <v>29</v>
      </c>
      <c r="BX373" s="13">
        <v>1E-3</v>
      </c>
      <c r="BY373" s="13" t="s">
        <v>304</v>
      </c>
      <c r="BZ373" s="13" t="s">
        <v>305</v>
      </c>
      <c r="CA373" s="13">
        <v>2024</v>
      </c>
      <c r="CB373" s="21">
        <v>45297</v>
      </c>
      <c r="CC373" s="13" t="s">
        <v>306</v>
      </c>
      <c r="CD373" s="13">
        <v>29</v>
      </c>
      <c r="CE373" s="13">
        <v>1</v>
      </c>
      <c r="CF373" s="13">
        <v>31</v>
      </c>
      <c r="CG373" s="13" t="s">
        <v>307</v>
      </c>
    </row>
    <row r="374" spans="1:85">
      <c r="A374" s="13" t="s">
        <v>3391</v>
      </c>
      <c r="C374" s="13" t="s">
        <v>3320</v>
      </c>
      <c r="D374" s="14" t="s">
        <v>2371</v>
      </c>
      <c r="E374" s="13" t="s">
        <v>630</v>
      </c>
      <c r="F374" s="13" t="s">
        <v>3795</v>
      </c>
      <c r="G374" s="13" t="s">
        <v>725</v>
      </c>
      <c r="I374" s="13" t="s">
        <v>3796</v>
      </c>
      <c r="J374" s="14" t="s">
        <v>3797</v>
      </c>
      <c r="K374" s="13" t="s">
        <v>3798</v>
      </c>
      <c r="L374" s="13" t="s">
        <v>576</v>
      </c>
      <c r="M374" s="13" t="s">
        <v>3799</v>
      </c>
      <c r="N374" s="13">
        <v>13</v>
      </c>
      <c r="O374" s="2">
        <f t="shared" si="42"/>
        <v>0.30952380952380953</v>
      </c>
      <c r="P374" s="13">
        <v>13</v>
      </c>
      <c r="Q374" s="17">
        <f t="shared" si="43"/>
        <v>0.30952380952380953</v>
      </c>
      <c r="R374" s="13">
        <v>42</v>
      </c>
      <c r="S374" s="13">
        <v>42</v>
      </c>
      <c r="T374" s="13">
        <v>0</v>
      </c>
      <c r="U374" s="15">
        <v>0</v>
      </c>
      <c r="W374" s="13">
        <v>65.599999999999994</v>
      </c>
      <c r="X374" s="13">
        <v>9.3000000000000007</v>
      </c>
      <c r="AB374" s="13">
        <v>65.7</v>
      </c>
      <c r="AC374" s="13">
        <v>9.4</v>
      </c>
      <c r="BY374" s="13" t="s">
        <v>3519</v>
      </c>
      <c r="BZ374" s="13" t="s">
        <v>3520</v>
      </c>
      <c r="CA374" s="13">
        <v>2024</v>
      </c>
      <c r="CC374" s="13" t="s">
        <v>3521</v>
      </c>
      <c r="CD374" s="13">
        <v>249</v>
      </c>
      <c r="CF374" s="13">
        <v>10401</v>
      </c>
      <c r="CG374" s="13" t="s">
        <v>3246</v>
      </c>
    </row>
    <row r="375" spans="1:85">
      <c r="A375" s="13" t="s">
        <v>1711</v>
      </c>
      <c r="C375" s="13" t="s">
        <v>313</v>
      </c>
      <c r="D375" s="13" t="s">
        <v>3632</v>
      </c>
      <c r="E375" s="13" t="s">
        <v>630</v>
      </c>
      <c r="F375" s="13" t="s">
        <v>886</v>
      </c>
      <c r="G375" s="13" t="s">
        <v>672</v>
      </c>
      <c r="H375" s="13" t="s">
        <v>889</v>
      </c>
      <c r="J375" s="13" t="s">
        <v>887</v>
      </c>
      <c r="L375" s="13" t="s">
        <v>1969</v>
      </c>
      <c r="M375" s="13" t="s">
        <v>888</v>
      </c>
      <c r="N375" s="13">
        <v>11</v>
      </c>
      <c r="O375" s="2">
        <f t="shared" si="42"/>
        <v>0.6470588235294118</v>
      </c>
      <c r="P375" s="13">
        <v>6</v>
      </c>
      <c r="Q375" s="17">
        <f t="shared" si="43"/>
        <v>0.6</v>
      </c>
      <c r="R375" s="13">
        <v>17</v>
      </c>
      <c r="S375" s="13">
        <v>10</v>
      </c>
      <c r="T375" s="13">
        <v>0</v>
      </c>
      <c r="U375" s="15">
        <v>0</v>
      </c>
      <c r="W375" s="13">
        <v>64</v>
      </c>
      <c r="X375" s="13">
        <v>12</v>
      </c>
      <c r="AB375" s="13">
        <v>45</v>
      </c>
      <c r="AC375" s="13">
        <v>18</v>
      </c>
      <c r="AG375" s="13" t="s">
        <v>885</v>
      </c>
      <c r="BG375" s="13">
        <v>0.15620000000000001</v>
      </c>
      <c r="BR375" s="13">
        <v>6.225E-2</v>
      </c>
      <c r="BX375" s="13">
        <v>2.1000000000000001E-2</v>
      </c>
      <c r="BY375" s="13" t="s">
        <v>309</v>
      </c>
      <c r="BZ375" s="13" t="s">
        <v>310</v>
      </c>
      <c r="CA375" s="13">
        <v>2023</v>
      </c>
      <c r="CB375" s="13" t="s">
        <v>53</v>
      </c>
      <c r="CC375" s="13" t="s">
        <v>311</v>
      </c>
      <c r="CD375" s="13">
        <v>78</v>
      </c>
      <c r="CF375" s="13">
        <v>127163</v>
      </c>
      <c r="CG375" s="13" t="s">
        <v>312</v>
      </c>
    </row>
    <row r="376" spans="1:85">
      <c r="A376" s="13" t="s">
        <v>1711</v>
      </c>
      <c r="C376" s="13" t="s">
        <v>313</v>
      </c>
      <c r="D376" s="13" t="s">
        <v>3632</v>
      </c>
      <c r="E376" s="13" t="s">
        <v>630</v>
      </c>
      <c r="F376" s="13" t="s">
        <v>886</v>
      </c>
      <c r="G376" s="13" t="s">
        <v>672</v>
      </c>
      <c r="H376" s="13" t="s">
        <v>890</v>
      </c>
      <c r="J376" s="13" t="s">
        <v>887</v>
      </c>
      <c r="L376" s="13" t="s">
        <v>1969</v>
      </c>
      <c r="M376" s="13" t="s">
        <v>888</v>
      </c>
      <c r="N376" s="13">
        <v>11</v>
      </c>
      <c r="O376" s="2">
        <f t="shared" si="42"/>
        <v>0.6470588235294118</v>
      </c>
      <c r="P376" s="13">
        <v>6</v>
      </c>
      <c r="Q376" s="17">
        <f t="shared" si="43"/>
        <v>0.6</v>
      </c>
      <c r="R376" s="13">
        <v>17</v>
      </c>
      <c r="S376" s="13">
        <v>10</v>
      </c>
      <c r="T376" s="13">
        <v>0</v>
      </c>
      <c r="U376" s="15">
        <v>0</v>
      </c>
      <c r="W376" s="13">
        <v>64</v>
      </c>
      <c r="X376" s="13">
        <v>12</v>
      </c>
      <c r="AB376" s="13">
        <v>45</v>
      </c>
      <c r="AC376" s="13">
        <v>18</v>
      </c>
      <c r="AG376" s="13" t="s">
        <v>885</v>
      </c>
      <c r="BG376" s="13">
        <v>8.0000000000000002E-3</v>
      </c>
      <c r="BR376" s="13">
        <v>4.0000000000000001E-3</v>
      </c>
      <c r="BX376" s="13">
        <v>3.3999999999999998E-3</v>
      </c>
      <c r="BY376" s="13" t="s">
        <v>309</v>
      </c>
      <c r="BZ376" s="13" t="s">
        <v>310</v>
      </c>
      <c r="CA376" s="13">
        <v>2023</v>
      </c>
      <c r="CB376" s="13" t="s">
        <v>53</v>
      </c>
      <c r="CC376" s="13" t="s">
        <v>311</v>
      </c>
      <c r="CD376" s="13">
        <v>78</v>
      </c>
      <c r="CF376" s="13">
        <v>127163</v>
      </c>
      <c r="CG376" s="13" t="s">
        <v>312</v>
      </c>
    </row>
    <row r="377" spans="1:85">
      <c r="A377" s="13" t="s">
        <v>1711</v>
      </c>
      <c r="C377" s="13" t="s">
        <v>313</v>
      </c>
      <c r="D377" s="13" t="s">
        <v>3632</v>
      </c>
      <c r="E377" s="13" t="s">
        <v>630</v>
      </c>
      <c r="F377" s="13" t="s">
        <v>886</v>
      </c>
      <c r="G377" s="13" t="s">
        <v>672</v>
      </c>
      <c r="H377" s="13" t="s">
        <v>2378</v>
      </c>
      <c r="J377" s="13" t="s">
        <v>887</v>
      </c>
      <c r="L377" s="13" t="s">
        <v>1969</v>
      </c>
      <c r="M377" s="13" t="s">
        <v>888</v>
      </c>
      <c r="N377" s="13">
        <v>11</v>
      </c>
      <c r="O377" s="2">
        <f t="shared" si="42"/>
        <v>0.6470588235294118</v>
      </c>
      <c r="P377" s="13">
        <v>6</v>
      </c>
      <c r="Q377" s="17">
        <f t="shared" si="43"/>
        <v>0.6</v>
      </c>
      <c r="R377" s="13">
        <v>17</v>
      </c>
      <c r="S377" s="13">
        <v>10</v>
      </c>
      <c r="T377" s="13">
        <v>0</v>
      </c>
      <c r="U377" s="15">
        <v>0</v>
      </c>
      <c r="W377" s="13">
        <v>64</v>
      </c>
      <c r="X377" s="13">
        <v>12</v>
      </c>
      <c r="AB377" s="13">
        <v>45</v>
      </c>
      <c r="AC377" s="13">
        <v>18</v>
      </c>
      <c r="AG377" s="13" t="s">
        <v>885</v>
      </c>
      <c r="BG377" s="13">
        <v>52.41</v>
      </c>
      <c r="BR377" s="13">
        <v>31.54</v>
      </c>
      <c r="BX377" s="13">
        <v>4.4999999999999998E-2</v>
      </c>
      <c r="BY377" s="13" t="s">
        <v>309</v>
      </c>
      <c r="BZ377" s="13" t="s">
        <v>310</v>
      </c>
      <c r="CA377" s="13">
        <v>2023</v>
      </c>
      <c r="CB377" s="13" t="s">
        <v>53</v>
      </c>
      <c r="CC377" s="13" t="s">
        <v>311</v>
      </c>
      <c r="CD377" s="13">
        <v>78</v>
      </c>
      <c r="CF377" s="13">
        <v>127163</v>
      </c>
      <c r="CG377" s="13" t="s">
        <v>312</v>
      </c>
    </row>
    <row r="378" spans="1:85">
      <c r="A378" s="13" t="s">
        <v>1711</v>
      </c>
      <c r="C378" s="13" t="s">
        <v>313</v>
      </c>
      <c r="D378" s="13" t="s">
        <v>3632</v>
      </c>
      <c r="E378" s="13" t="s">
        <v>630</v>
      </c>
      <c r="F378" s="13" t="s">
        <v>886</v>
      </c>
      <c r="G378" s="13" t="s">
        <v>672</v>
      </c>
      <c r="H378" s="13" t="s">
        <v>892</v>
      </c>
      <c r="J378" s="13" t="s">
        <v>887</v>
      </c>
      <c r="L378" s="13" t="s">
        <v>1969</v>
      </c>
      <c r="M378" s="13" t="s">
        <v>888</v>
      </c>
      <c r="N378" s="13">
        <v>11</v>
      </c>
      <c r="O378" s="2">
        <f t="shared" si="42"/>
        <v>0.6470588235294118</v>
      </c>
      <c r="P378" s="13">
        <v>6</v>
      </c>
      <c r="Q378" s="17">
        <f t="shared" si="43"/>
        <v>0.6</v>
      </c>
      <c r="R378" s="13">
        <v>17</v>
      </c>
      <c r="S378" s="13">
        <v>10</v>
      </c>
      <c r="T378" s="13">
        <v>0</v>
      </c>
      <c r="U378" s="15">
        <v>0</v>
      </c>
      <c r="W378" s="13">
        <v>64</v>
      </c>
      <c r="X378" s="13">
        <v>12</v>
      </c>
      <c r="AB378" s="13">
        <v>45</v>
      </c>
      <c r="AC378" s="13">
        <v>18</v>
      </c>
      <c r="AG378" s="13" t="s">
        <v>885</v>
      </c>
      <c r="BG378" s="13">
        <v>0.14000000000000001</v>
      </c>
      <c r="BR378" s="13">
        <v>9.1999999999999998E-2</v>
      </c>
      <c r="BX378" s="13">
        <v>4.7E-2</v>
      </c>
      <c r="BY378" s="13" t="s">
        <v>309</v>
      </c>
      <c r="BZ378" s="13" t="s">
        <v>310</v>
      </c>
      <c r="CA378" s="13">
        <v>2023</v>
      </c>
      <c r="CB378" s="13" t="s">
        <v>53</v>
      </c>
      <c r="CC378" s="13" t="s">
        <v>311</v>
      </c>
      <c r="CD378" s="13">
        <v>78</v>
      </c>
      <c r="CF378" s="13">
        <v>127163</v>
      </c>
      <c r="CG378" s="13" t="s">
        <v>312</v>
      </c>
    </row>
    <row r="379" spans="1:85">
      <c r="A379" s="13" t="s">
        <v>1711</v>
      </c>
      <c r="C379" s="13" t="s">
        <v>313</v>
      </c>
      <c r="D379" s="13" t="s">
        <v>3632</v>
      </c>
      <c r="E379" s="13" t="s">
        <v>630</v>
      </c>
      <c r="F379" s="13" t="s">
        <v>886</v>
      </c>
      <c r="G379" s="13" t="s">
        <v>672</v>
      </c>
      <c r="H379" s="13" t="s">
        <v>892</v>
      </c>
      <c r="J379" s="13" t="s">
        <v>887</v>
      </c>
      <c r="L379" s="13" t="s">
        <v>1969</v>
      </c>
      <c r="M379" s="13" t="s">
        <v>888</v>
      </c>
      <c r="N379" s="13">
        <v>11</v>
      </c>
      <c r="O379" s="2">
        <f t="shared" si="42"/>
        <v>0.6470588235294118</v>
      </c>
      <c r="P379" s="13">
        <v>6</v>
      </c>
      <c r="Q379" s="17">
        <f t="shared" si="43"/>
        <v>0.6</v>
      </c>
      <c r="R379" s="13">
        <v>17</v>
      </c>
      <c r="S379" s="13">
        <v>10</v>
      </c>
      <c r="T379" s="13">
        <v>0</v>
      </c>
      <c r="U379" s="15">
        <v>0</v>
      </c>
      <c r="W379" s="13">
        <v>64</v>
      </c>
      <c r="X379" s="13">
        <v>12</v>
      </c>
      <c r="AB379" s="13">
        <v>45</v>
      </c>
      <c r="AC379" s="13">
        <v>18</v>
      </c>
      <c r="AG379" s="13" t="s">
        <v>885</v>
      </c>
      <c r="BG379" s="13">
        <v>0.95399999999999996</v>
      </c>
      <c r="BR379" s="13">
        <v>0.46750000000000003</v>
      </c>
      <c r="BX379" s="13">
        <v>3.5000000000000003E-2</v>
      </c>
      <c r="BY379" s="13" t="s">
        <v>309</v>
      </c>
      <c r="BZ379" s="13" t="s">
        <v>310</v>
      </c>
      <c r="CA379" s="13">
        <v>2023</v>
      </c>
      <c r="CB379" s="13" t="s">
        <v>53</v>
      </c>
      <c r="CC379" s="13" t="s">
        <v>311</v>
      </c>
      <c r="CD379" s="13">
        <v>78</v>
      </c>
      <c r="CF379" s="13">
        <v>127163</v>
      </c>
      <c r="CG379" s="13" t="s">
        <v>312</v>
      </c>
    </row>
    <row r="380" spans="1:85">
      <c r="A380" s="13" t="s">
        <v>1711</v>
      </c>
      <c r="C380" s="13" t="s">
        <v>313</v>
      </c>
      <c r="D380" s="13" t="s">
        <v>3632</v>
      </c>
      <c r="E380" s="13" t="s">
        <v>630</v>
      </c>
      <c r="F380" s="13" t="s">
        <v>886</v>
      </c>
      <c r="G380" s="13" t="s">
        <v>672</v>
      </c>
      <c r="H380" s="13" t="s">
        <v>892</v>
      </c>
      <c r="J380" s="13" t="s">
        <v>887</v>
      </c>
      <c r="L380" s="13" t="s">
        <v>1969</v>
      </c>
      <c r="M380" s="13" t="s">
        <v>888</v>
      </c>
      <c r="N380" s="13">
        <v>11</v>
      </c>
      <c r="O380" s="2">
        <f t="shared" si="42"/>
        <v>0.6470588235294118</v>
      </c>
      <c r="P380" s="13">
        <v>6</v>
      </c>
      <c r="Q380" s="17">
        <f t="shared" si="43"/>
        <v>0.6</v>
      </c>
      <c r="R380" s="13">
        <v>17</v>
      </c>
      <c r="S380" s="13">
        <v>10</v>
      </c>
      <c r="T380" s="13">
        <v>0</v>
      </c>
      <c r="U380" s="15">
        <v>0</v>
      </c>
      <c r="W380" s="13">
        <v>64</v>
      </c>
      <c r="X380" s="13">
        <v>12</v>
      </c>
      <c r="AB380" s="13">
        <v>45</v>
      </c>
      <c r="AC380" s="13">
        <v>18</v>
      </c>
      <c r="AG380" s="13" t="s">
        <v>885</v>
      </c>
      <c r="BG380" s="13">
        <v>5.6689999999999996</v>
      </c>
      <c r="BR380" s="13">
        <v>2.077</v>
      </c>
      <c r="BX380" s="13">
        <v>5.7999999999999996E-3</v>
      </c>
      <c r="BY380" s="13" t="s">
        <v>309</v>
      </c>
      <c r="BZ380" s="13" t="s">
        <v>310</v>
      </c>
      <c r="CA380" s="13">
        <v>2023</v>
      </c>
      <c r="CB380" s="13" t="s">
        <v>53</v>
      </c>
      <c r="CC380" s="13" t="s">
        <v>311</v>
      </c>
      <c r="CD380" s="13">
        <v>78</v>
      </c>
      <c r="CF380" s="13">
        <v>127163</v>
      </c>
      <c r="CG380" s="13" t="s">
        <v>312</v>
      </c>
    </row>
    <row r="381" spans="1:85">
      <c r="A381" s="13" t="s">
        <v>1711</v>
      </c>
      <c r="C381" s="13" t="s">
        <v>313</v>
      </c>
      <c r="D381" s="13" t="s">
        <v>3632</v>
      </c>
      <c r="E381" s="13" t="s">
        <v>630</v>
      </c>
      <c r="F381" s="13" t="s">
        <v>886</v>
      </c>
      <c r="G381" s="13" t="s">
        <v>672</v>
      </c>
      <c r="H381" s="13" t="s">
        <v>892</v>
      </c>
      <c r="J381" s="13" t="s">
        <v>887</v>
      </c>
      <c r="L381" s="13" t="s">
        <v>1969</v>
      </c>
      <c r="M381" s="13" t="s">
        <v>888</v>
      </c>
      <c r="N381" s="13">
        <v>11</v>
      </c>
      <c r="O381" s="2">
        <f t="shared" si="42"/>
        <v>0.6470588235294118</v>
      </c>
      <c r="P381" s="13">
        <v>6</v>
      </c>
      <c r="Q381" s="17">
        <f t="shared" si="43"/>
        <v>0.6</v>
      </c>
      <c r="R381" s="13">
        <v>17</v>
      </c>
      <c r="S381" s="13">
        <v>10</v>
      </c>
      <c r="T381" s="13">
        <v>0</v>
      </c>
      <c r="U381" s="15">
        <v>0</v>
      </c>
      <c r="W381" s="13">
        <v>64</v>
      </c>
      <c r="X381" s="13">
        <v>12</v>
      </c>
      <c r="AB381" s="13">
        <v>45</v>
      </c>
      <c r="AC381" s="13">
        <v>18</v>
      </c>
      <c r="AG381" s="13" t="s">
        <v>885</v>
      </c>
      <c r="BG381" s="13">
        <v>0.12529999999999999</v>
      </c>
      <c r="BR381" s="13">
        <v>6.1199999999999997E-2</v>
      </c>
      <c r="BX381" s="13">
        <v>2.1999999999999999E-2</v>
      </c>
      <c r="BY381" s="13" t="s">
        <v>309</v>
      </c>
      <c r="BZ381" s="13" t="s">
        <v>310</v>
      </c>
      <c r="CA381" s="13">
        <v>2023</v>
      </c>
      <c r="CB381" s="13" t="s">
        <v>53</v>
      </c>
      <c r="CC381" s="13" t="s">
        <v>311</v>
      </c>
      <c r="CD381" s="13">
        <v>78</v>
      </c>
      <c r="CF381" s="13">
        <v>127163</v>
      </c>
      <c r="CG381" s="13" t="s">
        <v>312</v>
      </c>
    </row>
    <row r="382" spans="1:85">
      <c r="A382" s="13" t="s">
        <v>1711</v>
      </c>
      <c r="C382" s="13" t="s">
        <v>313</v>
      </c>
      <c r="D382" s="13" t="s">
        <v>3632</v>
      </c>
      <c r="E382" s="13" t="s">
        <v>630</v>
      </c>
      <c r="F382" s="13" t="s">
        <v>886</v>
      </c>
      <c r="G382" s="13" t="s">
        <v>672</v>
      </c>
      <c r="H382" s="13" t="s">
        <v>892</v>
      </c>
      <c r="J382" s="13" t="s">
        <v>887</v>
      </c>
      <c r="L382" s="13" t="s">
        <v>1969</v>
      </c>
      <c r="M382" s="13" t="s">
        <v>888</v>
      </c>
      <c r="N382" s="13">
        <v>11</v>
      </c>
      <c r="O382" s="2">
        <f t="shared" si="42"/>
        <v>0.6470588235294118</v>
      </c>
      <c r="P382" s="13">
        <v>6</v>
      </c>
      <c r="Q382" s="17">
        <f t="shared" si="43"/>
        <v>0.6</v>
      </c>
      <c r="R382" s="13">
        <v>17</v>
      </c>
      <c r="S382" s="13">
        <v>10</v>
      </c>
      <c r="T382" s="13">
        <v>0</v>
      </c>
      <c r="U382" s="15">
        <v>0</v>
      </c>
      <c r="W382" s="13">
        <v>64</v>
      </c>
      <c r="X382" s="13">
        <v>12</v>
      </c>
      <c r="AB382" s="13">
        <v>45</v>
      </c>
      <c r="AC382" s="13">
        <v>18</v>
      </c>
      <c r="AG382" s="13" t="s">
        <v>885</v>
      </c>
      <c r="BG382" s="13">
        <v>8.5500000000000007</v>
      </c>
      <c r="BR382" s="13">
        <v>4</v>
      </c>
      <c r="BX382" s="13">
        <v>3.5000000000000003E-2</v>
      </c>
      <c r="BY382" s="13" t="s">
        <v>309</v>
      </c>
      <c r="BZ382" s="13" t="s">
        <v>310</v>
      </c>
      <c r="CA382" s="13">
        <v>2023</v>
      </c>
      <c r="CB382" s="13" t="s">
        <v>53</v>
      </c>
      <c r="CC382" s="13" t="s">
        <v>311</v>
      </c>
      <c r="CD382" s="13">
        <v>78</v>
      </c>
      <c r="CF382" s="13">
        <v>127163</v>
      </c>
      <c r="CG382" s="13" t="s">
        <v>312</v>
      </c>
    </row>
    <row r="383" spans="1:85">
      <c r="A383" s="13" t="s">
        <v>1711</v>
      </c>
      <c r="C383" s="13" t="s">
        <v>313</v>
      </c>
      <c r="D383" s="13" t="s">
        <v>3632</v>
      </c>
      <c r="E383" s="13" t="s">
        <v>630</v>
      </c>
      <c r="F383" s="13" t="s">
        <v>886</v>
      </c>
      <c r="G383" s="13" t="s">
        <v>672</v>
      </c>
      <c r="H383" s="13" t="s">
        <v>892</v>
      </c>
      <c r="J383" s="13" t="s">
        <v>887</v>
      </c>
      <c r="L383" s="13" t="s">
        <v>1969</v>
      </c>
      <c r="M383" s="13" t="s">
        <v>888</v>
      </c>
      <c r="N383" s="13">
        <v>11</v>
      </c>
      <c r="O383" s="2">
        <f t="shared" si="42"/>
        <v>0.6470588235294118</v>
      </c>
      <c r="P383" s="13">
        <v>6</v>
      </c>
      <c r="Q383" s="17">
        <f t="shared" si="43"/>
        <v>0.6</v>
      </c>
      <c r="R383" s="13">
        <v>17</v>
      </c>
      <c r="S383" s="13">
        <v>10</v>
      </c>
      <c r="T383" s="13">
        <v>0</v>
      </c>
      <c r="U383" s="15">
        <v>0</v>
      </c>
      <c r="W383" s="13">
        <v>64</v>
      </c>
      <c r="X383" s="13">
        <v>12</v>
      </c>
      <c r="AB383" s="13">
        <v>45</v>
      </c>
      <c r="AC383" s="13">
        <v>18</v>
      </c>
      <c r="AG383" s="13" t="s">
        <v>885</v>
      </c>
      <c r="BG383" s="13">
        <v>120.51</v>
      </c>
      <c r="BR383" s="13">
        <v>48.905000000000001</v>
      </c>
      <c r="BX383" s="13">
        <v>3.5000000000000003E-2</v>
      </c>
      <c r="BY383" s="13" t="s">
        <v>309</v>
      </c>
      <c r="BZ383" s="13" t="s">
        <v>310</v>
      </c>
      <c r="CA383" s="13">
        <v>2023</v>
      </c>
      <c r="CB383" s="13" t="s">
        <v>53</v>
      </c>
      <c r="CC383" s="13" t="s">
        <v>311</v>
      </c>
      <c r="CD383" s="13">
        <v>78</v>
      </c>
      <c r="CF383" s="13">
        <v>127163</v>
      </c>
      <c r="CG383" s="13" t="s">
        <v>312</v>
      </c>
    </row>
    <row r="384" spans="1:85">
      <c r="A384" s="13" t="s">
        <v>1711</v>
      </c>
      <c r="C384" s="13" t="s">
        <v>313</v>
      </c>
      <c r="D384" s="13" t="s">
        <v>3632</v>
      </c>
      <c r="E384" s="13" t="s">
        <v>630</v>
      </c>
      <c r="F384" s="13" t="s">
        <v>886</v>
      </c>
      <c r="G384" s="13" t="s">
        <v>674</v>
      </c>
      <c r="H384" s="13" t="s">
        <v>893</v>
      </c>
      <c r="J384" s="13" t="s">
        <v>887</v>
      </c>
      <c r="L384" s="13" t="s">
        <v>1969</v>
      </c>
      <c r="M384" s="13" t="s">
        <v>888</v>
      </c>
      <c r="N384" s="13">
        <v>11</v>
      </c>
      <c r="O384" s="2">
        <f t="shared" si="42"/>
        <v>0.6470588235294118</v>
      </c>
      <c r="P384" s="13">
        <v>6</v>
      </c>
      <c r="Q384" s="17">
        <f t="shared" si="43"/>
        <v>0.6</v>
      </c>
      <c r="R384" s="13">
        <v>17</v>
      </c>
      <c r="S384" s="13">
        <v>10</v>
      </c>
      <c r="T384" s="13">
        <v>0</v>
      </c>
      <c r="U384" s="15">
        <v>0</v>
      </c>
      <c r="W384" s="13">
        <v>64</v>
      </c>
      <c r="X384" s="13">
        <v>12</v>
      </c>
      <c r="AB384" s="13">
        <v>45</v>
      </c>
      <c r="AC384" s="13">
        <v>18</v>
      </c>
      <c r="AG384" s="13" t="s">
        <v>885</v>
      </c>
      <c r="BG384" s="13">
        <v>0.82699999999999996</v>
      </c>
      <c r="BR384" s="13">
        <v>0.51</v>
      </c>
      <c r="BX384" s="13">
        <v>4.5999999999999999E-2</v>
      </c>
      <c r="BY384" s="13" t="s">
        <v>309</v>
      </c>
      <c r="BZ384" s="13" t="s">
        <v>310</v>
      </c>
      <c r="CA384" s="13">
        <v>2023</v>
      </c>
      <c r="CB384" s="13" t="s">
        <v>53</v>
      </c>
      <c r="CC384" s="13" t="s">
        <v>311</v>
      </c>
      <c r="CD384" s="13">
        <v>78</v>
      </c>
      <c r="CF384" s="13">
        <v>127163</v>
      </c>
      <c r="CG384" s="13" t="s">
        <v>312</v>
      </c>
    </row>
    <row r="385" spans="1:85">
      <c r="A385" s="13" t="s">
        <v>1712</v>
      </c>
      <c r="B385" s="13" t="s">
        <v>1850</v>
      </c>
      <c r="C385" s="13" t="s">
        <v>318</v>
      </c>
      <c r="D385" s="13" t="s">
        <v>827</v>
      </c>
      <c r="E385" s="13" t="s">
        <v>799</v>
      </c>
      <c r="F385" s="13" t="s">
        <v>894</v>
      </c>
      <c r="G385" s="13" t="s">
        <v>672</v>
      </c>
      <c r="H385" s="13" t="s">
        <v>823</v>
      </c>
      <c r="J385" s="13" t="s">
        <v>637</v>
      </c>
      <c r="K385" s="13" t="s">
        <v>4056</v>
      </c>
      <c r="L385" s="13" t="s">
        <v>585</v>
      </c>
      <c r="M385" s="13" t="s">
        <v>895</v>
      </c>
      <c r="N385" s="13">
        <v>78</v>
      </c>
      <c r="O385" s="2">
        <f t="shared" si="42"/>
        <v>0.63414634146341464</v>
      </c>
      <c r="P385" s="13">
        <v>51</v>
      </c>
      <c r="Q385" s="17">
        <f t="shared" si="43"/>
        <v>0.56666666666666665</v>
      </c>
      <c r="R385" s="13">
        <v>123</v>
      </c>
      <c r="S385" s="13">
        <v>90</v>
      </c>
      <c r="W385" s="13">
        <v>66.06</v>
      </c>
      <c r="AB385" s="13">
        <v>67.45</v>
      </c>
      <c r="AG385" s="13" t="s">
        <v>708</v>
      </c>
      <c r="BB385" s="13">
        <v>1277</v>
      </c>
      <c r="BC385" s="13">
        <v>296.60000000000002</v>
      </c>
      <c r="BM385" s="13">
        <v>992.9</v>
      </c>
      <c r="BN385" s="13">
        <v>358.3</v>
      </c>
      <c r="BX385" s="13" t="s">
        <v>701</v>
      </c>
      <c r="BY385" s="13" t="s">
        <v>314</v>
      </c>
      <c r="BZ385" s="13" t="s">
        <v>315</v>
      </c>
      <c r="CA385" s="13">
        <v>2020</v>
      </c>
      <c r="CB385" s="21">
        <v>45403</v>
      </c>
      <c r="CC385" s="13" t="s">
        <v>316</v>
      </c>
      <c r="CD385" s="13">
        <v>21</v>
      </c>
      <c r="CE385" s="13">
        <v>8</v>
      </c>
      <c r="CG385" s="13" t="s">
        <v>317</v>
      </c>
    </row>
    <row r="386" spans="1:85">
      <c r="A386" s="13" t="s">
        <v>1712</v>
      </c>
      <c r="B386" s="13" t="s">
        <v>1850</v>
      </c>
      <c r="C386" s="13" t="s">
        <v>318</v>
      </c>
      <c r="D386" s="13" t="s">
        <v>827</v>
      </c>
      <c r="E386" s="13" t="s">
        <v>799</v>
      </c>
      <c r="F386" s="13" t="s">
        <v>894</v>
      </c>
      <c r="G386" s="13" t="s">
        <v>672</v>
      </c>
      <c r="H386" s="13" t="s">
        <v>4141</v>
      </c>
      <c r="J386" s="13" t="s">
        <v>637</v>
      </c>
      <c r="K386" s="13" t="s">
        <v>4056</v>
      </c>
      <c r="L386" s="13" t="s">
        <v>585</v>
      </c>
      <c r="M386" s="13" t="s">
        <v>895</v>
      </c>
      <c r="N386" s="13">
        <v>78</v>
      </c>
      <c r="O386" s="2">
        <f t="shared" si="42"/>
        <v>0.63414634146341464</v>
      </c>
      <c r="P386" s="13">
        <v>51</v>
      </c>
      <c r="Q386" s="17">
        <f t="shared" si="43"/>
        <v>0.56666666666666665</v>
      </c>
      <c r="R386" s="13">
        <v>123</v>
      </c>
      <c r="S386" s="13">
        <v>90</v>
      </c>
      <c r="W386" s="13">
        <v>66.06</v>
      </c>
      <c r="AB386" s="13">
        <v>67.45</v>
      </c>
      <c r="AG386" s="13" t="s">
        <v>708</v>
      </c>
      <c r="BB386" s="13">
        <v>44.5</v>
      </c>
      <c r="BC386" s="13">
        <v>15.5</v>
      </c>
      <c r="BM386" s="13">
        <v>49.8</v>
      </c>
      <c r="BN386" s="13">
        <v>27.9</v>
      </c>
      <c r="BX386" s="13">
        <v>0.78</v>
      </c>
      <c r="BY386" s="13" t="s">
        <v>314</v>
      </c>
      <c r="BZ386" s="13" t="s">
        <v>315</v>
      </c>
      <c r="CA386" s="13">
        <v>2020</v>
      </c>
      <c r="CB386" s="21">
        <v>45403</v>
      </c>
      <c r="CC386" s="13" t="s">
        <v>316</v>
      </c>
      <c r="CD386" s="13">
        <v>21</v>
      </c>
      <c r="CE386" s="13">
        <v>8</v>
      </c>
      <c r="CG386" s="13" t="s">
        <v>317</v>
      </c>
    </row>
    <row r="387" spans="1:85">
      <c r="A387" s="13" t="s">
        <v>1712</v>
      </c>
      <c r="B387" s="13" t="s">
        <v>1850</v>
      </c>
      <c r="C387" s="13" t="s">
        <v>318</v>
      </c>
      <c r="D387" s="13" t="s">
        <v>827</v>
      </c>
      <c r="E387" s="13" t="s">
        <v>799</v>
      </c>
      <c r="F387" s="13" t="s">
        <v>894</v>
      </c>
      <c r="G387" s="13" t="s">
        <v>672</v>
      </c>
      <c r="H387" s="13" t="s">
        <v>676</v>
      </c>
      <c r="J387" s="13" t="s">
        <v>637</v>
      </c>
      <c r="K387" s="13" t="s">
        <v>4056</v>
      </c>
      <c r="L387" s="13" t="s">
        <v>585</v>
      </c>
      <c r="M387" s="13" t="s">
        <v>895</v>
      </c>
      <c r="N387" s="13">
        <v>78</v>
      </c>
      <c r="O387" s="2">
        <f t="shared" si="42"/>
        <v>0.63414634146341464</v>
      </c>
      <c r="P387" s="13">
        <v>51</v>
      </c>
      <c r="Q387" s="17">
        <f t="shared" si="43"/>
        <v>0.56666666666666665</v>
      </c>
      <c r="R387" s="13">
        <v>123</v>
      </c>
      <c r="S387" s="13">
        <v>90</v>
      </c>
      <c r="W387" s="13">
        <v>66.06</v>
      </c>
      <c r="AB387" s="13">
        <v>67.45</v>
      </c>
      <c r="AG387" s="13" t="s">
        <v>708</v>
      </c>
      <c r="BB387" s="13">
        <v>291.60000000000002</v>
      </c>
      <c r="BC387" s="13">
        <v>140.6</v>
      </c>
      <c r="BM387" s="13">
        <v>485.3</v>
      </c>
      <c r="BN387" s="13">
        <v>519.5</v>
      </c>
      <c r="BX387" s="13">
        <v>1.7999999999999999E-2</v>
      </c>
      <c r="BY387" s="13" t="s">
        <v>314</v>
      </c>
      <c r="BZ387" s="13" t="s">
        <v>315</v>
      </c>
      <c r="CA387" s="13">
        <v>2020</v>
      </c>
      <c r="CB387" s="21">
        <v>45403</v>
      </c>
      <c r="CC387" s="13" t="s">
        <v>316</v>
      </c>
      <c r="CD387" s="13">
        <v>21</v>
      </c>
      <c r="CE387" s="13">
        <v>8</v>
      </c>
      <c r="CG387" s="13" t="s">
        <v>317</v>
      </c>
    </row>
    <row r="388" spans="1:85">
      <c r="A388" s="13" t="s">
        <v>1712</v>
      </c>
      <c r="B388" s="13" t="s">
        <v>1850</v>
      </c>
      <c r="C388" s="13" t="s">
        <v>318</v>
      </c>
      <c r="D388" s="13" t="s">
        <v>827</v>
      </c>
      <c r="E388" s="13" t="s">
        <v>799</v>
      </c>
      <c r="F388" s="13" t="s">
        <v>894</v>
      </c>
      <c r="G388" s="13" t="s">
        <v>672</v>
      </c>
      <c r="H388" s="13" t="s">
        <v>3196</v>
      </c>
      <c r="J388" s="13" t="s">
        <v>637</v>
      </c>
      <c r="K388" s="13" t="s">
        <v>4056</v>
      </c>
      <c r="L388" s="13" t="s">
        <v>585</v>
      </c>
      <c r="M388" s="13" t="s">
        <v>895</v>
      </c>
      <c r="N388" s="13">
        <v>78</v>
      </c>
      <c r="O388" s="2">
        <f t="shared" si="42"/>
        <v>0.63414634146341464</v>
      </c>
      <c r="P388" s="13">
        <v>51</v>
      </c>
      <c r="Q388" s="17">
        <f t="shared" si="43"/>
        <v>0.56666666666666665</v>
      </c>
      <c r="R388" s="13">
        <v>123</v>
      </c>
      <c r="S388" s="13">
        <v>90</v>
      </c>
      <c r="W388" s="13">
        <v>66.06</v>
      </c>
      <c r="AB388" s="13">
        <v>67.45</v>
      </c>
      <c r="AG388" s="13" t="s">
        <v>708</v>
      </c>
      <c r="BB388" s="13">
        <v>2.3199999999999998</v>
      </c>
      <c r="BC388" s="13">
        <v>0.66</v>
      </c>
      <c r="BM388" s="13">
        <v>1.69</v>
      </c>
      <c r="BN388" s="13">
        <v>0.62</v>
      </c>
      <c r="BX388" s="13" t="s">
        <v>701</v>
      </c>
      <c r="BY388" s="13" t="s">
        <v>314</v>
      </c>
      <c r="BZ388" s="13" t="s">
        <v>315</v>
      </c>
      <c r="CA388" s="13">
        <v>2020</v>
      </c>
      <c r="CB388" s="21">
        <v>45403</v>
      </c>
      <c r="CC388" s="13" t="s">
        <v>316</v>
      </c>
      <c r="CD388" s="13">
        <v>21</v>
      </c>
      <c r="CE388" s="13">
        <v>8</v>
      </c>
      <c r="CG388" s="13" t="s">
        <v>317</v>
      </c>
    </row>
    <row r="389" spans="1:85">
      <c r="A389" s="13" t="s">
        <v>1712</v>
      </c>
      <c r="B389" s="13" t="s">
        <v>1850</v>
      </c>
      <c r="C389" s="13" t="s">
        <v>318</v>
      </c>
      <c r="D389" s="13" t="s">
        <v>827</v>
      </c>
      <c r="E389" s="13" t="s">
        <v>799</v>
      </c>
      <c r="F389" s="13" t="s">
        <v>894</v>
      </c>
      <c r="G389" s="13" t="s">
        <v>672</v>
      </c>
      <c r="H389" s="16" t="s">
        <v>4142</v>
      </c>
      <c r="J389" s="13" t="s">
        <v>637</v>
      </c>
      <c r="K389" s="13" t="s">
        <v>4056</v>
      </c>
      <c r="L389" s="13" t="s">
        <v>585</v>
      </c>
      <c r="M389" s="13" t="s">
        <v>895</v>
      </c>
      <c r="N389" s="13">
        <v>78</v>
      </c>
      <c r="O389" s="2">
        <f t="shared" si="42"/>
        <v>0.63414634146341464</v>
      </c>
      <c r="P389" s="13">
        <v>51</v>
      </c>
      <c r="Q389" s="17">
        <f t="shared" si="43"/>
        <v>0.56666666666666665</v>
      </c>
      <c r="R389" s="13">
        <v>123</v>
      </c>
      <c r="S389" s="13">
        <v>90</v>
      </c>
      <c r="W389" s="13">
        <v>66.06</v>
      </c>
      <c r="AB389" s="13">
        <v>67.45</v>
      </c>
      <c r="AG389" s="13" t="s">
        <v>708</v>
      </c>
      <c r="BB389" s="13">
        <v>31.2</v>
      </c>
      <c r="BC389" s="13">
        <v>9.8000000000000007</v>
      </c>
      <c r="BM389" s="13">
        <v>24.3</v>
      </c>
      <c r="BN389" s="13">
        <v>11.6</v>
      </c>
      <c r="BX389" s="13" t="s">
        <v>701</v>
      </c>
      <c r="BY389" s="13" t="s">
        <v>314</v>
      </c>
      <c r="BZ389" s="13" t="s">
        <v>315</v>
      </c>
      <c r="CA389" s="13">
        <v>2020</v>
      </c>
      <c r="CB389" s="21">
        <v>45403</v>
      </c>
      <c r="CC389" s="13" t="s">
        <v>316</v>
      </c>
      <c r="CD389" s="13">
        <v>21</v>
      </c>
      <c r="CE389" s="13">
        <v>8</v>
      </c>
      <c r="CG389" s="13" t="s">
        <v>317</v>
      </c>
    </row>
    <row r="390" spans="1:85">
      <c r="A390" s="13" t="s">
        <v>1712</v>
      </c>
      <c r="B390" s="13" t="s">
        <v>1850</v>
      </c>
      <c r="C390" s="13" t="s">
        <v>318</v>
      </c>
      <c r="D390" s="13" t="s">
        <v>827</v>
      </c>
      <c r="E390" s="13" t="s">
        <v>799</v>
      </c>
      <c r="F390" s="13" t="s">
        <v>894</v>
      </c>
      <c r="G390" s="13" t="s">
        <v>672</v>
      </c>
      <c r="H390" s="13" t="s">
        <v>678</v>
      </c>
      <c r="J390" s="13" t="s">
        <v>637</v>
      </c>
      <c r="K390" s="13" t="s">
        <v>4056</v>
      </c>
      <c r="L390" s="13" t="s">
        <v>585</v>
      </c>
      <c r="M390" s="13" t="s">
        <v>895</v>
      </c>
      <c r="N390" s="13">
        <v>78</v>
      </c>
      <c r="O390" s="2">
        <f t="shared" si="42"/>
        <v>0.63414634146341464</v>
      </c>
      <c r="P390" s="13">
        <v>51</v>
      </c>
      <c r="Q390" s="17">
        <f t="shared" si="43"/>
        <v>0.56666666666666665</v>
      </c>
      <c r="R390" s="13">
        <v>123</v>
      </c>
      <c r="S390" s="13">
        <v>90</v>
      </c>
      <c r="W390" s="13">
        <v>66.06</v>
      </c>
      <c r="AB390" s="13">
        <v>67.45</v>
      </c>
      <c r="AG390" s="13" t="s">
        <v>708</v>
      </c>
      <c r="BB390" s="13">
        <v>0.16</v>
      </c>
      <c r="BC390" s="13">
        <v>0.38</v>
      </c>
      <c r="BM390" s="13">
        <v>0.15</v>
      </c>
      <c r="BN390" s="13">
        <v>0.06</v>
      </c>
      <c r="BX390" s="13">
        <v>0.48</v>
      </c>
      <c r="BY390" s="13" t="s">
        <v>314</v>
      </c>
      <c r="BZ390" s="13" t="s">
        <v>315</v>
      </c>
      <c r="CA390" s="13">
        <v>2020</v>
      </c>
      <c r="CB390" s="21">
        <v>45403</v>
      </c>
      <c r="CC390" s="13" t="s">
        <v>316</v>
      </c>
      <c r="CD390" s="13">
        <v>21</v>
      </c>
      <c r="CE390" s="13">
        <v>8</v>
      </c>
      <c r="CG390" s="13" t="s">
        <v>317</v>
      </c>
    </row>
    <row r="391" spans="1:85">
      <c r="A391" s="13" t="s">
        <v>2036</v>
      </c>
      <c r="B391" s="13" t="s">
        <v>2036</v>
      </c>
      <c r="C391" s="14" t="s">
        <v>2077</v>
      </c>
      <c r="D391" s="14" t="s">
        <v>827</v>
      </c>
      <c r="E391" s="13" t="s">
        <v>630</v>
      </c>
      <c r="F391" s="13" t="s">
        <v>1037</v>
      </c>
      <c r="G391" s="13" t="s">
        <v>674</v>
      </c>
      <c r="H391" s="13" t="s">
        <v>2584</v>
      </c>
      <c r="J391" s="13" t="s">
        <v>629</v>
      </c>
      <c r="K391" s="14" t="s">
        <v>4051</v>
      </c>
      <c r="L391" s="13" t="s">
        <v>2586</v>
      </c>
      <c r="M391" s="13" t="s">
        <v>2585</v>
      </c>
      <c r="N391" s="13">
        <v>31</v>
      </c>
      <c r="O391" s="2">
        <f t="shared" si="42"/>
        <v>0.62</v>
      </c>
      <c r="P391" s="13">
        <v>23</v>
      </c>
      <c r="Q391" s="17">
        <f t="shared" si="43"/>
        <v>0.57499999999999996</v>
      </c>
      <c r="R391" s="13">
        <v>50</v>
      </c>
      <c r="S391" s="13">
        <v>40</v>
      </c>
      <c r="T391" s="13">
        <v>7</v>
      </c>
      <c r="V391" s="13">
        <v>6</v>
      </c>
      <c r="W391" s="13">
        <v>60.6</v>
      </c>
      <c r="X391" s="13">
        <v>7.7</v>
      </c>
      <c r="AB391" s="13">
        <v>57.5</v>
      </c>
      <c r="AC391" s="13">
        <v>10.25</v>
      </c>
      <c r="AG391" s="13" t="s">
        <v>2335</v>
      </c>
      <c r="BG391" s="13">
        <v>4.51</v>
      </c>
      <c r="BI391" s="13">
        <v>3.95</v>
      </c>
      <c r="BJ391" s="13">
        <v>6.62</v>
      </c>
      <c r="BR391" s="13">
        <v>2.72</v>
      </c>
      <c r="BT391" s="13">
        <v>1.8</v>
      </c>
      <c r="BU391" s="13">
        <v>3.95</v>
      </c>
      <c r="BX391" s="13" t="s">
        <v>691</v>
      </c>
      <c r="BY391" s="13" t="s">
        <v>2074</v>
      </c>
      <c r="BZ391" s="13" t="s">
        <v>2075</v>
      </c>
      <c r="CA391" s="13">
        <v>2020</v>
      </c>
      <c r="CB391" s="13" t="s">
        <v>2181</v>
      </c>
      <c r="CC391" s="13" t="s">
        <v>1132</v>
      </c>
      <c r="CD391" s="13">
        <v>409</v>
      </c>
      <c r="CF391" s="13" t="s">
        <v>2180</v>
      </c>
      <c r="CG391" s="13" t="s">
        <v>2076</v>
      </c>
    </row>
    <row r="392" spans="1:85">
      <c r="A392" s="13" t="s">
        <v>2036</v>
      </c>
      <c r="B392" s="13" t="s">
        <v>2036</v>
      </c>
      <c r="C392" s="14" t="s">
        <v>2077</v>
      </c>
      <c r="D392" s="14" t="s">
        <v>827</v>
      </c>
      <c r="E392" s="13" t="s">
        <v>630</v>
      </c>
      <c r="F392" s="13" t="s">
        <v>1037</v>
      </c>
      <c r="G392" s="13" t="s">
        <v>674</v>
      </c>
      <c r="H392" s="13" t="s">
        <v>2587</v>
      </c>
      <c r="J392" s="13" t="s">
        <v>629</v>
      </c>
      <c r="K392" s="14" t="s">
        <v>4051</v>
      </c>
      <c r="L392" s="13" t="s">
        <v>2588</v>
      </c>
      <c r="M392" s="13" t="s">
        <v>2589</v>
      </c>
      <c r="R392" s="13">
        <v>32</v>
      </c>
      <c r="S392" s="13">
        <v>31</v>
      </c>
      <c r="AG392" s="13" t="s">
        <v>2335</v>
      </c>
      <c r="BG392" s="13">
        <v>0.30599999999999999</v>
      </c>
      <c r="BI392" s="13">
        <v>0.13400000000000001</v>
      </c>
      <c r="BJ392" s="13">
        <v>0.55400000000000005</v>
      </c>
      <c r="BR392" s="13">
        <v>0.25600000000000001</v>
      </c>
      <c r="BT392" s="13">
        <v>0.13800000000000001</v>
      </c>
      <c r="BU392" s="13">
        <v>0.52300000000000002</v>
      </c>
      <c r="BX392" s="13">
        <v>0.58899999999999997</v>
      </c>
      <c r="BY392" s="13" t="s">
        <v>2074</v>
      </c>
      <c r="BZ392" s="13" t="s">
        <v>2075</v>
      </c>
      <c r="CA392" s="13">
        <v>2020</v>
      </c>
      <c r="CB392" s="13" t="s">
        <v>2181</v>
      </c>
      <c r="CC392" s="13" t="s">
        <v>1132</v>
      </c>
      <c r="CD392" s="13">
        <v>409</v>
      </c>
      <c r="CF392" s="13" t="s">
        <v>2180</v>
      </c>
      <c r="CG392" s="13" t="s">
        <v>2076</v>
      </c>
    </row>
    <row r="393" spans="1:85">
      <c r="A393" s="13" t="s">
        <v>2036</v>
      </c>
      <c r="B393" s="13" t="s">
        <v>2036</v>
      </c>
      <c r="C393" s="14" t="s">
        <v>2077</v>
      </c>
      <c r="D393" s="14" t="s">
        <v>827</v>
      </c>
      <c r="E393" s="13" t="s">
        <v>630</v>
      </c>
      <c r="F393" s="13" t="s">
        <v>1037</v>
      </c>
      <c r="G393" s="13" t="s">
        <v>674</v>
      </c>
      <c r="H393" s="13" t="s">
        <v>2590</v>
      </c>
      <c r="J393" s="13" t="s">
        <v>629</v>
      </c>
      <c r="K393" s="14" t="s">
        <v>4051</v>
      </c>
      <c r="L393" s="13" t="s">
        <v>2588</v>
      </c>
      <c r="M393" s="13" t="s">
        <v>2589</v>
      </c>
      <c r="R393" s="13">
        <v>32</v>
      </c>
      <c r="S393" s="13">
        <v>31</v>
      </c>
      <c r="AG393" s="13" t="s">
        <v>2335</v>
      </c>
      <c r="BG393" s="13">
        <v>1.94</v>
      </c>
      <c r="BI393" s="13">
        <v>1.1299999999999999</v>
      </c>
      <c r="BJ393" s="13">
        <v>4.32</v>
      </c>
      <c r="BR393" s="13">
        <v>2.7429999999999999</v>
      </c>
      <c r="BT393" s="13">
        <v>0.53300000000000003</v>
      </c>
      <c r="BU393" s="13">
        <v>6.1219999999999999</v>
      </c>
      <c r="BX393" s="13">
        <v>0.995</v>
      </c>
      <c r="BY393" s="13" t="s">
        <v>2074</v>
      </c>
      <c r="BZ393" s="13" t="s">
        <v>2075</v>
      </c>
      <c r="CA393" s="13">
        <v>2020</v>
      </c>
      <c r="CB393" s="13" t="s">
        <v>2181</v>
      </c>
      <c r="CC393" s="13" t="s">
        <v>1132</v>
      </c>
      <c r="CD393" s="13">
        <v>409</v>
      </c>
      <c r="CF393" s="13" t="s">
        <v>2180</v>
      </c>
      <c r="CG393" s="13" t="s">
        <v>2076</v>
      </c>
    </row>
    <row r="394" spans="1:85">
      <c r="A394" s="13" t="s">
        <v>1765</v>
      </c>
      <c r="C394" s="13" t="s">
        <v>323</v>
      </c>
      <c r="D394" s="13" t="s">
        <v>898</v>
      </c>
      <c r="E394" s="13" t="s">
        <v>774</v>
      </c>
      <c r="F394" s="13" t="s">
        <v>1072</v>
      </c>
      <c r="G394" s="13" t="s">
        <v>674</v>
      </c>
      <c r="H394" s="13" t="s">
        <v>684</v>
      </c>
      <c r="I394" s="13" t="s">
        <v>3648</v>
      </c>
      <c r="J394" s="13" t="s">
        <v>584</v>
      </c>
      <c r="K394" s="13" t="s">
        <v>3649</v>
      </c>
      <c r="L394" s="13" t="s">
        <v>1972</v>
      </c>
      <c r="M394" s="13" t="s">
        <v>1071</v>
      </c>
      <c r="N394" s="13">
        <v>23</v>
      </c>
      <c r="O394" s="2">
        <f t="shared" ref="O394:O422" si="44">N394/R394</f>
        <v>0.57499999999999996</v>
      </c>
      <c r="P394" s="13">
        <v>19</v>
      </c>
      <c r="Q394" s="17">
        <f t="shared" ref="Q394:Q421" si="45">P394/S394</f>
        <v>0.6785714285714286</v>
      </c>
      <c r="R394" s="13">
        <v>40</v>
      </c>
      <c r="S394" s="13">
        <v>28</v>
      </c>
      <c r="W394" s="13">
        <v>62</v>
      </c>
      <c r="X394" s="13">
        <v>9.1</v>
      </c>
      <c r="AB394" s="13">
        <v>59.3</v>
      </c>
      <c r="AC394" s="13">
        <v>8.8000000000000007</v>
      </c>
      <c r="AJ394" s="13">
        <v>100</v>
      </c>
      <c r="AM394" s="13">
        <v>100</v>
      </c>
      <c r="AP394" s="13">
        <v>1</v>
      </c>
      <c r="BY394" s="13" t="s">
        <v>319</v>
      </c>
      <c r="BZ394" s="13" t="s">
        <v>320</v>
      </c>
      <c r="CA394" s="13">
        <v>2023</v>
      </c>
      <c r="CB394" s="13" t="s">
        <v>188</v>
      </c>
      <c r="CC394" s="13" t="s">
        <v>300</v>
      </c>
      <c r="CD394" s="13">
        <v>67</v>
      </c>
      <c r="CE394" s="13">
        <v>4</v>
      </c>
      <c r="CF394" s="13" t="s">
        <v>321</v>
      </c>
      <c r="CG394" s="13" t="s">
        <v>322</v>
      </c>
    </row>
    <row r="395" spans="1:85">
      <c r="A395" s="13" t="s">
        <v>1713</v>
      </c>
      <c r="C395" s="13" t="s">
        <v>327</v>
      </c>
      <c r="D395" s="13" t="s">
        <v>831</v>
      </c>
      <c r="E395" s="13" t="s">
        <v>630</v>
      </c>
      <c r="F395" s="13" t="s">
        <v>896</v>
      </c>
      <c r="G395" s="13" t="s">
        <v>674</v>
      </c>
      <c r="H395" s="13" t="s">
        <v>897</v>
      </c>
      <c r="J395" s="13" t="s">
        <v>3634</v>
      </c>
      <c r="K395" s="14" t="s">
        <v>3635</v>
      </c>
      <c r="L395" s="13" t="s">
        <v>1970</v>
      </c>
      <c r="N395" s="13">
        <v>46</v>
      </c>
      <c r="O395" s="2">
        <f t="shared" si="44"/>
        <v>0.56097560975609762</v>
      </c>
      <c r="P395" s="13">
        <v>10</v>
      </c>
      <c r="Q395" s="17">
        <f t="shared" si="45"/>
        <v>0.34482758620689657</v>
      </c>
      <c r="R395" s="13">
        <v>82</v>
      </c>
      <c r="S395" s="13">
        <v>29</v>
      </c>
      <c r="BY395" s="13" t="s">
        <v>324</v>
      </c>
      <c r="BZ395" s="13" t="s">
        <v>325</v>
      </c>
      <c r="CA395" s="13">
        <v>2019</v>
      </c>
      <c r="CB395" s="21">
        <v>45365</v>
      </c>
      <c r="CC395" s="13" t="s">
        <v>61</v>
      </c>
      <c r="CD395" s="13">
        <v>9</v>
      </c>
      <c r="CE395" s="13">
        <v>1</v>
      </c>
      <c r="CF395" s="13">
        <v>4478</v>
      </c>
      <c r="CG395" s="13" t="s">
        <v>326</v>
      </c>
    </row>
    <row r="396" spans="1:85">
      <c r="A396" s="13" t="s">
        <v>1716</v>
      </c>
      <c r="B396" s="13" t="s">
        <v>2123</v>
      </c>
      <c r="C396" s="13" t="s">
        <v>1993</v>
      </c>
      <c r="D396" s="13" t="s">
        <v>898</v>
      </c>
      <c r="E396" s="13" t="s">
        <v>657</v>
      </c>
      <c r="F396" s="13" t="s">
        <v>911</v>
      </c>
      <c r="G396" s="13" t="s">
        <v>672</v>
      </c>
      <c r="H396" s="13" t="s">
        <v>757</v>
      </c>
      <c r="J396" s="13" t="s">
        <v>712</v>
      </c>
      <c r="K396" s="13" t="s">
        <v>4088</v>
      </c>
      <c r="L396" s="13" t="s">
        <v>652</v>
      </c>
      <c r="N396" s="13">
        <v>16</v>
      </c>
      <c r="O396" s="2">
        <f t="shared" si="44"/>
        <v>0.8</v>
      </c>
      <c r="P396" s="13">
        <v>15</v>
      </c>
      <c r="Q396" s="17">
        <f t="shared" si="45"/>
        <v>0.75</v>
      </c>
      <c r="R396" s="13">
        <v>20</v>
      </c>
      <c r="S396" s="13">
        <v>20</v>
      </c>
      <c r="W396" s="13">
        <v>49.08</v>
      </c>
      <c r="X396" s="13">
        <v>9.6989999999999998</v>
      </c>
      <c r="AB396" s="13">
        <v>49</v>
      </c>
      <c r="AC396" s="13">
        <v>12.351000000000001</v>
      </c>
      <c r="AG396" s="13" t="s">
        <v>639</v>
      </c>
      <c r="BB396" s="13">
        <v>422.5</v>
      </c>
      <c r="BC396" s="13">
        <f>BD396*SQRT(R396)</f>
        <v>170.388379885484</v>
      </c>
      <c r="BD396" s="13">
        <v>38.1</v>
      </c>
      <c r="BM396" s="13">
        <v>201.2</v>
      </c>
      <c r="BN396" s="13">
        <f>BO396*SQRT(S396)</f>
        <v>98.386991009990751</v>
      </c>
      <c r="BO396" s="13">
        <v>22</v>
      </c>
      <c r="BX396" s="13" t="s">
        <v>701</v>
      </c>
      <c r="BY396" s="13" t="s">
        <v>340</v>
      </c>
      <c r="BZ396" s="13" t="s">
        <v>341</v>
      </c>
      <c r="CA396" s="13">
        <v>2020</v>
      </c>
      <c r="CB396" s="13" t="s">
        <v>119</v>
      </c>
      <c r="CC396" s="13" t="s">
        <v>26</v>
      </c>
      <c r="CD396" s="13">
        <v>7</v>
      </c>
      <c r="CE396" s="13">
        <v>8</v>
      </c>
      <c r="CF396" s="13" t="s">
        <v>342</v>
      </c>
      <c r="CG396" s="13" t="s">
        <v>343</v>
      </c>
    </row>
    <row r="397" spans="1:85">
      <c r="A397" s="13" t="s">
        <v>1716</v>
      </c>
      <c r="B397" s="13" t="s">
        <v>2123</v>
      </c>
      <c r="C397" s="13" t="s">
        <v>1994</v>
      </c>
      <c r="D397" s="13" t="s">
        <v>898</v>
      </c>
      <c r="E397" s="13" t="s">
        <v>657</v>
      </c>
      <c r="F397" s="13" t="s">
        <v>911</v>
      </c>
      <c r="G397" s="13" t="s">
        <v>672</v>
      </c>
      <c r="H397" s="13" t="s">
        <v>757</v>
      </c>
      <c r="J397" s="13" t="s">
        <v>712</v>
      </c>
      <c r="K397" s="13" t="s">
        <v>4088</v>
      </c>
      <c r="L397" s="13" t="s">
        <v>652</v>
      </c>
      <c r="N397" s="13">
        <v>16</v>
      </c>
      <c r="O397" s="2">
        <f t="shared" si="44"/>
        <v>0.69565217391304346</v>
      </c>
      <c r="P397" s="13">
        <v>10</v>
      </c>
      <c r="Q397" s="17">
        <f t="shared" si="45"/>
        <v>0.58823529411764708</v>
      </c>
      <c r="R397" s="13">
        <v>23</v>
      </c>
      <c r="S397" s="13">
        <v>17</v>
      </c>
      <c r="W397" s="13">
        <v>52.7</v>
      </c>
      <c r="X397" s="13">
        <v>10.368</v>
      </c>
      <c r="AB397" s="13">
        <v>47.06</v>
      </c>
      <c r="AC397" s="13">
        <v>15.638</v>
      </c>
      <c r="AG397" s="13" t="s">
        <v>639</v>
      </c>
      <c r="AH397" s="13">
        <v>291.89999999999998</v>
      </c>
      <c r="AJ397" s="13">
        <v>73.91</v>
      </c>
      <c r="AK397" s="13">
        <v>53.53</v>
      </c>
      <c r="AL397" s="13">
        <v>87.45</v>
      </c>
      <c r="AM397" s="13">
        <v>81.25</v>
      </c>
      <c r="AN397" s="13">
        <v>56.99</v>
      </c>
      <c r="AO397" s="13">
        <v>93.41</v>
      </c>
      <c r="AP397" s="13">
        <v>0.82879999999999998</v>
      </c>
      <c r="AR397" s="13">
        <v>0.69779999999999998</v>
      </c>
      <c r="AS397" s="13">
        <v>0.95979999999999999</v>
      </c>
      <c r="BB397" s="13">
        <v>362.8</v>
      </c>
      <c r="BC397" s="13">
        <f>BD397*SQRT(R397)</f>
        <v>84.358676495070725</v>
      </c>
      <c r="BD397" s="13">
        <v>17.59</v>
      </c>
      <c r="BM397" s="13">
        <v>252.2</v>
      </c>
      <c r="BN397" s="13">
        <f>BO397*SQRT(S397)</f>
        <v>79.36978329313996</v>
      </c>
      <c r="BO397" s="13">
        <v>19.25</v>
      </c>
      <c r="BX397" s="13">
        <v>2.0000000000000001E-4</v>
      </c>
      <c r="BY397" s="13" t="s">
        <v>340</v>
      </c>
      <c r="BZ397" s="13" t="s">
        <v>341</v>
      </c>
      <c r="CA397" s="13">
        <v>2020</v>
      </c>
      <c r="CB397" s="13" t="s">
        <v>119</v>
      </c>
      <c r="CC397" s="13" t="s">
        <v>26</v>
      </c>
      <c r="CD397" s="13">
        <v>7</v>
      </c>
      <c r="CE397" s="13">
        <v>8</v>
      </c>
      <c r="CF397" s="13" t="s">
        <v>342</v>
      </c>
      <c r="CG397" s="13" t="s">
        <v>343</v>
      </c>
    </row>
    <row r="398" spans="1:85">
      <c r="A398" s="13" t="s">
        <v>1716</v>
      </c>
      <c r="B398" s="13" t="s">
        <v>2123</v>
      </c>
      <c r="C398" s="13" t="s">
        <v>1994</v>
      </c>
      <c r="D398" s="13" t="s">
        <v>898</v>
      </c>
      <c r="E398" s="13" t="s">
        <v>657</v>
      </c>
      <c r="F398" s="13" t="s">
        <v>911</v>
      </c>
      <c r="G398" s="13" t="s">
        <v>673</v>
      </c>
      <c r="H398" s="13" t="s">
        <v>757</v>
      </c>
      <c r="J398" s="13" t="s">
        <v>712</v>
      </c>
      <c r="K398" s="13" t="s">
        <v>4088</v>
      </c>
      <c r="L398" s="13" t="s">
        <v>652</v>
      </c>
      <c r="N398" s="13">
        <v>51</v>
      </c>
      <c r="O398" s="2">
        <f t="shared" si="44"/>
        <v>0.73913043478260865</v>
      </c>
      <c r="P398" s="13">
        <v>30</v>
      </c>
      <c r="Q398" s="17">
        <f t="shared" si="45"/>
        <v>0.61224489795918369</v>
      </c>
      <c r="R398" s="13">
        <v>69</v>
      </c>
      <c r="S398" s="13">
        <v>49</v>
      </c>
      <c r="W398" s="13">
        <v>53.13</v>
      </c>
      <c r="X398" s="13">
        <v>10.491</v>
      </c>
      <c r="AB398" s="13">
        <v>54.82</v>
      </c>
      <c r="AC398" s="13">
        <v>11.417999999999999</v>
      </c>
      <c r="AG398" s="13" t="s">
        <v>639</v>
      </c>
      <c r="AH398" s="13">
        <v>15.22</v>
      </c>
      <c r="AJ398" s="13">
        <v>61.43</v>
      </c>
      <c r="AK398" s="13">
        <v>49.72</v>
      </c>
      <c r="AL398" s="13">
        <v>71.95</v>
      </c>
      <c r="AM398" s="13">
        <v>79.59</v>
      </c>
      <c r="AN398" s="13">
        <v>66.36</v>
      </c>
      <c r="AO398" s="13">
        <v>88.52</v>
      </c>
      <c r="AP398" s="13">
        <v>0.77090000000000003</v>
      </c>
      <c r="AR398" s="13">
        <v>0.68810000000000004</v>
      </c>
      <c r="AS398" s="13">
        <v>0.85360000000000003</v>
      </c>
      <c r="BB398" s="13">
        <v>24.31</v>
      </c>
      <c r="BC398" s="13">
        <f>BD398*SQRT(R398)</f>
        <v>22.270058576483358</v>
      </c>
      <c r="BD398" s="13">
        <v>2.681</v>
      </c>
      <c r="BM398" s="13">
        <v>10.66</v>
      </c>
      <c r="BN398" s="13">
        <f>BO398*SQRT(S398)</f>
        <v>6.1130999999999993</v>
      </c>
      <c r="BO398" s="13">
        <v>0.87329999999999997</v>
      </c>
      <c r="BX398" s="13" t="s">
        <v>701</v>
      </c>
      <c r="BY398" s="13" t="s">
        <v>340</v>
      </c>
      <c r="BZ398" s="13" t="s">
        <v>341</v>
      </c>
      <c r="CA398" s="13">
        <v>2020</v>
      </c>
      <c r="CB398" s="13" t="s">
        <v>119</v>
      </c>
      <c r="CC398" s="13" t="s">
        <v>26</v>
      </c>
      <c r="CD398" s="13">
        <v>7</v>
      </c>
      <c r="CE398" s="13">
        <v>8</v>
      </c>
      <c r="CF398" s="13" t="s">
        <v>342</v>
      </c>
      <c r="CG398" s="13" t="s">
        <v>343</v>
      </c>
    </row>
    <row r="399" spans="1:85">
      <c r="A399" s="13" t="s">
        <v>1714</v>
      </c>
      <c r="B399" s="13" t="s">
        <v>1853</v>
      </c>
      <c r="C399" s="13" t="s">
        <v>2599</v>
      </c>
      <c r="D399" s="13" t="s">
        <v>898</v>
      </c>
      <c r="E399" s="13" t="s">
        <v>657</v>
      </c>
      <c r="F399" s="13" t="s">
        <v>899</v>
      </c>
      <c r="G399" s="13" t="s">
        <v>672</v>
      </c>
      <c r="H399" s="13" t="s">
        <v>900</v>
      </c>
      <c r="J399" s="13" t="s">
        <v>712</v>
      </c>
      <c r="K399" s="13" t="s">
        <v>4073</v>
      </c>
      <c r="L399" s="13" t="s">
        <v>902</v>
      </c>
      <c r="N399" s="13">
        <v>62</v>
      </c>
      <c r="O399" s="2">
        <f t="shared" si="44"/>
        <v>0.54867256637168138</v>
      </c>
      <c r="P399" s="13">
        <v>15</v>
      </c>
      <c r="Q399" s="17">
        <f t="shared" si="45"/>
        <v>0.375</v>
      </c>
      <c r="R399" s="13">
        <v>113</v>
      </c>
      <c r="S399" s="13">
        <v>40</v>
      </c>
      <c r="W399" s="13">
        <v>49.74</v>
      </c>
      <c r="X399" s="13">
        <v>11.14</v>
      </c>
      <c r="AB399" s="13">
        <v>44.45</v>
      </c>
      <c r="AC399" s="13">
        <v>19.62</v>
      </c>
      <c r="AG399" s="13" t="s">
        <v>901</v>
      </c>
      <c r="BG399" s="13">
        <v>0.22</v>
      </c>
      <c r="BH399" s="13">
        <v>0.04</v>
      </c>
      <c r="BR399" s="13">
        <v>0.18</v>
      </c>
      <c r="BS399" s="13">
        <v>0.3</v>
      </c>
      <c r="BX399" s="13">
        <v>0.318</v>
      </c>
      <c r="BY399" s="13" t="s">
        <v>328</v>
      </c>
      <c r="BZ399" s="13" t="s">
        <v>329</v>
      </c>
      <c r="CA399" s="13">
        <v>2022</v>
      </c>
      <c r="CB399" s="13" t="s">
        <v>330</v>
      </c>
      <c r="CC399" s="13" t="s">
        <v>331</v>
      </c>
      <c r="CD399" s="13">
        <v>43</v>
      </c>
      <c r="CE399" s="13">
        <v>5</v>
      </c>
      <c r="CF399" s="13" t="s">
        <v>332</v>
      </c>
      <c r="CG399" s="13" t="s">
        <v>333</v>
      </c>
    </row>
    <row r="400" spans="1:85">
      <c r="A400" s="13" t="s">
        <v>1714</v>
      </c>
      <c r="B400" s="13" t="s">
        <v>1853</v>
      </c>
      <c r="C400" s="13" t="s">
        <v>2599</v>
      </c>
      <c r="D400" s="13" t="s">
        <v>898</v>
      </c>
      <c r="E400" s="13" t="s">
        <v>657</v>
      </c>
      <c r="F400" s="13" t="s">
        <v>899</v>
      </c>
      <c r="G400" s="13" t="s">
        <v>672</v>
      </c>
      <c r="H400" s="13" t="s">
        <v>578</v>
      </c>
      <c r="J400" s="13" t="s">
        <v>712</v>
      </c>
      <c r="K400" s="13" t="s">
        <v>4073</v>
      </c>
      <c r="L400" s="13" t="s">
        <v>902</v>
      </c>
      <c r="N400" s="13">
        <v>62</v>
      </c>
      <c r="O400" s="2">
        <f t="shared" si="44"/>
        <v>0.54867256637168138</v>
      </c>
      <c r="P400" s="13">
        <v>15</v>
      </c>
      <c r="Q400" s="17">
        <f t="shared" si="45"/>
        <v>0.375</v>
      </c>
      <c r="R400" s="13">
        <v>113</v>
      </c>
      <c r="S400" s="13">
        <v>40</v>
      </c>
      <c r="W400" s="13">
        <v>49.74</v>
      </c>
      <c r="X400" s="13">
        <v>11.14</v>
      </c>
      <c r="AB400" s="13">
        <v>44.45</v>
      </c>
      <c r="AC400" s="13">
        <v>19.62</v>
      </c>
      <c r="AG400" s="13" t="s">
        <v>903</v>
      </c>
      <c r="BG400" s="13">
        <v>0.44</v>
      </c>
      <c r="BH400" s="13">
        <v>0.17</v>
      </c>
      <c r="BR400" s="13">
        <v>0.32</v>
      </c>
      <c r="BS400" s="13">
        <v>0.11</v>
      </c>
      <c r="BX400" s="13" t="s">
        <v>635</v>
      </c>
      <c r="BY400" s="13" t="s">
        <v>328</v>
      </c>
      <c r="BZ400" s="13" t="s">
        <v>329</v>
      </c>
      <c r="CA400" s="13">
        <v>2022</v>
      </c>
      <c r="CB400" s="13" t="s">
        <v>330</v>
      </c>
      <c r="CC400" s="13" t="s">
        <v>331</v>
      </c>
      <c r="CD400" s="13">
        <v>43</v>
      </c>
      <c r="CE400" s="13">
        <v>5</v>
      </c>
      <c r="CF400" s="13" t="s">
        <v>332</v>
      </c>
      <c r="CG400" s="13" t="s">
        <v>333</v>
      </c>
    </row>
    <row r="401" spans="1:85">
      <c r="A401" s="13" t="s">
        <v>1714</v>
      </c>
      <c r="B401" s="13" t="s">
        <v>1853</v>
      </c>
      <c r="C401" s="13" t="s">
        <v>2599</v>
      </c>
      <c r="D401" s="13" t="s">
        <v>898</v>
      </c>
      <c r="E401" s="13" t="s">
        <v>657</v>
      </c>
      <c r="F401" s="13" t="s">
        <v>899</v>
      </c>
      <c r="G401" s="13" t="s">
        <v>672</v>
      </c>
      <c r="H401" s="13" t="s">
        <v>904</v>
      </c>
      <c r="J401" s="13" t="s">
        <v>712</v>
      </c>
      <c r="K401" s="13" t="s">
        <v>4073</v>
      </c>
      <c r="L401" s="13" t="s">
        <v>902</v>
      </c>
      <c r="N401" s="13">
        <v>62</v>
      </c>
      <c r="O401" s="2">
        <f t="shared" si="44"/>
        <v>0.54867256637168138</v>
      </c>
      <c r="P401" s="13">
        <v>15</v>
      </c>
      <c r="Q401" s="17">
        <f t="shared" si="45"/>
        <v>0.375</v>
      </c>
      <c r="R401" s="13">
        <v>113</v>
      </c>
      <c r="S401" s="13">
        <v>40</v>
      </c>
      <c r="W401" s="13">
        <v>49.74</v>
      </c>
      <c r="X401" s="13">
        <v>11.14</v>
      </c>
      <c r="AB401" s="13">
        <v>44.45</v>
      </c>
      <c r="AC401" s="13">
        <v>19.62</v>
      </c>
      <c r="AG401" s="13" t="s">
        <v>905</v>
      </c>
      <c r="BG401" s="13">
        <v>5.96</v>
      </c>
      <c r="BH401" s="13">
        <v>3.26</v>
      </c>
      <c r="BR401" s="13">
        <v>3.74</v>
      </c>
      <c r="BS401" s="13">
        <v>2.16</v>
      </c>
      <c r="BX401" s="13" t="s">
        <v>635</v>
      </c>
      <c r="BY401" s="13" t="s">
        <v>328</v>
      </c>
      <c r="BZ401" s="13" t="s">
        <v>329</v>
      </c>
      <c r="CA401" s="13">
        <v>2022</v>
      </c>
      <c r="CB401" s="13" t="s">
        <v>330</v>
      </c>
      <c r="CC401" s="13" t="s">
        <v>331</v>
      </c>
      <c r="CD401" s="13">
        <v>43</v>
      </c>
      <c r="CE401" s="13">
        <v>5</v>
      </c>
      <c r="CF401" s="13" t="s">
        <v>332</v>
      </c>
      <c r="CG401" s="13" t="s">
        <v>333</v>
      </c>
    </row>
    <row r="402" spans="1:85">
      <c r="A402" s="13" t="s">
        <v>1714</v>
      </c>
      <c r="B402" s="13" t="s">
        <v>1853</v>
      </c>
      <c r="C402" s="13" t="s">
        <v>2599</v>
      </c>
      <c r="D402" s="13" t="s">
        <v>898</v>
      </c>
      <c r="E402" s="13" t="s">
        <v>657</v>
      </c>
      <c r="F402" s="13" t="s">
        <v>899</v>
      </c>
      <c r="G402" s="13" t="s">
        <v>672</v>
      </c>
      <c r="H402" s="13" t="s">
        <v>906</v>
      </c>
      <c r="J402" s="13" t="s">
        <v>712</v>
      </c>
      <c r="K402" s="13" t="s">
        <v>4073</v>
      </c>
      <c r="L402" s="13" t="s">
        <v>902</v>
      </c>
      <c r="N402" s="13">
        <v>62</v>
      </c>
      <c r="O402" s="2">
        <f t="shared" si="44"/>
        <v>0.54867256637168138</v>
      </c>
      <c r="P402" s="13">
        <v>15</v>
      </c>
      <c r="Q402" s="17">
        <f t="shared" si="45"/>
        <v>0.375</v>
      </c>
      <c r="R402" s="13">
        <v>113</v>
      </c>
      <c r="S402" s="13">
        <v>40</v>
      </c>
      <c r="W402" s="13">
        <v>49.74</v>
      </c>
      <c r="X402" s="13">
        <v>11.14</v>
      </c>
      <c r="AB402" s="13">
        <v>44.45</v>
      </c>
      <c r="AC402" s="13">
        <v>19.62</v>
      </c>
      <c r="AG402" s="13" t="s">
        <v>905</v>
      </c>
      <c r="BG402" s="13">
        <v>2.57</v>
      </c>
      <c r="BH402" s="13">
        <v>1.66</v>
      </c>
      <c r="BR402" s="13">
        <v>1.79</v>
      </c>
      <c r="BS402" s="13">
        <v>0.95</v>
      </c>
      <c r="BX402" s="13" t="s">
        <v>635</v>
      </c>
      <c r="BY402" s="13" t="s">
        <v>328</v>
      </c>
      <c r="BZ402" s="13" t="s">
        <v>329</v>
      </c>
      <c r="CA402" s="13">
        <v>2022</v>
      </c>
      <c r="CB402" s="13" t="s">
        <v>330</v>
      </c>
      <c r="CC402" s="13" t="s">
        <v>331</v>
      </c>
      <c r="CD402" s="13">
        <v>43</v>
      </c>
      <c r="CE402" s="13">
        <v>5</v>
      </c>
      <c r="CF402" s="13" t="s">
        <v>332</v>
      </c>
      <c r="CG402" s="13" t="s">
        <v>333</v>
      </c>
    </row>
    <row r="403" spans="1:85">
      <c r="A403" s="13" t="s">
        <v>1714</v>
      </c>
      <c r="B403" s="13" t="s">
        <v>1853</v>
      </c>
      <c r="C403" s="13" t="s">
        <v>2599</v>
      </c>
      <c r="D403" s="13" t="s">
        <v>898</v>
      </c>
      <c r="E403" s="13" t="s">
        <v>907</v>
      </c>
      <c r="F403" s="13" t="s">
        <v>908</v>
      </c>
      <c r="G403" s="13" t="s">
        <v>672</v>
      </c>
      <c r="H403" s="13" t="s">
        <v>900</v>
      </c>
      <c r="J403" s="13" t="s">
        <v>712</v>
      </c>
      <c r="K403" s="13" t="s">
        <v>4073</v>
      </c>
      <c r="L403" s="13" t="s">
        <v>902</v>
      </c>
      <c r="N403" s="13">
        <v>62</v>
      </c>
      <c r="O403" s="2">
        <f t="shared" si="44"/>
        <v>0.54867256637168138</v>
      </c>
      <c r="P403" s="13">
        <v>6</v>
      </c>
      <c r="Q403" s="17">
        <f t="shared" si="45"/>
        <v>0.5</v>
      </c>
      <c r="R403" s="13">
        <v>113</v>
      </c>
      <c r="S403" s="13">
        <v>12</v>
      </c>
      <c r="W403" s="13">
        <v>49.74</v>
      </c>
      <c r="X403" s="13">
        <v>11.14</v>
      </c>
      <c r="AB403" s="13">
        <v>55.17</v>
      </c>
      <c r="AC403" s="13">
        <v>7.3</v>
      </c>
      <c r="AG403" s="13" t="s">
        <v>905</v>
      </c>
      <c r="AH403" s="13">
        <v>0.23499999999999999</v>
      </c>
      <c r="AJ403" s="13">
        <v>87.5</v>
      </c>
      <c r="AM403" s="13">
        <v>59.2</v>
      </c>
      <c r="AP403" s="13">
        <v>0.71499999999999997</v>
      </c>
      <c r="AR403" s="13">
        <v>0.61399999999999999</v>
      </c>
      <c r="AS403" s="13">
        <f>AP403+0.101</f>
        <v>0.81599999999999995</v>
      </c>
      <c r="BG403" s="13">
        <v>0.18</v>
      </c>
      <c r="BH403" s="13">
        <v>0.09</v>
      </c>
      <c r="BR403" s="13">
        <v>0.54</v>
      </c>
      <c r="BS403" s="13">
        <v>0.6</v>
      </c>
      <c r="BX403" s="13">
        <v>4.5999999999999999E-2</v>
      </c>
      <c r="BY403" s="13" t="s">
        <v>328</v>
      </c>
      <c r="BZ403" s="13" t="s">
        <v>329</v>
      </c>
      <c r="CA403" s="13">
        <v>2022</v>
      </c>
      <c r="CB403" s="13" t="s">
        <v>330</v>
      </c>
      <c r="CC403" s="13" t="s">
        <v>331</v>
      </c>
      <c r="CD403" s="13">
        <v>43</v>
      </c>
      <c r="CE403" s="13">
        <v>5</v>
      </c>
      <c r="CF403" s="13" t="s">
        <v>332</v>
      </c>
      <c r="CG403" s="13" t="s">
        <v>333</v>
      </c>
    </row>
    <row r="404" spans="1:85">
      <c r="A404" s="13" t="s">
        <v>1854</v>
      </c>
      <c r="B404" s="13" t="s">
        <v>1854</v>
      </c>
      <c r="C404" s="14" t="s">
        <v>2600</v>
      </c>
      <c r="D404" s="14" t="s">
        <v>831</v>
      </c>
      <c r="E404" s="13" t="s">
        <v>630</v>
      </c>
      <c r="F404" s="13" t="s">
        <v>2606</v>
      </c>
      <c r="G404" s="13" t="s">
        <v>673</v>
      </c>
      <c r="H404" s="13" t="s">
        <v>2608</v>
      </c>
      <c r="J404" s="13" t="s">
        <v>712</v>
      </c>
      <c r="K404" s="13" t="s">
        <v>3124</v>
      </c>
      <c r="L404" s="13" t="s">
        <v>2607</v>
      </c>
      <c r="M404" s="13" t="s">
        <v>2598</v>
      </c>
      <c r="N404" s="13">
        <v>29</v>
      </c>
      <c r="O404" s="2">
        <f t="shared" si="44"/>
        <v>0.55769230769230771</v>
      </c>
      <c r="P404" s="13">
        <v>9</v>
      </c>
      <c r="Q404" s="17">
        <f t="shared" si="45"/>
        <v>0.375</v>
      </c>
      <c r="R404" s="13">
        <v>52</v>
      </c>
      <c r="S404" s="13">
        <v>24</v>
      </c>
      <c r="T404" s="13">
        <v>6</v>
      </c>
      <c r="V404" s="13">
        <v>6</v>
      </c>
      <c r="W404" s="13">
        <v>50.4</v>
      </c>
      <c r="X404" s="13">
        <v>10.9</v>
      </c>
      <c r="AB404" s="13">
        <v>47.17</v>
      </c>
      <c r="AC404" s="13">
        <v>9.5</v>
      </c>
      <c r="AG404" s="13" t="s">
        <v>639</v>
      </c>
      <c r="BG404" s="13">
        <v>4945.8</v>
      </c>
      <c r="BI404" s="13">
        <v>4579.8</v>
      </c>
      <c r="BJ404" s="13">
        <v>5194.8999999999996</v>
      </c>
      <c r="BR404" s="13">
        <v>4417.5</v>
      </c>
      <c r="BT404" s="13">
        <v>3488.5</v>
      </c>
      <c r="BU404" s="13">
        <v>5064.1000000000004</v>
      </c>
      <c r="BX404" s="13">
        <v>7.0000000000000001E-3</v>
      </c>
      <c r="BY404" s="13" t="s">
        <v>1342</v>
      </c>
      <c r="BZ404" s="13" t="s">
        <v>1343</v>
      </c>
      <c r="CA404" s="13">
        <v>2022</v>
      </c>
      <c r="CB404" s="13" t="s">
        <v>53</v>
      </c>
      <c r="CC404" s="13" t="s">
        <v>26</v>
      </c>
      <c r="CD404" s="13">
        <v>9</v>
      </c>
      <c r="CE404" s="13">
        <v>7</v>
      </c>
      <c r="CF404" s="13" t="s">
        <v>1344</v>
      </c>
      <c r="CG404" s="13" t="s">
        <v>1345</v>
      </c>
    </row>
    <row r="405" spans="1:85">
      <c r="A405" s="13" t="s">
        <v>1854</v>
      </c>
      <c r="B405" s="13" t="s">
        <v>1854</v>
      </c>
      <c r="C405" s="14" t="s">
        <v>2600</v>
      </c>
      <c r="D405" s="14" t="s">
        <v>831</v>
      </c>
      <c r="E405" s="13" t="s">
        <v>630</v>
      </c>
      <c r="F405" s="13" t="s">
        <v>2606</v>
      </c>
      <c r="G405" s="13" t="s">
        <v>673</v>
      </c>
      <c r="H405" s="13" t="s">
        <v>2609</v>
      </c>
      <c r="J405" s="13" t="s">
        <v>712</v>
      </c>
      <c r="K405" s="13" t="s">
        <v>3124</v>
      </c>
      <c r="L405" s="13" t="s">
        <v>2607</v>
      </c>
      <c r="M405" s="13" t="s">
        <v>2598</v>
      </c>
      <c r="N405" s="13">
        <v>29</v>
      </c>
      <c r="O405" s="2">
        <f t="shared" si="44"/>
        <v>0.55769230769230771</v>
      </c>
      <c r="P405" s="13">
        <v>9</v>
      </c>
      <c r="Q405" s="17">
        <f t="shared" si="45"/>
        <v>0.375</v>
      </c>
      <c r="R405" s="13">
        <v>52</v>
      </c>
      <c r="S405" s="13">
        <v>24</v>
      </c>
      <c r="T405" s="13">
        <v>6</v>
      </c>
      <c r="V405" s="13">
        <v>6</v>
      </c>
      <c r="W405" s="13">
        <v>50.4</v>
      </c>
      <c r="X405" s="13">
        <v>10.9</v>
      </c>
      <c r="AB405" s="13">
        <v>47.17</v>
      </c>
      <c r="AC405" s="13">
        <v>9.5</v>
      </c>
      <c r="AG405" s="13" t="s">
        <v>639</v>
      </c>
      <c r="BG405" s="13">
        <v>305.5</v>
      </c>
      <c r="BI405" s="13">
        <v>157.4</v>
      </c>
      <c r="BJ405" s="13">
        <v>1853.8</v>
      </c>
      <c r="BR405" s="13">
        <v>115</v>
      </c>
      <c r="BT405" s="13">
        <v>87</v>
      </c>
      <c r="BU405" s="13">
        <v>218</v>
      </c>
      <c r="BX405" s="13" t="s">
        <v>1027</v>
      </c>
      <c r="BY405" s="13" t="s">
        <v>1342</v>
      </c>
      <c r="BZ405" s="13" t="s">
        <v>1343</v>
      </c>
      <c r="CA405" s="13">
        <v>2022</v>
      </c>
      <c r="CB405" s="13" t="s">
        <v>53</v>
      </c>
      <c r="CC405" s="13" t="s">
        <v>26</v>
      </c>
      <c r="CD405" s="13">
        <v>9</v>
      </c>
      <c r="CE405" s="13">
        <v>7</v>
      </c>
      <c r="CF405" s="13" t="s">
        <v>1344</v>
      </c>
      <c r="CG405" s="13" t="s">
        <v>1345</v>
      </c>
    </row>
    <row r="406" spans="1:85">
      <c r="A406" s="13" t="s">
        <v>1854</v>
      </c>
      <c r="B406" s="13" t="s">
        <v>1854</v>
      </c>
      <c r="C406" s="14" t="s">
        <v>2600</v>
      </c>
      <c r="D406" s="14" t="s">
        <v>831</v>
      </c>
      <c r="E406" s="13" t="s">
        <v>630</v>
      </c>
      <c r="F406" s="13" t="s">
        <v>2606</v>
      </c>
      <c r="G406" s="13" t="s">
        <v>673</v>
      </c>
      <c r="H406" s="13" t="s">
        <v>2610</v>
      </c>
      <c r="J406" s="13" t="s">
        <v>712</v>
      </c>
      <c r="K406" s="13" t="s">
        <v>3124</v>
      </c>
      <c r="L406" s="13" t="s">
        <v>2607</v>
      </c>
      <c r="M406" s="13" t="s">
        <v>2598</v>
      </c>
      <c r="N406" s="13">
        <v>29</v>
      </c>
      <c r="O406" s="2">
        <f t="shared" si="44"/>
        <v>0.55769230769230771</v>
      </c>
      <c r="P406" s="13">
        <v>9</v>
      </c>
      <c r="Q406" s="17">
        <f t="shared" si="45"/>
        <v>0.375</v>
      </c>
      <c r="R406" s="13">
        <v>52</v>
      </c>
      <c r="S406" s="13">
        <v>24</v>
      </c>
      <c r="T406" s="13">
        <v>6</v>
      </c>
      <c r="V406" s="13">
        <v>6</v>
      </c>
      <c r="W406" s="13">
        <v>50.4</v>
      </c>
      <c r="X406" s="13">
        <v>10.9</v>
      </c>
      <c r="AB406" s="13">
        <v>47.17</v>
      </c>
      <c r="AC406" s="13">
        <v>9.5</v>
      </c>
      <c r="AG406" s="13" t="s">
        <v>639</v>
      </c>
      <c r="BG406" s="13">
        <v>2167.8000000000002</v>
      </c>
      <c r="BI406" s="13">
        <v>1493.6</v>
      </c>
      <c r="BJ406" s="13">
        <v>3454.8</v>
      </c>
      <c r="BR406" s="13">
        <v>1395</v>
      </c>
      <c r="BT406" s="13">
        <v>818.8</v>
      </c>
      <c r="BU406" s="13">
        <v>2443.9</v>
      </c>
      <c r="BX406" s="13">
        <v>1.2E-2</v>
      </c>
      <c r="BY406" s="13" t="s">
        <v>1342</v>
      </c>
      <c r="BZ406" s="13" t="s">
        <v>1343</v>
      </c>
      <c r="CA406" s="13">
        <v>2022</v>
      </c>
      <c r="CB406" s="13" t="s">
        <v>53</v>
      </c>
      <c r="CC406" s="13" t="s">
        <v>26</v>
      </c>
      <c r="CD406" s="13">
        <v>9</v>
      </c>
      <c r="CE406" s="13">
        <v>7</v>
      </c>
      <c r="CF406" s="13" t="s">
        <v>1344</v>
      </c>
      <c r="CG406" s="13" t="s">
        <v>1345</v>
      </c>
    </row>
    <row r="407" spans="1:85">
      <c r="A407" s="13" t="s">
        <v>1854</v>
      </c>
      <c r="B407" s="13" t="s">
        <v>1854</v>
      </c>
      <c r="C407" s="14" t="s">
        <v>2600</v>
      </c>
      <c r="D407" s="14" t="s">
        <v>831</v>
      </c>
      <c r="E407" s="13" t="s">
        <v>630</v>
      </c>
      <c r="F407" s="13" t="s">
        <v>2606</v>
      </c>
      <c r="G407" s="13" t="s">
        <v>673</v>
      </c>
      <c r="H407" s="13" t="s">
        <v>2499</v>
      </c>
      <c r="J407" s="13" t="s">
        <v>712</v>
      </c>
      <c r="K407" s="13" t="s">
        <v>3124</v>
      </c>
      <c r="L407" s="13" t="s">
        <v>2607</v>
      </c>
      <c r="M407" s="13" t="s">
        <v>2598</v>
      </c>
      <c r="N407" s="13">
        <v>29</v>
      </c>
      <c r="O407" s="2">
        <f t="shared" si="44"/>
        <v>0.55769230769230771</v>
      </c>
      <c r="P407" s="13">
        <v>9</v>
      </c>
      <c r="Q407" s="17">
        <f t="shared" si="45"/>
        <v>0.375</v>
      </c>
      <c r="R407" s="13">
        <v>52</v>
      </c>
      <c r="S407" s="13">
        <v>24</v>
      </c>
      <c r="T407" s="13">
        <v>6</v>
      </c>
      <c r="V407" s="13">
        <v>6</v>
      </c>
      <c r="W407" s="13">
        <v>50.4</v>
      </c>
      <c r="X407" s="13">
        <v>10.9</v>
      </c>
      <c r="AB407" s="13">
        <v>47.17</v>
      </c>
      <c r="AC407" s="13">
        <v>9.5</v>
      </c>
      <c r="AG407" s="13" t="s">
        <v>639</v>
      </c>
      <c r="BG407" s="13">
        <v>784.5</v>
      </c>
      <c r="BI407" s="13">
        <v>463.5</v>
      </c>
      <c r="BJ407" s="13">
        <v>1025.9000000000001</v>
      </c>
      <c r="BR407" s="13">
        <v>819.5</v>
      </c>
      <c r="BT407" s="13">
        <v>555.4</v>
      </c>
      <c r="BU407" s="13">
        <v>1055.4000000000001</v>
      </c>
      <c r="BX407" s="13">
        <v>0.53100000000000003</v>
      </c>
      <c r="BY407" s="13" t="s">
        <v>1342</v>
      </c>
      <c r="BZ407" s="13" t="s">
        <v>1343</v>
      </c>
      <c r="CA407" s="13">
        <v>2022</v>
      </c>
      <c r="CB407" s="13" t="s">
        <v>53</v>
      </c>
      <c r="CC407" s="13" t="s">
        <v>26</v>
      </c>
      <c r="CD407" s="13">
        <v>9</v>
      </c>
      <c r="CE407" s="13">
        <v>7</v>
      </c>
      <c r="CF407" s="13" t="s">
        <v>1344</v>
      </c>
      <c r="CG407" s="13" t="s">
        <v>1345</v>
      </c>
    </row>
    <row r="408" spans="1:85">
      <c r="A408" s="13" t="s">
        <v>1854</v>
      </c>
      <c r="B408" s="13" t="s">
        <v>1854</v>
      </c>
      <c r="C408" s="14" t="s">
        <v>2600</v>
      </c>
      <c r="D408" s="14" t="s">
        <v>831</v>
      </c>
      <c r="E408" s="13" t="s">
        <v>630</v>
      </c>
      <c r="F408" s="13" t="s">
        <v>2606</v>
      </c>
      <c r="G408" s="13" t="s">
        <v>673</v>
      </c>
      <c r="H408" s="13" t="s">
        <v>2611</v>
      </c>
      <c r="J408" s="13" t="s">
        <v>712</v>
      </c>
      <c r="K408" s="13" t="s">
        <v>3124</v>
      </c>
      <c r="L408" s="13" t="s">
        <v>2607</v>
      </c>
      <c r="M408" s="13" t="s">
        <v>2598</v>
      </c>
      <c r="N408" s="13">
        <v>29</v>
      </c>
      <c r="O408" s="2">
        <f t="shared" si="44"/>
        <v>0.55769230769230771</v>
      </c>
      <c r="P408" s="13">
        <v>9</v>
      </c>
      <c r="Q408" s="17">
        <f t="shared" si="45"/>
        <v>0.375</v>
      </c>
      <c r="R408" s="13">
        <v>52</v>
      </c>
      <c r="S408" s="13">
        <v>24</v>
      </c>
      <c r="T408" s="13">
        <v>6</v>
      </c>
      <c r="V408" s="13">
        <v>6</v>
      </c>
      <c r="W408" s="13">
        <v>50.4</v>
      </c>
      <c r="X408" s="13">
        <v>10.9</v>
      </c>
      <c r="AB408" s="13">
        <v>47.17</v>
      </c>
      <c r="AC408" s="13">
        <v>9.5</v>
      </c>
      <c r="AG408" s="13" t="s">
        <v>639</v>
      </c>
      <c r="BG408" s="13">
        <v>42</v>
      </c>
      <c r="BI408" s="13">
        <v>37.299999999999997</v>
      </c>
      <c r="BJ408" s="13">
        <v>49</v>
      </c>
      <c r="BR408" s="13">
        <v>31.3</v>
      </c>
      <c r="BT408" s="13">
        <v>26.1</v>
      </c>
      <c r="BU408" s="13">
        <v>36.5</v>
      </c>
      <c r="BX408" s="13" t="s">
        <v>1027</v>
      </c>
      <c r="BY408" s="13" t="s">
        <v>1342</v>
      </c>
      <c r="BZ408" s="13" t="s">
        <v>1343</v>
      </c>
      <c r="CA408" s="13">
        <v>2022</v>
      </c>
      <c r="CB408" s="13" t="s">
        <v>53</v>
      </c>
      <c r="CC408" s="13" t="s">
        <v>26</v>
      </c>
      <c r="CD408" s="13">
        <v>9</v>
      </c>
      <c r="CE408" s="13">
        <v>7</v>
      </c>
      <c r="CF408" s="13" t="s">
        <v>1344</v>
      </c>
      <c r="CG408" s="13" t="s">
        <v>1345</v>
      </c>
    </row>
    <row r="409" spans="1:85">
      <c r="A409" s="13" t="s">
        <v>1854</v>
      </c>
      <c r="B409" s="13" t="s">
        <v>1854</v>
      </c>
      <c r="C409" s="14" t="s">
        <v>2600</v>
      </c>
      <c r="D409" s="14" t="s">
        <v>831</v>
      </c>
      <c r="E409" s="13" t="s">
        <v>630</v>
      </c>
      <c r="F409" s="13" t="s">
        <v>2606</v>
      </c>
      <c r="G409" s="13" t="s">
        <v>673</v>
      </c>
      <c r="H409" s="13" t="s">
        <v>2612</v>
      </c>
      <c r="J409" s="13" t="s">
        <v>712</v>
      </c>
      <c r="K409" s="13" t="s">
        <v>3124</v>
      </c>
      <c r="L409" s="13" t="s">
        <v>2607</v>
      </c>
      <c r="M409" s="13" t="s">
        <v>2598</v>
      </c>
      <c r="N409" s="13">
        <v>29</v>
      </c>
      <c r="O409" s="2">
        <f t="shared" si="44"/>
        <v>0.55769230769230771</v>
      </c>
      <c r="P409" s="13">
        <v>9</v>
      </c>
      <c r="Q409" s="17">
        <f t="shared" si="45"/>
        <v>0.375</v>
      </c>
      <c r="R409" s="13">
        <v>52</v>
      </c>
      <c r="S409" s="13">
        <v>24</v>
      </c>
      <c r="T409" s="13">
        <v>6</v>
      </c>
      <c r="V409" s="13">
        <v>6</v>
      </c>
      <c r="W409" s="13">
        <v>50.4</v>
      </c>
      <c r="X409" s="13">
        <v>10.9</v>
      </c>
      <c r="AB409" s="13">
        <v>47.17</v>
      </c>
      <c r="AC409" s="13">
        <v>9.5</v>
      </c>
      <c r="AG409" s="13" t="s">
        <v>639</v>
      </c>
      <c r="BG409" s="13">
        <v>140.5</v>
      </c>
      <c r="BI409" s="13">
        <v>130.5</v>
      </c>
      <c r="BJ409" s="13">
        <v>161</v>
      </c>
      <c r="BR409" s="13">
        <v>119.8</v>
      </c>
      <c r="BT409" s="13">
        <v>91.4</v>
      </c>
      <c r="BU409" s="13">
        <v>136.80000000000001</v>
      </c>
      <c r="BX409" s="13" t="s">
        <v>1027</v>
      </c>
      <c r="BY409" s="13" t="s">
        <v>1342</v>
      </c>
      <c r="BZ409" s="13" t="s">
        <v>1343</v>
      </c>
      <c r="CA409" s="13">
        <v>2022</v>
      </c>
      <c r="CB409" s="13" t="s">
        <v>53</v>
      </c>
      <c r="CC409" s="13" t="s">
        <v>26</v>
      </c>
      <c r="CD409" s="13">
        <v>9</v>
      </c>
      <c r="CE409" s="13">
        <v>7</v>
      </c>
      <c r="CF409" s="13" t="s">
        <v>1344</v>
      </c>
      <c r="CG409" s="13" t="s">
        <v>1345</v>
      </c>
    </row>
    <row r="410" spans="1:85">
      <c r="A410" s="13" t="s">
        <v>1854</v>
      </c>
      <c r="B410" s="13" t="s">
        <v>1854</v>
      </c>
      <c r="C410" s="14" t="s">
        <v>2600</v>
      </c>
      <c r="D410" s="14" t="s">
        <v>831</v>
      </c>
      <c r="E410" s="13" t="s">
        <v>630</v>
      </c>
      <c r="F410" s="13" t="s">
        <v>2606</v>
      </c>
      <c r="G410" s="13" t="s">
        <v>673</v>
      </c>
      <c r="H410" s="13" t="s">
        <v>2613</v>
      </c>
      <c r="J410" s="13" t="s">
        <v>712</v>
      </c>
      <c r="K410" s="13" t="s">
        <v>3124</v>
      </c>
      <c r="L410" s="13" t="s">
        <v>2607</v>
      </c>
      <c r="M410" s="13" t="s">
        <v>2598</v>
      </c>
      <c r="N410" s="13">
        <v>29</v>
      </c>
      <c r="O410" s="2">
        <f t="shared" si="44"/>
        <v>0.55769230769230771</v>
      </c>
      <c r="P410" s="13">
        <v>9</v>
      </c>
      <c r="Q410" s="17">
        <f t="shared" si="45"/>
        <v>0.375</v>
      </c>
      <c r="R410" s="13">
        <v>52</v>
      </c>
      <c r="S410" s="13">
        <v>24</v>
      </c>
      <c r="T410" s="13">
        <v>6</v>
      </c>
      <c r="V410" s="13">
        <v>6</v>
      </c>
      <c r="W410" s="13">
        <v>50.4</v>
      </c>
      <c r="X410" s="13">
        <v>10.9</v>
      </c>
      <c r="AB410" s="13">
        <v>47.17</v>
      </c>
      <c r="AC410" s="13">
        <v>9.5</v>
      </c>
      <c r="AG410" s="13" t="s">
        <v>639</v>
      </c>
      <c r="BG410" s="13">
        <v>51.5</v>
      </c>
      <c r="BI410" s="13">
        <v>48</v>
      </c>
      <c r="BJ410" s="13">
        <v>57.8</v>
      </c>
      <c r="BR410" s="13">
        <v>46</v>
      </c>
      <c r="BT410" s="13">
        <v>36</v>
      </c>
      <c r="BU410" s="13">
        <v>57</v>
      </c>
      <c r="BX410" s="13">
        <v>3.1E-2</v>
      </c>
      <c r="BY410" s="13" t="s">
        <v>1342</v>
      </c>
      <c r="BZ410" s="13" t="s">
        <v>1343</v>
      </c>
      <c r="CA410" s="13">
        <v>2022</v>
      </c>
      <c r="CB410" s="13" t="s">
        <v>53</v>
      </c>
      <c r="CC410" s="13" t="s">
        <v>26</v>
      </c>
      <c r="CD410" s="13">
        <v>9</v>
      </c>
      <c r="CE410" s="13">
        <v>7</v>
      </c>
      <c r="CF410" s="13" t="s">
        <v>1344</v>
      </c>
      <c r="CG410" s="13" t="s">
        <v>1345</v>
      </c>
    </row>
    <row r="411" spans="1:85">
      <c r="A411" s="13" t="s">
        <v>1854</v>
      </c>
      <c r="B411" s="13" t="s">
        <v>1854</v>
      </c>
      <c r="C411" s="14" t="s">
        <v>2600</v>
      </c>
      <c r="D411" s="14" t="s">
        <v>831</v>
      </c>
      <c r="E411" s="13" t="s">
        <v>630</v>
      </c>
      <c r="F411" s="13" t="s">
        <v>2606</v>
      </c>
      <c r="G411" s="13" t="s">
        <v>673</v>
      </c>
      <c r="H411" s="13" t="s">
        <v>2614</v>
      </c>
      <c r="J411" s="13" t="s">
        <v>712</v>
      </c>
      <c r="K411" s="13" t="s">
        <v>3124</v>
      </c>
      <c r="L411" s="13" t="s">
        <v>2607</v>
      </c>
      <c r="M411" s="13" t="s">
        <v>2598</v>
      </c>
      <c r="N411" s="13">
        <v>29</v>
      </c>
      <c r="O411" s="2">
        <f t="shared" si="44"/>
        <v>0.55769230769230771</v>
      </c>
      <c r="P411" s="13">
        <v>9</v>
      </c>
      <c r="Q411" s="17">
        <f t="shared" si="45"/>
        <v>0.375</v>
      </c>
      <c r="R411" s="13">
        <v>52</v>
      </c>
      <c r="S411" s="13">
        <v>24</v>
      </c>
      <c r="T411" s="13">
        <v>6</v>
      </c>
      <c r="V411" s="13">
        <v>6</v>
      </c>
      <c r="W411" s="13">
        <v>50.4</v>
      </c>
      <c r="X411" s="13">
        <v>10.9</v>
      </c>
      <c r="AB411" s="13">
        <v>47.17</v>
      </c>
      <c r="AC411" s="13">
        <v>9.5</v>
      </c>
      <c r="AG411" s="13" t="s">
        <v>639</v>
      </c>
      <c r="BG411" s="13">
        <v>1259.8</v>
      </c>
      <c r="BI411" s="13">
        <v>802.5</v>
      </c>
      <c r="BJ411" s="13">
        <v>2749.3</v>
      </c>
      <c r="BR411" s="13">
        <v>881.3</v>
      </c>
      <c r="BT411" s="13">
        <v>384.8</v>
      </c>
      <c r="BU411" s="13">
        <v>2241.3000000000002</v>
      </c>
      <c r="BX411" s="13">
        <v>0.14599999999999999</v>
      </c>
      <c r="BY411" s="13" t="s">
        <v>1342</v>
      </c>
      <c r="BZ411" s="13" t="s">
        <v>1343</v>
      </c>
      <c r="CA411" s="13">
        <v>2022</v>
      </c>
      <c r="CB411" s="13" t="s">
        <v>53</v>
      </c>
      <c r="CC411" s="13" t="s">
        <v>26</v>
      </c>
      <c r="CD411" s="13">
        <v>9</v>
      </c>
      <c r="CE411" s="13">
        <v>7</v>
      </c>
      <c r="CF411" s="13" t="s">
        <v>1344</v>
      </c>
      <c r="CG411" s="13" t="s">
        <v>1345</v>
      </c>
    </row>
    <row r="412" spans="1:85">
      <c r="A412" s="13" t="s">
        <v>1854</v>
      </c>
      <c r="B412" s="13" t="s">
        <v>1854</v>
      </c>
      <c r="C412" s="14" t="s">
        <v>2600</v>
      </c>
      <c r="D412" s="14" t="s">
        <v>831</v>
      </c>
      <c r="E412" s="13" t="s">
        <v>630</v>
      </c>
      <c r="F412" s="13" t="s">
        <v>2606</v>
      </c>
      <c r="G412" s="13" t="s">
        <v>673</v>
      </c>
      <c r="H412" s="13" t="s">
        <v>683</v>
      </c>
      <c r="J412" s="13" t="s">
        <v>712</v>
      </c>
      <c r="K412" s="13" t="s">
        <v>3124</v>
      </c>
      <c r="L412" s="13" t="s">
        <v>2607</v>
      </c>
      <c r="M412" s="13" t="s">
        <v>2598</v>
      </c>
      <c r="N412" s="13">
        <v>29</v>
      </c>
      <c r="O412" s="2">
        <f t="shared" si="44"/>
        <v>0.55769230769230771</v>
      </c>
      <c r="P412" s="13">
        <v>9</v>
      </c>
      <c r="Q412" s="17">
        <f t="shared" si="45"/>
        <v>0.375</v>
      </c>
      <c r="R412" s="13">
        <v>52</v>
      </c>
      <c r="S412" s="13">
        <v>24</v>
      </c>
      <c r="T412" s="13">
        <v>6</v>
      </c>
      <c r="V412" s="13">
        <v>6</v>
      </c>
      <c r="W412" s="13">
        <v>50.4</v>
      </c>
      <c r="X412" s="13">
        <v>10.9</v>
      </c>
      <c r="AB412" s="13">
        <v>47.17</v>
      </c>
      <c r="AC412" s="13">
        <v>9.5</v>
      </c>
      <c r="AG412" s="13" t="s">
        <v>639</v>
      </c>
      <c r="BG412" s="13">
        <v>3647.5</v>
      </c>
      <c r="BI412" s="13">
        <v>2073.4</v>
      </c>
      <c r="BJ412" s="13">
        <v>7069.3</v>
      </c>
      <c r="BR412" s="13">
        <v>4030.3</v>
      </c>
      <c r="BT412" s="13">
        <v>2487.6</v>
      </c>
      <c r="BU412" s="13">
        <v>6615.8</v>
      </c>
      <c r="BX412" s="13">
        <v>0.88400000000000001</v>
      </c>
      <c r="BY412" s="13" t="s">
        <v>1342</v>
      </c>
      <c r="BZ412" s="13" t="s">
        <v>1343</v>
      </c>
      <c r="CA412" s="13">
        <v>2022</v>
      </c>
      <c r="CB412" s="13" t="s">
        <v>53</v>
      </c>
      <c r="CC412" s="13" t="s">
        <v>26</v>
      </c>
      <c r="CD412" s="13">
        <v>9</v>
      </c>
      <c r="CE412" s="13">
        <v>7</v>
      </c>
      <c r="CF412" s="13" t="s">
        <v>1344</v>
      </c>
      <c r="CG412" s="13" t="s">
        <v>1345</v>
      </c>
    </row>
    <row r="413" spans="1:85">
      <c r="A413" s="13" t="s">
        <v>1854</v>
      </c>
      <c r="B413" s="13" t="s">
        <v>1854</v>
      </c>
      <c r="C413" s="14" t="s">
        <v>2600</v>
      </c>
      <c r="D413" s="14" t="s">
        <v>831</v>
      </c>
      <c r="E413" s="13" t="s">
        <v>630</v>
      </c>
      <c r="F413" s="13" t="s">
        <v>2606</v>
      </c>
      <c r="G413" s="13" t="s">
        <v>673</v>
      </c>
      <c r="H413" s="13" t="s">
        <v>2615</v>
      </c>
      <c r="J413" s="13" t="s">
        <v>712</v>
      </c>
      <c r="K413" s="13" t="s">
        <v>3124</v>
      </c>
      <c r="L413" s="13" t="s">
        <v>2607</v>
      </c>
      <c r="M413" s="13" t="s">
        <v>2598</v>
      </c>
      <c r="N413" s="13">
        <v>29</v>
      </c>
      <c r="O413" s="2">
        <f t="shared" si="44"/>
        <v>0.55769230769230771</v>
      </c>
      <c r="P413" s="13">
        <v>9</v>
      </c>
      <c r="Q413" s="17">
        <f t="shared" si="45"/>
        <v>0.375</v>
      </c>
      <c r="R413" s="13">
        <v>52</v>
      </c>
      <c r="S413" s="13">
        <v>24</v>
      </c>
      <c r="T413" s="13">
        <v>6</v>
      </c>
      <c r="V413" s="13">
        <v>6</v>
      </c>
      <c r="W413" s="13">
        <v>50.4</v>
      </c>
      <c r="X413" s="13">
        <v>10.9</v>
      </c>
      <c r="AB413" s="13">
        <v>47.17</v>
      </c>
      <c r="AC413" s="13">
        <v>9.5</v>
      </c>
      <c r="AG413" s="13" t="s">
        <v>639</v>
      </c>
      <c r="BG413" s="13">
        <v>7791.8</v>
      </c>
      <c r="BI413" s="13">
        <v>6731.3</v>
      </c>
      <c r="BJ413" s="13">
        <v>8286.1</v>
      </c>
      <c r="BR413" s="13">
        <v>7129</v>
      </c>
      <c r="BT413" s="13">
        <v>4630.1000000000004</v>
      </c>
      <c r="BU413" s="13">
        <v>8050.4</v>
      </c>
      <c r="BX413" s="13">
        <v>3.7999999999999999E-2</v>
      </c>
      <c r="BY413" s="13" t="s">
        <v>1342</v>
      </c>
      <c r="BZ413" s="13" t="s">
        <v>1343</v>
      </c>
      <c r="CA413" s="13">
        <v>2022</v>
      </c>
      <c r="CB413" s="13" t="s">
        <v>53</v>
      </c>
      <c r="CC413" s="13" t="s">
        <v>26</v>
      </c>
      <c r="CD413" s="13">
        <v>9</v>
      </c>
      <c r="CE413" s="13">
        <v>7</v>
      </c>
      <c r="CF413" s="13" t="s">
        <v>1344</v>
      </c>
      <c r="CG413" s="13" t="s">
        <v>1345</v>
      </c>
    </row>
    <row r="414" spans="1:85">
      <c r="A414" s="13" t="s">
        <v>1854</v>
      </c>
      <c r="B414" s="13" t="s">
        <v>1854</v>
      </c>
      <c r="C414" s="14" t="s">
        <v>2600</v>
      </c>
      <c r="D414" s="14" t="s">
        <v>831</v>
      </c>
      <c r="E414" s="13" t="s">
        <v>630</v>
      </c>
      <c r="F414" s="13" t="s">
        <v>2606</v>
      </c>
      <c r="G414" s="13" t="s">
        <v>673</v>
      </c>
      <c r="H414" s="13" t="s">
        <v>2616</v>
      </c>
      <c r="J414" s="13" t="s">
        <v>712</v>
      </c>
      <c r="K414" s="13" t="s">
        <v>3124</v>
      </c>
      <c r="L414" s="13" t="s">
        <v>2607</v>
      </c>
      <c r="M414" s="13" t="s">
        <v>2598</v>
      </c>
      <c r="N414" s="13">
        <v>29</v>
      </c>
      <c r="O414" s="2">
        <f t="shared" si="44"/>
        <v>0.55769230769230771</v>
      </c>
      <c r="P414" s="13">
        <v>9</v>
      </c>
      <c r="Q414" s="17">
        <f t="shared" si="45"/>
        <v>0.375</v>
      </c>
      <c r="R414" s="13">
        <v>52</v>
      </c>
      <c r="S414" s="13">
        <v>24</v>
      </c>
      <c r="T414" s="13">
        <v>6</v>
      </c>
      <c r="V414" s="13">
        <v>6</v>
      </c>
      <c r="W414" s="13">
        <v>50.4</v>
      </c>
      <c r="X414" s="13">
        <v>10.9</v>
      </c>
      <c r="AB414" s="13">
        <v>47.17</v>
      </c>
      <c r="AC414" s="13">
        <v>9.5</v>
      </c>
      <c r="AG414" s="13" t="s">
        <v>639</v>
      </c>
      <c r="BG414" s="13">
        <v>3377.8</v>
      </c>
      <c r="BI414" s="13">
        <v>2475.9</v>
      </c>
      <c r="BJ414" s="13">
        <v>4509.8</v>
      </c>
      <c r="BR414" s="13">
        <v>2441</v>
      </c>
      <c r="BT414" s="13">
        <v>2031.5</v>
      </c>
      <c r="BU414" s="13">
        <v>3528</v>
      </c>
      <c r="BX414" s="13">
        <v>5.0000000000000001E-3</v>
      </c>
      <c r="BY414" s="13" t="s">
        <v>1342</v>
      </c>
      <c r="BZ414" s="13" t="s">
        <v>1343</v>
      </c>
      <c r="CA414" s="13">
        <v>2022</v>
      </c>
      <c r="CB414" s="13" t="s">
        <v>53</v>
      </c>
      <c r="CC414" s="13" t="s">
        <v>26</v>
      </c>
      <c r="CD414" s="13">
        <v>9</v>
      </c>
      <c r="CE414" s="13">
        <v>7</v>
      </c>
      <c r="CF414" s="13" t="s">
        <v>1344</v>
      </c>
      <c r="CG414" s="13" t="s">
        <v>1345</v>
      </c>
    </row>
    <row r="415" spans="1:85">
      <c r="A415" s="13" t="s">
        <v>1854</v>
      </c>
      <c r="B415" s="13" t="s">
        <v>1854</v>
      </c>
      <c r="C415" s="14" t="s">
        <v>2600</v>
      </c>
      <c r="D415" s="14" t="s">
        <v>831</v>
      </c>
      <c r="E415" s="13" t="s">
        <v>630</v>
      </c>
      <c r="F415" s="13" t="s">
        <v>2606</v>
      </c>
      <c r="G415" s="13" t="s">
        <v>673</v>
      </c>
      <c r="H415" s="13" t="s">
        <v>2617</v>
      </c>
      <c r="J415" s="13" t="s">
        <v>712</v>
      </c>
      <c r="K415" s="13" t="s">
        <v>3124</v>
      </c>
      <c r="L415" s="13" t="s">
        <v>2607</v>
      </c>
      <c r="M415" s="13" t="s">
        <v>2598</v>
      </c>
      <c r="N415" s="13">
        <v>29</v>
      </c>
      <c r="O415" s="2">
        <f t="shared" si="44"/>
        <v>0.55769230769230771</v>
      </c>
      <c r="P415" s="13">
        <v>9</v>
      </c>
      <c r="Q415" s="17">
        <f t="shared" si="45"/>
        <v>0.375</v>
      </c>
      <c r="R415" s="13">
        <v>52</v>
      </c>
      <c r="S415" s="13">
        <v>24</v>
      </c>
      <c r="T415" s="13">
        <v>6</v>
      </c>
      <c r="V415" s="13">
        <v>6</v>
      </c>
      <c r="W415" s="13">
        <v>50.4</v>
      </c>
      <c r="X415" s="13">
        <v>10.9</v>
      </c>
      <c r="AB415" s="13">
        <v>47.17</v>
      </c>
      <c r="AC415" s="13">
        <v>9.5</v>
      </c>
      <c r="AG415" s="13" t="s">
        <v>639</v>
      </c>
      <c r="BG415" s="13">
        <v>397.3</v>
      </c>
      <c r="BI415" s="13">
        <v>336.5</v>
      </c>
      <c r="BJ415" s="13">
        <v>481.8</v>
      </c>
      <c r="BR415" s="13">
        <v>292.5</v>
      </c>
      <c r="BT415" s="13">
        <v>193.5</v>
      </c>
      <c r="BU415" s="13">
        <v>377.8</v>
      </c>
      <c r="BX415" s="13" t="s">
        <v>1027</v>
      </c>
      <c r="BY415" s="13" t="s">
        <v>1342</v>
      </c>
      <c r="BZ415" s="13" t="s">
        <v>1343</v>
      </c>
      <c r="CA415" s="13">
        <v>2022</v>
      </c>
      <c r="CB415" s="13" t="s">
        <v>53</v>
      </c>
      <c r="CC415" s="13" t="s">
        <v>26</v>
      </c>
      <c r="CD415" s="13">
        <v>9</v>
      </c>
      <c r="CE415" s="13">
        <v>7</v>
      </c>
      <c r="CF415" s="13" t="s">
        <v>1344</v>
      </c>
      <c r="CG415" s="13" t="s">
        <v>1345</v>
      </c>
    </row>
    <row r="416" spans="1:85">
      <c r="A416" s="13" t="s">
        <v>1715</v>
      </c>
      <c r="B416" s="13" t="s">
        <v>2122</v>
      </c>
      <c r="C416" s="13" t="s">
        <v>339</v>
      </c>
      <c r="D416" s="13" t="s">
        <v>831</v>
      </c>
      <c r="E416" s="13" t="s">
        <v>909</v>
      </c>
      <c r="G416" s="13" t="s">
        <v>672</v>
      </c>
      <c r="H416" s="13" t="s">
        <v>675</v>
      </c>
      <c r="J416" s="13" t="s">
        <v>712</v>
      </c>
      <c r="K416" s="13" t="s">
        <v>4073</v>
      </c>
      <c r="L416" s="13" t="s">
        <v>585</v>
      </c>
      <c r="M416" s="13" t="s">
        <v>910</v>
      </c>
      <c r="N416" s="13">
        <v>6</v>
      </c>
      <c r="O416" s="2">
        <f t="shared" si="44"/>
        <v>0.6</v>
      </c>
      <c r="P416" s="13">
        <v>8</v>
      </c>
      <c r="Q416" s="17">
        <f t="shared" si="45"/>
        <v>0.8</v>
      </c>
      <c r="R416" s="13">
        <v>10</v>
      </c>
      <c r="S416" s="13">
        <v>10</v>
      </c>
      <c r="W416" s="13">
        <v>50</v>
      </c>
      <c r="X416" s="13">
        <v>11.32</v>
      </c>
      <c r="AB416" s="13">
        <v>26.8</v>
      </c>
      <c r="AC416" s="13">
        <v>6.37</v>
      </c>
      <c r="AG416" s="13" t="s">
        <v>639</v>
      </c>
      <c r="AH416" s="13">
        <v>1275</v>
      </c>
      <c r="AJ416" s="13">
        <v>100</v>
      </c>
      <c r="AM416" s="13">
        <v>100</v>
      </c>
      <c r="AP416" s="13">
        <v>1</v>
      </c>
      <c r="BG416" s="13">
        <v>6582.05</v>
      </c>
      <c r="BI416" s="13">
        <v>2657.83</v>
      </c>
      <c r="BJ416" s="13">
        <v>10000</v>
      </c>
      <c r="BR416" s="13">
        <v>596.97</v>
      </c>
      <c r="BT416" s="13">
        <v>395.26</v>
      </c>
      <c r="BU416" s="13">
        <v>699.7</v>
      </c>
      <c r="BX416" s="13" t="s">
        <v>635</v>
      </c>
      <c r="BY416" s="13" t="s">
        <v>334</v>
      </c>
      <c r="BZ416" s="13" t="s">
        <v>335</v>
      </c>
      <c r="CA416" s="13">
        <v>2023</v>
      </c>
      <c r="CB416" s="13" t="s">
        <v>330</v>
      </c>
      <c r="CC416" s="13" t="s">
        <v>336</v>
      </c>
      <c r="CD416" s="13">
        <v>13</v>
      </c>
      <c r="CE416" s="13">
        <v>5</v>
      </c>
      <c r="CF416" s="13" t="s">
        <v>337</v>
      </c>
      <c r="CG416" s="13" t="s">
        <v>338</v>
      </c>
    </row>
    <row r="417" spans="1:85">
      <c r="A417" s="13" t="s">
        <v>1715</v>
      </c>
      <c r="B417" s="13" t="s">
        <v>2122</v>
      </c>
      <c r="C417" s="13" t="s">
        <v>339</v>
      </c>
      <c r="D417" s="13" t="s">
        <v>831</v>
      </c>
      <c r="E417" s="13" t="s">
        <v>909</v>
      </c>
      <c r="G417" s="13" t="s">
        <v>672</v>
      </c>
      <c r="H417" s="13" t="s">
        <v>686</v>
      </c>
      <c r="J417" s="13" t="s">
        <v>712</v>
      </c>
      <c r="K417" s="13" t="s">
        <v>4073</v>
      </c>
      <c r="L417" s="13" t="s">
        <v>585</v>
      </c>
      <c r="N417" s="13">
        <v>6</v>
      </c>
      <c r="O417" s="2">
        <f t="shared" si="44"/>
        <v>0.6</v>
      </c>
      <c r="P417" s="13">
        <v>8</v>
      </c>
      <c r="Q417" s="17">
        <f t="shared" si="45"/>
        <v>0.8</v>
      </c>
      <c r="R417" s="13">
        <v>10</v>
      </c>
      <c r="S417" s="13">
        <v>10</v>
      </c>
      <c r="W417" s="13">
        <v>50</v>
      </c>
      <c r="X417" s="13">
        <v>11.32</v>
      </c>
      <c r="AB417" s="13">
        <v>26.8</v>
      </c>
      <c r="AC417" s="13">
        <v>6.37</v>
      </c>
      <c r="AG417" s="13" t="s">
        <v>639</v>
      </c>
      <c r="AH417" s="13">
        <v>1275</v>
      </c>
      <c r="AJ417" s="13">
        <v>90</v>
      </c>
      <c r="AM417" s="13">
        <v>80</v>
      </c>
      <c r="AP417" s="13">
        <v>0.84</v>
      </c>
      <c r="BG417" s="13">
        <v>2070</v>
      </c>
      <c r="BI417" s="13">
        <v>460</v>
      </c>
      <c r="BJ417" s="13">
        <v>3750</v>
      </c>
      <c r="BR417" s="13">
        <v>200</v>
      </c>
      <c r="BT417" s="13">
        <v>180</v>
      </c>
      <c r="BU417" s="13">
        <v>240</v>
      </c>
      <c r="BX417" s="13" t="s">
        <v>760</v>
      </c>
      <c r="BY417" s="13" t="s">
        <v>334</v>
      </c>
      <c r="BZ417" s="13" t="s">
        <v>335</v>
      </c>
      <c r="CA417" s="13">
        <v>2023</v>
      </c>
      <c r="CB417" s="13" t="s">
        <v>330</v>
      </c>
      <c r="CC417" s="13" t="s">
        <v>336</v>
      </c>
      <c r="CD417" s="13">
        <v>13</v>
      </c>
      <c r="CE417" s="13">
        <v>5</v>
      </c>
      <c r="CF417" s="13" t="s">
        <v>337</v>
      </c>
      <c r="CG417" s="13" t="s">
        <v>338</v>
      </c>
    </row>
    <row r="418" spans="1:85">
      <c r="A418" s="13" t="s">
        <v>1715</v>
      </c>
      <c r="B418" s="13" t="s">
        <v>2122</v>
      </c>
      <c r="C418" s="13" t="s">
        <v>339</v>
      </c>
      <c r="D418" s="13" t="s">
        <v>831</v>
      </c>
      <c r="E418" s="13" t="s">
        <v>909</v>
      </c>
      <c r="G418" s="13" t="s">
        <v>673</v>
      </c>
      <c r="H418" s="13" t="s">
        <v>675</v>
      </c>
      <c r="J418" s="13" t="s">
        <v>712</v>
      </c>
      <c r="K418" s="13" t="s">
        <v>4073</v>
      </c>
      <c r="L418" s="13" t="s">
        <v>4029</v>
      </c>
      <c r="M418" s="13" t="s">
        <v>4028</v>
      </c>
      <c r="N418" s="13">
        <v>6</v>
      </c>
      <c r="O418" s="2">
        <f t="shared" si="44"/>
        <v>0.6</v>
      </c>
      <c r="P418" s="13">
        <v>8</v>
      </c>
      <c r="Q418" s="17">
        <f t="shared" si="45"/>
        <v>0.8</v>
      </c>
      <c r="R418" s="13">
        <v>10</v>
      </c>
      <c r="S418" s="13">
        <v>10</v>
      </c>
      <c r="W418" s="13">
        <v>50</v>
      </c>
      <c r="X418" s="13">
        <v>11.32</v>
      </c>
      <c r="AB418" s="13">
        <v>26.8</v>
      </c>
      <c r="AC418" s="13">
        <v>6.37</v>
      </c>
      <c r="AG418" s="13" t="s">
        <v>641</v>
      </c>
      <c r="BG418" s="13">
        <v>22.44</v>
      </c>
      <c r="BI418" s="13">
        <v>12.5</v>
      </c>
      <c r="BJ418" s="13">
        <v>32.72</v>
      </c>
      <c r="BR418" s="13">
        <v>8.19</v>
      </c>
      <c r="BT418" s="13">
        <v>4.03</v>
      </c>
      <c r="BU418" s="13">
        <v>30.18</v>
      </c>
      <c r="BX418" s="13">
        <v>0.193</v>
      </c>
      <c r="BY418" s="13" t="s">
        <v>334</v>
      </c>
      <c r="BZ418" s="13" t="s">
        <v>335</v>
      </c>
      <c r="CA418" s="13">
        <v>2023</v>
      </c>
      <c r="CB418" s="13" t="s">
        <v>330</v>
      </c>
      <c r="CC418" s="13" t="s">
        <v>336</v>
      </c>
      <c r="CD418" s="13">
        <v>13</v>
      </c>
      <c r="CE418" s="13">
        <v>5</v>
      </c>
      <c r="CF418" s="13" t="s">
        <v>337</v>
      </c>
      <c r="CG418" s="13" t="s">
        <v>338</v>
      </c>
    </row>
    <row r="419" spans="1:85">
      <c r="A419" s="13" t="s">
        <v>1715</v>
      </c>
      <c r="B419" s="13" t="s">
        <v>2122</v>
      </c>
      <c r="C419" s="13" t="s">
        <v>339</v>
      </c>
      <c r="D419" s="13" t="s">
        <v>831</v>
      </c>
      <c r="E419" s="13" t="s">
        <v>909</v>
      </c>
      <c r="G419" s="13" t="s">
        <v>673</v>
      </c>
      <c r="H419" s="13" t="s">
        <v>686</v>
      </c>
      <c r="J419" s="13" t="s">
        <v>712</v>
      </c>
      <c r="K419" s="13" t="s">
        <v>4073</v>
      </c>
      <c r="L419" s="13" t="s">
        <v>585</v>
      </c>
      <c r="N419" s="13">
        <v>6</v>
      </c>
      <c r="O419" s="2">
        <f t="shared" si="44"/>
        <v>0.6</v>
      </c>
      <c r="P419" s="13">
        <v>8</v>
      </c>
      <c r="Q419" s="17">
        <f t="shared" si="45"/>
        <v>0.8</v>
      </c>
      <c r="R419" s="13">
        <v>10</v>
      </c>
      <c r="S419" s="13">
        <v>10</v>
      </c>
      <c r="W419" s="13">
        <v>50</v>
      </c>
      <c r="X419" s="13">
        <v>11.32</v>
      </c>
      <c r="AB419" s="13">
        <v>26.8</v>
      </c>
      <c r="AC419" s="13">
        <v>6.37</v>
      </c>
      <c r="AG419" s="13" t="s">
        <v>641</v>
      </c>
      <c r="BG419" s="13">
        <v>0.01</v>
      </c>
      <c r="BI419" s="13">
        <v>0.01</v>
      </c>
      <c r="BJ419" s="13">
        <v>7.0000000000000007E-2</v>
      </c>
      <c r="BR419" s="13">
        <v>0.01</v>
      </c>
      <c r="BT419" s="13">
        <v>0.01</v>
      </c>
      <c r="BU419" s="13">
        <v>0.09</v>
      </c>
      <c r="BX419" s="13">
        <v>0.80300000000000005</v>
      </c>
      <c r="BY419" s="13" t="s">
        <v>334</v>
      </c>
      <c r="BZ419" s="13" t="s">
        <v>335</v>
      </c>
      <c r="CA419" s="13">
        <v>2023</v>
      </c>
      <c r="CB419" s="13" t="s">
        <v>330</v>
      </c>
      <c r="CC419" s="13" t="s">
        <v>336</v>
      </c>
      <c r="CD419" s="13">
        <v>13</v>
      </c>
      <c r="CE419" s="13">
        <v>5</v>
      </c>
      <c r="CF419" s="13" t="s">
        <v>337</v>
      </c>
      <c r="CG419" s="13" t="s">
        <v>338</v>
      </c>
    </row>
    <row r="420" spans="1:85">
      <c r="A420" s="13" t="s">
        <v>1715</v>
      </c>
      <c r="B420" s="13" t="s">
        <v>2122</v>
      </c>
      <c r="C420" s="13" t="s">
        <v>339</v>
      </c>
      <c r="D420" s="13" t="s">
        <v>831</v>
      </c>
      <c r="E420" s="13" t="s">
        <v>630</v>
      </c>
      <c r="G420" s="13" t="s">
        <v>673</v>
      </c>
      <c r="H420" s="13" t="s">
        <v>675</v>
      </c>
      <c r="J420" s="13" t="s">
        <v>712</v>
      </c>
      <c r="K420" s="13" t="s">
        <v>4073</v>
      </c>
      <c r="L420" s="13" t="s">
        <v>585</v>
      </c>
      <c r="M420" s="13" t="s">
        <v>910</v>
      </c>
      <c r="N420" s="13">
        <v>6</v>
      </c>
      <c r="O420" s="2">
        <f t="shared" si="44"/>
        <v>0.6</v>
      </c>
      <c r="P420" s="13">
        <v>7</v>
      </c>
      <c r="Q420" s="17">
        <f t="shared" si="45"/>
        <v>0.7</v>
      </c>
      <c r="R420" s="13">
        <v>10</v>
      </c>
      <c r="S420" s="13">
        <v>10</v>
      </c>
      <c r="W420" s="13">
        <v>50</v>
      </c>
      <c r="X420" s="13">
        <v>11.32</v>
      </c>
      <c r="AB420" s="13">
        <v>46.4</v>
      </c>
      <c r="AC420" s="13">
        <v>11.8</v>
      </c>
      <c r="AG420" s="13" t="s">
        <v>641</v>
      </c>
      <c r="BG420" s="13">
        <v>22.44</v>
      </c>
      <c r="BI420" s="13">
        <v>12.5</v>
      </c>
      <c r="BJ420" s="13">
        <v>32.72</v>
      </c>
      <c r="BR420" s="13">
        <v>2.35</v>
      </c>
      <c r="BT420" s="13">
        <v>0.23</v>
      </c>
      <c r="BU420" s="13">
        <v>6.49</v>
      </c>
      <c r="BX420" s="13">
        <v>1E-3</v>
      </c>
      <c r="BY420" s="13" t="s">
        <v>334</v>
      </c>
      <c r="BZ420" s="13" t="s">
        <v>335</v>
      </c>
      <c r="CA420" s="13">
        <v>2023</v>
      </c>
      <c r="CB420" s="13" t="s">
        <v>330</v>
      </c>
      <c r="CC420" s="13" t="s">
        <v>336</v>
      </c>
      <c r="CD420" s="13">
        <v>13</v>
      </c>
      <c r="CE420" s="13">
        <v>5</v>
      </c>
      <c r="CF420" s="13" t="s">
        <v>337</v>
      </c>
      <c r="CG420" s="13" t="s">
        <v>338</v>
      </c>
    </row>
    <row r="421" spans="1:85">
      <c r="A421" s="13" t="s">
        <v>1715</v>
      </c>
      <c r="B421" s="13" t="s">
        <v>2122</v>
      </c>
      <c r="C421" s="13" t="s">
        <v>339</v>
      </c>
      <c r="D421" s="13" t="s">
        <v>831</v>
      </c>
      <c r="E421" s="13" t="s">
        <v>630</v>
      </c>
      <c r="G421" s="13" t="s">
        <v>673</v>
      </c>
      <c r="H421" s="13" t="s">
        <v>686</v>
      </c>
      <c r="J421" s="13" t="s">
        <v>712</v>
      </c>
      <c r="K421" s="13" t="s">
        <v>4073</v>
      </c>
      <c r="L421" s="13" t="s">
        <v>585</v>
      </c>
      <c r="N421" s="13">
        <v>6</v>
      </c>
      <c r="O421" s="2">
        <f t="shared" si="44"/>
        <v>0.6</v>
      </c>
      <c r="P421" s="13">
        <v>7</v>
      </c>
      <c r="Q421" s="17">
        <f t="shared" si="45"/>
        <v>0.7</v>
      </c>
      <c r="R421" s="13">
        <v>10</v>
      </c>
      <c r="S421" s="13">
        <v>10</v>
      </c>
      <c r="W421" s="13">
        <v>50</v>
      </c>
      <c r="X421" s="13">
        <v>11.32</v>
      </c>
      <c r="AB421" s="13">
        <v>46.4</v>
      </c>
      <c r="AC421" s="13">
        <v>11.8</v>
      </c>
      <c r="AG421" s="13" t="s">
        <v>641</v>
      </c>
      <c r="BG421" s="13">
        <v>0.01</v>
      </c>
      <c r="BI421" s="13">
        <v>0.01</v>
      </c>
      <c r="BJ421" s="13">
        <v>7.0000000000000007E-2</v>
      </c>
      <c r="BR421" s="13">
        <v>0.01</v>
      </c>
      <c r="BT421" s="13">
        <v>0.01</v>
      </c>
      <c r="BU421" s="13">
        <v>0.01</v>
      </c>
      <c r="BX421" s="13">
        <v>3.1E-2</v>
      </c>
      <c r="BY421" s="13" t="s">
        <v>334</v>
      </c>
      <c r="BZ421" s="13" t="s">
        <v>335</v>
      </c>
      <c r="CA421" s="13">
        <v>2023</v>
      </c>
      <c r="CB421" s="13" t="s">
        <v>330</v>
      </c>
      <c r="CC421" s="13" t="s">
        <v>336</v>
      </c>
      <c r="CD421" s="13">
        <v>13</v>
      </c>
      <c r="CE421" s="13">
        <v>5</v>
      </c>
      <c r="CF421" s="13" t="s">
        <v>337</v>
      </c>
      <c r="CG421" s="13" t="s">
        <v>338</v>
      </c>
    </row>
    <row r="422" spans="1:85">
      <c r="A422" s="13" t="s">
        <v>3392</v>
      </c>
      <c r="C422" s="13" t="s">
        <v>3321</v>
      </c>
      <c r="D422" s="14" t="s">
        <v>831</v>
      </c>
      <c r="E422" s="13" t="s">
        <v>630</v>
      </c>
      <c r="F422" s="13" t="s">
        <v>3800</v>
      </c>
      <c r="G422" s="13" t="s">
        <v>673</v>
      </c>
      <c r="H422" s="13" t="s">
        <v>3801</v>
      </c>
      <c r="J422" s="14" t="s">
        <v>712</v>
      </c>
      <c r="K422" s="13" t="s">
        <v>3802</v>
      </c>
      <c r="L422" s="13" t="s">
        <v>778</v>
      </c>
      <c r="N422" s="13">
        <v>38</v>
      </c>
      <c r="O422" s="2">
        <f t="shared" si="44"/>
        <v>0.61290322580645162</v>
      </c>
      <c r="R422" s="13">
        <v>62</v>
      </c>
      <c r="S422" s="13">
        <v>36</v>
      </c>
      <c r="V422" s="13">
        <v>20</v>
      </c>
      <c r="W422" s="13">
        <v>53.7</v>
      </c>
      <c r="X422" s="13">
        <v>14.7</v>
      </c>
      <c r="AB422" s="13">
        <v>50.41</v>
      </c>
      <c r="AC422" s="13">
        <v>16.86</v>
      </c>
      <c r="AG422" s="13" t="s">
        <v>3803</v>
      </c>
      <c r="AH422" s="13">
        <f>1.1*10^5</f>
        <v>110000.00000000001</v>
      </c>
      <c r="AJ422" s="13">
        <v>80.7</v>
      </c>
      <c r="AM422" s="13">
        <v>50</v>
      </c>
      <c r="AP422" s="13">
        <v>0.69</v>
      </c>
      <c r="AR422" s="13">
        <v>0.59</v>
      </c>
      <c r="AS422" s="13">
        <v>0.79</v>
      </c>
      <c r="BY422" s="13" t="s">
        <v>3522</v>
      </c>
      <c r="BZ422" s="13" t="s">
        <v>3523</v>
      </c>
      <c r="CA422" s="13">
        <v>2024</v>
      </c>
      <c r="CB422" s="13" t="s">
        <v>162</v>
      </c>
      <c r="CC422" s="13" t="s">
        <v>19</v>
      </c>
      <c r="CD422" s="13">
        <v>31</v>
      </c>
      <c r="CE422" s="13">
        <v>12</v>
      </c>
      <c r="CF422" s="13" t="s">
        <v>3524</v>
      </c>
      <c r="CG422" s="13" t="s">
        <v>3247</v>
      </c>
    </row>
    <row r="423" spans="1:85">
      <c r="A423" s="13" t="s">
        <v>3393</v>
      </c>
      <c r="C423" s="13" t="s">
        <v>3322</v>
      </c>
      <c r="D423" s="14" t="s">
        <v>898</v>
      </c>
      <c r="G423" s="13" t="s">
        <v>672</v>
      </c>
      <c r="H423" s="13" t="s">
        <v>675</v>
      </c>
      <c r="J423" s="14" t="s">
        <v>584</v>
      </c>
      <c r="K423" s="13" t="s">
        <v>3805</v>
      </c>
      <c r="L423" s="13" t="s">
        <v>652</v>
      </c>
      <c r="R423" s="13">
        <v>189</v>
      </c>
      <c r="V423" s="13">
        <v>8</v>
      </c>
      <c r="BY423" s="13" t="s">
        <v>3525</v>
      </c>
      <c r="BZ423" s="13" t="s">
        <v>3526</v>
      </c>
      <c r="CA423" s="13">
        <v>2024</v>
      </c>
      <c r="CB423" s="13" t="s">
        <v>12</v>
      </c>
      <c r="CC423" s="13" t="s">
        <v>1384</v>
      </c>
      <c r="CD423" s="13">
        <v>69</v>
      </c>
      <c r="CE423" s="13">
        <v>6</v>
      </c>
      <c r="CF423" s="13" t="s">
        <v>3527</v>
      </c>
      <c r="CG423" s="13" t="s">
        <v>3248</v>
      </c>
    </row>
    <row r="424" spans="1:85">
      <c r="A424" s="13" t="s">
        <v>1855</v>
      </c>
      <c r="B424" s="13" t="s">
        <v>1855</v>
      </c>
      <c r="C424" s="14" t="s">
        <v>4163</v>
      </c>
      <c r="D424" s="14" t="s">
        <v>898</v>
      </c>
      <c r="E424" s="13" t="s">
        <v>630</v>
      </c>
      <c r="F424" s="13" t="s">
        <v>2622</v>
      </c>
      <c r="G424" s="13" t="s">
        <v>674</v>
      </c>
      <c r="H424" s="13" t="s">
        <v>2621</v>
      </c>
      <c r="J424" s="13" t="s">
        <v>712</v>
      </c>
      <c r="K424" s="13" t="s">
        <v>4062</v>
      </c>
      <c r="L424" s="13" t="s">
        <v>585</v>
      </c>
      <c r="M424" s="13" t="s">
        <v>2623</v>
      </c>
      <c r="N424" s="13">
        <v>25</v>
      </c>
      <c r="O424" s="2">
        <f>N424/R424</f>
        <v>0.64102564102564108</v>
      </c>
      <c r="P424" s="13">
        <v>17</v>
      </c>
      <c r="Q424" s="17">
        <f>P424/S424</f>
        <v>0.56666666666666665</v>
      </c>
      <c r="R424" s="13">
        <v>39</v>
      </c>
      <c r="S424" s="13">
        <v>30</v>
      </c>
      <c r="W424" s="13">
        <v>50.9</v>
      </c>
      <c r="X424" s="13">
        <v>9.4</v>
      </c>
      <c r="AB424" s="13">
        <v>50.8</v>
      </c>
      <c r="AC424" s="13">
        <v>8.9</v>
      </c>
      <c r="AG424" s="13" t="s">
        <v>641</v>
      </c>
      <c r="BB424" s="13">
        <v>1.41</v>
      </c>
      <c r="BC424" s="13">
        <v>0.36</v>
      </c>
      <c r="BM424" s="13">
        <v>1.45</v>
      </c>
      <c r="BN424" s="13">
        <v>0.5</v>
      </c>
      <c r="BX424" s="13">
        <v>0.70099999999999996</v>
      </c>
      <c r="BY424" s="13" t="s">
        <v>1346</v>
      </c>
      <c r="BZ424" s="13" t="s">
        <v>1347</v>
      </c>
      <c r="CA424" s="13">
        <v>2022</v>
      </c>
      <c r="CB424" s="13" t="s">
        <v>253</v>
      </c>
      <c r="CC424" s="13" t="s">
        <v>64</v>
      </c>
      <c r="CD424" s="13">
        <v>23</v>
      </c>
      <c r="CE424" s="13">
        <v>45293</v>
      </c>
      <c r="CF424" s="13" t="s">
        <v>1348</v>
      </c>
      <c r="CG424" s="13" t="s">
        <v>1349</v>
      </c>
    </row>
    <row r="425" spans="1:85">
      <c r="A425" s="13" t="s">
        <v>3394</v>
      </c>
      <c r="C425" s="13" t="s">
        <v>3323</v>
      </c>
      <c r="D425" s="14" t="s">
        <v>830</v>
      </c>
      <c r="E425" s="13" t="s">
        <v>630</v>
      </c>
      <c r="F425" s="13" t="s">
        <v>3809</v>
      </c>
      <c r="G425" s="13" t="s">
        <v>674</v>
      </c>
      <c r="I425" s="13" t="s">
        <v>3810</v>
      </c>
      <c r="J425" s="14" t="s">
        <v>584</v>
      </c>
      <c r="K425" s="13" t="s">
        <v>3807</v>
      </c>
      <c r="L425" s="13" t="s">
        <v>3808</v>
      </c>
      <c r="R425" s="13">
        <v>243</v>
      </c>
      <c r="S425" s="13">
        <v>103</v>
      </c>
      <c r="BY425" s="13" t="s">
        <v>3528</v>
      </c>
      <c r="BZ425" s="13" t="s">
        <v>3529</v>
      </c>
      <c r="CA425" s="13">
        <v>2025</v>
      </c>
      <c r="CB425" s="21">
        <v>45709</v>
      </c>
      <c r="CC425" s="13" t="s">
        <v>120</v>
      </c>
      <c r="CG425" s="13" t="s">
        <v>3249</v>
      </c>
    </row>
    <row r="426" spans="1:85">
      <c r="A426" s="13" t="s">
        <v>3395</v>
      </c>
      <c r="C426" s="13" t="s">
        <v>3324</v>
      </c>
      <c r="D426" s="14" t="s">
        <v>3811</v>
      </c>
      <c r="G426" s="13" t="s">
        <v>674</v>
      </c>
      <c r="I426" s="13" t="s">
        <v>3815</v>
      </c>
      <c r="J426" s="14" t="s">
        <v>3813</v>
      </c>
      <c r="K426" s="13" t="s">
        <v>3812</v>
      </c>
      <c r="L426" s="13" t="s">
        <v>3814</v>
      </c>
      <c r="R426" s="13">
        <v>20806</v>
      </c>
      <c r="S426" s="13">
        <v>59804</v>
      </c>
      <c r="BY426" s="13" t="s">
        <v>3530</v>
      </c>
      <c r="BZ426" s="13" t="s">
        <v>3531</v>
      </c>
      <c r="CA426" s="13">
        <v>2025</v>
      </c>
      <c r="CB426" s="21">
        <v>45719</v>
      </c>
      <c r="CC426" s="13" t="s">
        <v>377</v>
      </c>
      <c r="CD426" s="13">
        <v>25</v>
      </c>
      <c r="CE426" s="13">
        <v>1</v>
      </c>
      <c r="CF426" s="13">
        <v>82</v>
      </c>
      <c r="CG426" s="13" t="s">
        <v>3250</v>
      </c>
    </row>
    <row r="427" spans="1:85">
      <c r="A427" s="13" t="s">
        <v>3396</v>
      </c>
      <c r="C427" s="13" t="s">
        <v>3325</v>
      </c>
      <c r="D427" s="14" t="s">
        <v>3816</v>
      </c>
      <c r="E427" s="13" t="s">
        <v>799</v>
      </c>
      <c r="F427" s="13" t="s">
        <v>3817</v>
      </c>
      <c r="G427" s="13" t="s">
        <v>672</v>
      </c>
      <c r="H427" s="13" t="s">
        <v>3820</v>
      </c>
      <c r="J427" s="14" t="s">
        <v>703</v>
      </c>
      <c r="K427" s="13" t="s">
        <v>3146</v>
      </c>
      <c r="L427" s="13" t="s">
        <v>2342</v>
      </c>
      <c r="M427" s="13" t="s">
        <v>3818</v>
      </c>
      <c r="N427" s="13">
        <v>20</v>
      </c>
      <c r="O427" s="2">
        <f>N427/R427</f>
        <v>0.54054054054054057</v>
      </c>
      <c r="P427" s="13">
        <v>10</v>
      </c>
      <c r="Q427" s="17">
        <f>P427/S427</f>
        <v>0.35714285714285715</v>
      </c>
      <c r="R427" s="13">
        <v>37</v>
      </c>
      <c r="S427" s="13">
        <v>28</v>
      </c>
      <c r="W427" s="13">
        <v>52.08</v>
      </c>
      <c r="X427" s="13">
        <v>11.56</v>
      </c>
      <c r="AB427" s="13">
        <v>49.16</v>
      </c>
      <c r="AC427" s="13">
        <v>16.71</v>
      </c>
      <c r="AG427" s="13" t="s">
        <v>641</v>
      </c>
      <c r="BG427" s="13">
        <v>4.9099999999999998E-2</v>
      </c>
      <c r="BI427" s="13">
        <v>2.24E-2</v>
      </c>
      <c r="BJ427" s="13">
        <v>5.3199999999999997E-2</v>
      </c>
      <c r="BR427" s="13">
        <v>4.7800000000000002E-2</v>
      </c>
      <c r="BT427" s="13">
        <v>2.35E-2</v>
      </c>
      <c r="BU427" s="13">
        <v>5.2499999999999998E-2</v>
      </c>
      <c r="BX427" s="13">
        <v>0.90510000000000002</v>
      </c>
      <c r="BY427" s="13" t="s">
        <v>3532</v>
      </c>
      <c r="BZ427" s="13" t="s">
        <v>3533</v>
      </c>
      <c r="CA427" s="13">
        <v>2024</v>
      </c>
      <c r="CB427" s="21">
        <v>45897</v>
      </c>
      <c r="CC427" s="13" t="s">
        <v>1080</v>
      </c>
      <c r="CD427" s="13">
        <v>14</v>
      </c>
      <c r="CE427" s="13">
        <v>9</v>
      </c>
      <c r="CG427" s="13" t="s">
        <v>3251</v>
      </c>
    </row>
    <row r="428" spans="1:85">
      <c r="A428" s="13" t="s">
        <v>3396</v>
      </c>
      <c r="C428" s="13" t="s">
        <v>3325</v>
      </c>
      <c r="D428" s="14" t="s">
        <v>3816</v>
      </c>
      <c r="E428" s="13" t="s">
        <v>799</v>
      </c>
      <c r="F428" s="13" t="s">
        <v>3817</v>
      </c>
      <c r="G428" s="13" t="s">
        <v>672</v>
      </c>
      <c r="H428" s="13" t="s">
        <v>3821</v>
      </c>
      <c r="J428" s="14" t="s">
        <v>703</v>
      </c>
      <c r="K428" s="13" t="s">
        <v>3146</v>
      </c>
      <c r="L428" s="13" t="s">
        <v>2342</v>
      </c>
      <c r="M428" s="13" t="s">
        <v>3818</v>
      </c>
      <c r="N428" s="13">
        <v>20</v>
      </c>
      <c r="O428" s="2">
        <f>N428/R428</f>
        <v>0.54054054054054057</v>
      </c>
      <c r="P428" s="13">
        <v>10</v>
      </c>
      <c r="Q428" s="17">
        <f>P428/S428</f>
        <v>0.35714285714285715</v>
      </c>
      <c r="R428" s="13">
        <v>37</v>
      </c>
      <c r="S428" s="13">
        <v>28</v>
      </c>
      <c r="W428" s="13">
        <v>52.08</v>
      </c>
      <c r="X428" s="13">
        <v>11.56</v>
      </c>
      <c r="AB428" s="13">
        <v>49.16</v>
      </c>
      <c r="AC428" s="13">
        <v>16.71</v>
      </c>
      <c r="AG428" s="13" t="s">
        <v>641</v>
      </c>
      <c r="BG428" s="13">
        <v>6.2899999999999998E-2</v>
      </c>
      <c r="BI428" s="13">
        <v>3.7999999999999999E-2</v>
      </c>
      <c r="BJ428" s="13">
        <v>0.1023</v>
      </c>
      <c r="BR428" s="13">
        <v>0.1283</v>
      </c>
      <c r="BT428" s="13">
        <v>9.3100000000000002E-2</v>
      </c>
      <c r="BU428" s="13">
        <v>1.0880000000000001</v>
      </c>
      <c r="BX428" s="13" t="s">
        <v>701</v>
      </c>
      <c r="BY428" s="13" t="s">
        <v>3532</v>
      </c>
      <c r="BZ428" s="13" t="s">
        <v>3533</v>
      </c>
      <c r="CA428" s="13">
        <v>2024</v>
      </c>
      <c r="CB428" s="21">
        <v>45897</v>
      </c>
      <c r="CC428" s="13" t="s">
        <v>1080</v>
      </c>
      <c r="CD428" s="13">
        <v>14</v>
      </c>
      <c r="CE428" s="13">
        <v>9</v>
      </c>
      <c r="CG428" s="13" t="s">
        <v>3251</v>
      </c>
    </row>
    <row r="429" spans="1:85">
      <c r="A429" s="13" t="s">
        <v>3396</v>
      </c>
      <c r="C429" s="13" t="s">
        <v>3325</v>
      </c>
      <c r="D429" s="14" t="s">
        <v>3816</v>
      </c>
      <c r="E429" s="13" t="s">
        <v>799</v>
      </c>
      <c r="F429" s="13" t="s">
        <v>3817</v>
      </c>
      <c r="G429" s="13" t="s">
        <v>672</v>
      </c>
      <c r="H429" s="13" t="s">
        <v>3822</v>
      </c>
      <c r="J429" s="14" t="s">
        <v>703</v>
      </c>
      <c r="K429" s="13" t="s">
        <v>3146</v>
      </c>
      <c r="L429" s="13" t="s">
        <v>2342</v>
      </c>
      <c r="M429" s="13" t="s">
        <v>3818</v>
      </c>
      <c r="N429" s="13">
        <v>20</v>
      </c>
      <c r="O429" s="2">
        <f>N429/R429</f>
        <v>0.54054054054054057</v>
      </c>
      <c r="P429" s="13">
        <v>10</v>
      </c>
      <c r="Q429" s="17">
        <f>P429/S429</f>
        <v>0.35714285714285715</v>
      </c>
      <c r="R429" s="13">
        <v>37</v>
      </c>
      <c r="S429" s="13">
        <v>28</v>
      </c>
      <c r="W429" s="13">
        <v>52.08</v>
      </c>
      <c r="X429" s="13">
        <v>11.56</v>
      </c>
      <c r="AB429" s="13">
        <v>49.16</v>
      </c>
      <c r="AC429" s="13">
        <v>16.71</v>
      </c>
      <c r="AG429" s="13" t="s">
        <v>641</v>
      </c>
      <c r="BG429" s="13">
        <v>2.2100000000000002E-2</v>
      </c>
      <c r="BI429" s="13">
        <v>9.9000000000000008E-3</v>
      </c>
      <c r="BJ429" s="13">
        <v>3.0499999999999999E-2</v>
      </c>
      <c r="BR429" s="13">
        <v>2.8899999999999999E-2</v>
      </c>
      <c r="BT429" s="13">
        <v>2.3300000000000001E-2</v>
      </c>
      <c r="BU429" s="13">
        <v>4.2200000000000001E-2</v>
      </c>
      <c r="BX429" s="13">
        <v>1.5299999999999999E-2</v>
      </c>
      <c r="BY429" s="13" t="s">
        <v>3532</v>
      </c>
      <c r="BZ429" s="13" t="s">
        <v>3533</v>
      </c>
      <c r="CA429" s="13">
        <v>2024</v>
      </c>
      <c r="CB429" s="21">
        <v>45897</v>
      </c>
      <c r="CC429" s="13" t="s">
        <v>1080</v>
      </c>
      <c r="CD429" s="13">
        <v>14</v>
      </c>
      <c r="CE429" s="13">
        <v>9</v>
      </c>
      <c r="CG429" s="13" t="s">
        <v>3251</v>
      </c>
    </row>
    <row r="430" spans="1:85">
      <c r="A430" s="13" t="s">
        <v>3396</v>
      </c>
      <c r="C430" s="13" t="s">
        <v>3325</v>
      </c>
      <c r="D430" s="14" t="s">
        <v>3816</v>
      </c>
      <c r="E430" s="13" t="s">
        <v>799</v>
      </c>
      <c r="F430" s="13" t="s">
        <v>3817</v>
      </c>
      <c r="G430" s="13" t="s">
        <v>672</v>
      </c>
      <c r="H430" s="13" t="s">
        <v>3830</v>
      </c>
      <c r="J430" s="14" t="s">
        <v>703</v>
      </c>
      <c r="K430" s="13" t="s">
        <v>3146</v>
      </c>
      <c r="L430" s="13" t="s">
        <v>2342</v>
      </c>
      <c r="M430" s="13" t="s">
        <v>3818</v>
      </c>
      <c r="N430" s="13">
        <v>20</v>
      </c>
      <c r="O430" s="2">
        <f>N430/R430</f>
        <v>0.54054054054054057</v>
      </c>
      <c r="P430" s="13">
        <v>10</v>
      </c>
      <c r="Q430" s="17">
        <f>P430/S430</f>
        <v>0.35714285714285715</v>
      </c>
      <c r="R430" s="13">
        <v>37</v>
      </c>
      <c r="S430" s="13">
        <v>28</v>
      </c>
      <c r="W430" s="13">
        <v>52.08</v>
      </c>
      <c r="X430" s="13">
        <v>11.56</v>
      </c>
      <c r="AB430" s="13">
        <v>49.16</v>
      </c>
      <c r="AC430" s="13">
        <v>16.71</v>
      </c>
      <c r="AG430" s="13" t="s">
        <v>641</v>
      </c>
      <c r="BG430" s="13">
        <v>2.1499999999999998E-2</v>
      </c>
      <c r="BI430" s="13">
        <v>1.9599999999999999E-2</v>
      </c>
      <c r="BJ430" s="13">
        <v>2.53E-2</v>
      </c>
      <c r="BR430" s="13">
        <v>2.6700000000000002E-2</v>
      </c>
      <c r="BT430" s="13">
        <v>1.9400000000000001E-2</v>
      </c>
      <c r="BU430" s="13">
        <v>3.1399999999999997E-2</v>
      </c>
      <c r="BX430" s="13">
        <v>0.13100000000000001</v>
      </c>
      <c r="BY430" s="13" t="s">
        <v>3532</v>
      </c>
      <c r="BZ430" s="13" t="s">
        <v>3533</v>
      </c>
      <c r="CA430" s="13">
        <v>2024</v>
      </c>
      <c r="CB430" s="21">
        <v>45897</v>
      </c>
      <c r="CC430" s="13" t="s">
        <v>1080</v>
      </c>
      <c r="CD430" s="13">
        <v>14</v>
      </c>
      <c r="CE430" s="13">
        <v>9</v>
      </c>
      <c r="CG430" s="13" t="s">
        <v>3251</v>
      </c>
    </row>
    <row r="431" spans="1:85">
      <c r="A431" s="13" t="s">
        <v>3396</v>
      </c>
      <c r="C431" s="13" t="s">
        <v>3325</v>
      </c>
      <c r="D431" s="14" t="s">
        <v>3816</v>
      </c>
      <c r="E431" s="13" t="s">
        <v>799</v>
      </c>
      <c r="F431" s="13" t="s">
        <v>3817</v>
      </c>
      <c r="G431" s="13" t="s">
        <v>672</v>
      </c>
      <c r="H431" s="13" t="s">
        <v>3823</v>
      </c>
      <c r="J431" s="14" t="s">
        <v>703</v>
      </c>
      <c r="K431" s="13" t="s">
        <v>3146</v>
      </c>
      <c r="L431" s="13" t="s">
        <v>2342</v>
      </c>
      <c r="M431" s="13" t="s">
        <v>3818</v>
      </c>
      <c r="O431" s="2">
        <v>0.54100000000000004</v>
      </c>
      <c r="Q431" s="17">
        <v>0.35714285714285715</v>
      </c>
      <c r="R431" s="13">
        <v>33</v>
      </c>
      <c r="S431" s="13">
        <v>27</v>
      </c>
      <c r="W431" s="13">
        <v>52.08</v>
      </c>
      <c r="X431" s="13">
        <v>11.56</v>
      </c>
      <c r="AB431" s="13">
        <v>49.16</v>
      </c>
      <c r="AC431" s="13">
        <v>16.71</v>
      </c>
      <c r="AG431" s="13" t="s">
        <v>641</v>
      </c>
      <c r="BG431" s="13">
        <v>7.6E-3</v>
      </c>
      <c r="BI431" s="13">
        <v>5.3E-3</v>
      </c>
      <c r="BJ431" s="13">
        <v>8.9999999999999993E-3</v>
      </c>
      <c r="BR431" s="13">
        <v>9.4000000000000004E-3</v>
      </c>
      <c r="BT431" s="13">
        <v>7.6E-3</v>
      </c>
      <c r="BU431" s="13">
        <v>1.12E-2</v>
      </c>
      <c r="BX431" s="13">
        <v>7.6E-3</v>
      </c>
      <c r="BY431" s="13" t="s">
        <v>3532</v>
      </c>
      <c r="BZ431" s="13" t="s">
        <v>3533</v>
      </c>
      <c r="CA431" s="13">
        <v>2024</v>
      </c>
      <c r="CB431" s="21">
        <v>45897</v>
      </c>
      <c r="CC431" s="13" t="s">
        <v>1080</v>
      </c>
      <c r="CD431" s="13">
        <v>14</v>
      </c>
      <c r="CE431" s="13">
        <v>9</v>
      </c>
      <c r="CG431" s="13" t="s">
        <v>3251</v>
      </c>
    </row>
    <row r="432" spans="1:85">
      <c r="A432" s="13" t="s">
        <v>3396</v>
      </c>
      <c r="C432" s="13" t="s">
        <v>3325</v>
      </c>
      <c r="D432" s="14" t="s">
        <v>3816</v>
      </c>
      <c r="E432" s="13" t="s">
        <v>799</v>
      </c>
      <c r="F432" s="13" t="s">
        <v>3817</v>
      </c>
      <c r="G432" s="13" t="s">
        <v>672</v>
      </c>
      <c r="H432" s="13" t="s">
        <v>3824</v>
      </c>
      <c r="J432" s="14" t="s">
        <v>703</v>
      </c>
      <c r="K432" s="13" t="s">
        <v>3146</v>
      </c>
      <c r="L432" s="13" t="s">
        <v>2342</v>
      </c>
      <c r="M432" s="13" t="s">
        <v>3818</v>
      </c>
      <c r="O432" s="2">
        <v>0.54100000000000004</v>
      </c>
      <c r="P432" s="13">
        <v>10</v>
      </c>
      <c r="Q432" s="17">
        <f>P432/S432</f>
        <v>0.35714285714285715</v>
      </c>
      <c r="R432" s="13">
        <v>36</v>
      </c>
      <c r="S432" s="13">
        <v>28</v>
      </c>
      <c r="W432" s="13">
        <v>52.08</v>
      </c>
      <c r="X432" s="13">
        <v>11.56</v>
      </c>
      <c r="AB432" s="13">
        <v>49.16</v>
      </c>
      <c r="AC432" s="13">
        <v>16.71</v>
      </c>
      <c r="AG432" s="13" t="s">
        <v>641</v>
      </c>
      <c r="BG432" s="13">
        <v>2.41E-2</v>
      </c>
      <c r="BI432" s="13">
        <v>6.4999999999999997E-3</v>
      </c>
      <c r="BJ432" s="13">
        <v>3.2500000000000001E-2</v>
      </c>
      <c r="BR432" s="13">
        <v>4.2099999999999999E-2</v>
      </c>
      <c r="BT432" s="13">
        <v>8.8999999999999999E-3</v>
      </c>
      <c r="BU432" s="13">
        <v>6.0400000000000002E-2</v>
      </c>
      <c r="BX432" s="13">
        <v>5.9999999999999995E-4</v>
      </c>
      <c r="BY432" s="13" t="s">
        <v>3532</v>
      </c>
      <c r="BZ432" s="13" t="s">
        <v>3533</v>
      </c>
      <c r="CA432" s="13">
        <v>2024</v>
      </c>
      <c r="CB432" s="21">
        <v>45897</v>
      </c>
      <c r="CC432" s="13" t="s">
        <v>1080</v>
      </c>
      <c r="CD432" s="13">
        <v>14</v>
      </c>
      <c r="CE432" s="13">
        <v>9</v>
      </c>
      <c r="CG432" s="13" t="s">
        <v>3251</v>
      </c>
    </row>
    <row r="433" spans="1:85">
      <c r="A433" s="13" t="s">
        <v>3396</v>
      </c>
      <c r="C433" s="13" t="s">
        <v>3325</v>
      </c>
      <c r="D433" s="14" t="s">
        <v>3816</v>
      </c>
      <c r="E433" s="13" t="s">
        <v>799</v>
      </c>
      <c r="F433" s="13" t="s">
        <v>3817</v>
      </c>
      <c r="G433" s="13" t="s">
        <v>672</v>
      </c>
      <c r="H433" s="13" t="s">
        <v>3825</v>
      </c>
      <c r="J433" s="14" t="s">
        <v>703</v>
      </c>
      <c r="K433" s="13" t="s">
        <v>3146</v>
      </c>
      <c r="L433" s="13" t="s">
        <v>2342</v>
      </c>
      <c r="M433" s="13" t="s">
        <v>3818</v>
      </c>
      <c r="O433" s="2">
        <v>0.54100000000000004</v>
      </c>
      <c r="Q433" s="17">
        <v>0.35714285714285715</v>
      </c>
      <c r="R433" s="13">
        <v>17</v>
      </c>
      <c r="S433" s="13">
        <v>8</v>
      </c>
      <c r="W433" s="13">
        <v>52.08</v>
      </c>
      <c r="X433" s="13">
        <v>11.56</v>
      </c>
      <c r="AB433" s="13">
        <v>49.16</v>
      </c>
      <c r="AC433" s="13">
        <v>16.71</v>
      </c>
      <c r="AG433" s="13" t="s">
        <v>641</v>
      </c>
      <c r="BG433" s="13">
        <v>1.04E-2</v>
      </c>
      <c r="BI433" s="13">
        <v>8.8999999999999999E-3</v>
      </c>
      <c r="BJ433" s="13">
        <v>1.35E-2</v>
      </c>
      <c r="BR433" s="13">
        <v>1.44E-2</v>
      </c>
      <c r="BT433" s="13">
        <v>1.29E-2</v>
      </c>
      <c r="BU433" s="13">
        <v>2.1000000000000001E-2</v>
      </c>
      <c r="BX433" s="13">
        <v>1.04E-2</v>
      </c>
      <c r="BY433" s="13" t="s">
        <v>3532</v>
      </c>
      <c r="BZ433" s="13" t="s">
        <v>3533</v>
      </c>
      <c r="CA433" s="13">
        <v>2024</v>
      </c>
      <c r="CB433" s="21">
        <v>45897</v>
      </c>
      <c r="CC433" s="13" t="s">
        <v>1080</v>
      </c>
      <c r="CD433" s="13">
        <v>14</v>
      </c>
      <c r="CE433" s="13">
        <v>9</v>
      </c>
      <c r="CG433" s="13" t="s">
        <v>3251</v>
      </c>
    </row>
    <row r="434" spans="1:85">
      <c r="A434" s="13" t="s">
        <v>3396</v>
      </c>
      <c r="C434" s="13" t="s">
        <v>3325</v>
      </c>
      <c r="D434" s="14" t="s">
        <v>3816</v>
      </c>
      <c r="E434" s="13" t="s">
        <v>799</v>
      </c>
      <c r="F434" s="13" t="s">
        <v>3817</v>
      </c>
      <c r="G434" s="13" t="s">
        <v>672</v>
      </c>
      <c r="H434" s="13" t="s">
        <v>675</v>
      </c>
      <c r="J434" s="14" t="s">
        <v>703</v>
      </c>
      <c r="K434" s="13" t="s">
        <v>3146</v>
      </c>
      <c r="L434" s="13" t="s">
        <v>808</v>
      </c>
      <c r="M434" s="13" t="s">
        <v>3818</v>
      </c>
      <c r="N434" s="13">
        <v>20</v>
      </c>
      <c r="O434" s="2">
        <f>N434/R434</f>
        <v>0.54054054054054057</v>
      </c>
      <c r="Q434" s="17">
        <v>0.35714285714285715</v>
      </c>
      <c r="R434" s="13">
        <v>37</v>
      </c>
      <c r="S434" s="13">
        <v>20</v>
      </c>
      <c r="W434" s="13">
        <v>52.08</v>
      </c>
      <c r="X434" s="13">
        <v>11.56</v>
      </c>
      <c r="AB434" s="13">
        <v>49.16</v>
      </c>
      <c r="AC434" s="13">
        <v>16.71</v>
      </c>
      <c r="AG434" s="13" t="s">
        <v>639</v>
      </c>
      <c r="BG434" s="13">
        <v>6677</v>
      </c>
      <c r="BI434" s="13">
        <v>3905</v>
      </c>
      <c r="BJ434" s="13">
        <v>10282</v>
      </c>
      <c r="BR434" s="13">
        <v>434</v>
      </c>
      <c r="BT434" s="13">
        <v>248</v>
      </c>
      <c r="BU434" s="13">
        <v>630</v>
      </c>
      <c r="BX434" s="13" t="s">
        <v>701</v>
      </c>
      <c r="BY434" s="13" t="s">
        <v>3532</v>
      </c>
      <c r="BZ434" s="13" t="s">
        <v>3533</v>
      </c>
      <c r="CA434" s="13">
        <v>2024</v>
      </c>
      <c r="CB434" s="21">
        <v>45897</v>
      </c>
      <c r="CC434" s="13" t="s">
        <v>1080</v>
      </c>
      <c r="CD434" s="13">
        <v>14</v>
      </c>
      <c r="CE434" s="13">
        <v>9</v>
      </c>
      <c r="CG434" s="13" t="s">
        <v>3251</v>
      </c>
    </row>
    <row r="435" spans="1:85">
      <c r="A435" s="13" t="s">
        <v>3396</v>
      </c>
      <c r="C435" s="13" t="s">
        <v>3325</v>
      </c>
      <c r="D435" s="14" t="s">
        <v>3816</v>
      </c>
      <c r="E435" s="13" t="s">
        <v>799</v>
      </c>
      <c r="F435" s="13" t="s">
        <v>3817</v>
      </c>
      <c r="G435" s="13" t="s">
        <v>673</v>
      </c>
      <c r="H435" s="13" t="s">
        <v>675</v>
      </c>
      <c r="J435" s="14" t="s">
        <v>703</v>
      </c>
      <c r="K435" s="13" t="s">
        <v>3146</v>
      </c>
      <c r="L435" s="13" t="s">
        <v>808</v>
      </c>
      <c r="M435" s="13" t="s">
        <v>3818</v>
      </c>
      <c r="N435" s="13">
        <v>20</v>
      </c>
      <c r="O435" s="2">
        <f>N435/R435</f>
        <v>0.54054054054054057</v>
      </c>
      <c r="Q435" s="17">
        <v>0.35714285714285715</v>
      </c>
      <c r="R435" s="13">
        <v>37</v>
      </c>
      <c r="S435" s="13">
        <v>20</v>
      </c>
      <c r="W435" s="13">
        <v>52.08</v>
      </c>
      <c r="X435" s="13">
        <v>11.56</v>
      </c>
      <c r="AB435" s="13">
        <v>49.16</v>
      </c>
      <c r="AC435" s="13">
        <v>16.71</v>
      </c>
      <c r="AG435" s="13" t="s">
        <v>639</v>
      </c>
      <c r="BG435" s="13">
        <v>115</v>
      </c>
      <c r="BI435" s="13">
        <v>80</v>
      </c>
      <c r="BJ435" s="13">
        <v>138</v>
      </c>
      <c r="BR435" s="13">
        <v>9.1999999999999993</v>
      </c>
      <c r="BT435" s="13">
        <v>5.27</v>
      </c>
      <c r="BU435" s="13">
        <v>18.649999999999999</v>
      </c>
      <c r="BX435" s="13" t="s">
        <v>701</v>
      </c>
      <c r="BY435" s="13" t="s">
        <v>3532</v>
      </c>
      <c r="BZ435" s="13" t="s">
        <v>3533</v>
      </c>
      <c r="CA435" s="13">
        <v>2024</v>
      </c>
      <c r="CB435" s="21">
        <v>45897</v>
      </c>
      <c r="CC435" s="13" t="s">
        <v>1080</v>
      </c>
      <c r="CD435" s="13">
        <v>14</v>
      </c>
      <c r="CE435" s="13">
        <v>9</v>
      </c>
      <c r="CG435" s="13" t="s">
        <v>3251</v>
      </c>
    </row>
    <row r="436" spans="1:85">
      <c r="A436" s="13" t="s">
        <v>3396</v>
      </c>
      <c r="C436" s="13" t="s">
        <v>3325</v>
      </c>
      <c r="D436" s="14" t="s">
        <v>3816</v>
      </c>
      <c r="E436" s="13" t="s">
        <v>799</v>
      </c>
      <c r="F436" s="13" t="s">
        <v>3817</v>
      </c>
      <c r="G436" s="13" t="s">
        <v>672</v>
      </c>
      <c r="H436" s="13" t="s">
        <v>807</v>
      </c>
      <c r="J436" s="14" t="s">
        <v>703</v>
      </c>
      <c r="K436" s="13" t="s">
        <v>3146</v>
      </c>
      <c r="L436" s="13" t="s">
        <v>808</v>
      </c>
      <c r="M436" s="13" t="s">
        <v>3818</v>
      </c>
      <c r="O436" s="2">
        <v>0.54100000000000004</v>
      </c>
      <c r="Q436" s="17">
        <v>0.35714285714285715</v>
      </c>
      <c r="R436" s="13">
        <v>34</v>
      </c>
      <c r="S436" s="13">
        <v>25</v>
      </c>
      <c r="W436" s="13">
        <v>52.08</v>
      </c>
      <c r="X436" s="13">
        <v>11.56</v>
      </c>
      <c r="AB436" s="13">
        <v>49.16</v>
      </c>
      <c r="AC436" s="13">
        <v>16.71</v>
      </c>
      <c r="AG436" s="13" t="s">
        <v>639</v>
      </c>
      <c r="BG436" s="13">
        <v>4012</v>
      </c>
      <c r="BI436" s="13">
        <v>2471</v>
      </c>
      <c r="BJ436" s="13">
        <v>7775</v>
      </c>
      <c r="BR436" s="13">
        <v>549</v>
      </c>
      <c r="BT436" s="13">
        <v>383</v>
      </c>
      <c r="BU436" s="13">
        <v>636</v>
      </c>
      <c r="BX436" s="13" t="s">
        <v>701</v>
      </c>
      <c r="BY436" s="13" t="s">
        <v>3532</v>
      </c>
      <c r="BZ436" s="13" t="s">
        <v>3533</v>
      </c>
      <c r="CA436" s="13">
        <v>2024</v>
      </c>
      <c r="CB436" s="21">
        <v>45897</v>
      </c>
      <c r="CC436" s="13" t="s">
        <v>1080</v>
      </c>
      <c r="CD436" s="13">
        <v>14</v>
      </c>
      <c r="CE436" s="13">
        <v>9</v>
      </c>
      <c r="CG436" s="13" t="s">
        <v>3251</v>
      </c>
    </row>
    <row r="437" spans="1:85">
      <c r="A437" s="13" t="s">
        <v>3396</v>
      </c>
      <c r="C437" s="13" t="s">
        <v>3325</v>
      </c>
      <c r="D437" s="14" t="s">
        <v>3816</v>
      </c>
      <c r="E437" s="13" t="s">
        <v>799</v>
      </c>
      <c r="F437" s="13" t="s">
        <v>3817</v>
      </c>
      <c r="G437" s="13" t="s">
        <v>673</v>
      </c>
      <c r="H437" s="13" t="s">
        <v>807</v>
      </c>
      <c r="J437" s="14" t="s">
        <v>703</v>
      </c>
      <c r="K437" s="13" t="s">
        <v>3146</v>
      </c>
      <c r="L437" s="13" t="s">
        <v>808</v>
      </c>
      <c r="M437" s="13" t="s">
        <v>3818</v>
      </c>
      <c r="O437" s="2">
        <v>0.54100000000000004</v>
      </c>
      <c r="Q437" s="17">
        <v>0.35714285714285715</v>
      </c>
      <c r="R437" s="13">
        <v>33</v>
      </c>
      <c r="S437" s="13">
        <v>17</v>
      </c>
      <c r="W437" s="13">
        <v>52.08</v>
      </c>
      <c r="X437" s="13">
        <v>11.56</v>
      </c>
      <c r="AB437" s="13">
        <v>49.16</v>
      </c>
      <c r="AC437" s="13">
        <v>16.71</v>
      </c>
      <c r="AG437" s="13" t="s">
        <v>639</v>
      </c>
      <c r="BG437" s="13">
        <v>1292</v>
      </c>
      <c r="BI437" s="13">
        <v>639</v>
      </c>
      <c r="BJ437" s="13">
        <v>2131</v>
      </c>
      <c r="BR437" s="13">
        <v>147</v>
      </c>
      <c r="BT437" s="13">
        <v>80</v>
      </c>
      <c r="BU437" s="13">
        <v>218</v>
      </c>
      <c r="BX437" s="13" t="s">
        <v>701</v>
      </c>
      <c r="BY437" s="13" t="s">
        <v>3532</v>
      </c>
      <c r="BZ437" s="13" t="s">
        <v>3533</v>
      </c>
      <c r="CA437" s="13">
        <v>2024</v>
      </c>
      <c r="CB437" s="21">
        <v>45897</v>
      </c>
      <c r="CC437" s="13" t="s">
        <v>1080</v>
      </c>
      <c r="CD437" s="13">
        <v>14</v>
      </c>
      <c r="CE437" s="13">
        <v>9</v>
      </c>
      <c r="CG437" s="13" t="s">
        <v>3251</v>
      </c>
    </row>
    <row r="438" spans="1:85">
      <c r="A438" s="13" t="s">
        <v>3396</v>
      </c>
      <c r="C438" s="13" t="s">
        <v>3325</v>
      </c>
      <c r="D438" s="14" t="s">
        <v>3816</v>
      </c>
      <c r="E438" s="13" t="s">
        <v>799</v>
      </c>
      <c r="F438" s="13" t="s">
        <v>3817</v>
      </c>
      <c r="G438" s="13" t="s">
        <v>672</v>
      </c>
      <c r="H438" s="13" t="s">
        <v>679</v>
      </c>
      <c r="J438" s="14" t="s">
        <v>703</v>
      </c>
      <c r="K438" s="13" t="s">
        <v>3146</v>
      </c>
      <c r="L438" s="13" t="s">
        <v>808</v>
      </c>
      <c r="M438" s="13" t="s">
        <v>3818</v>
      </c>
      <c r="O438" s="2">
        <v>0.54100000000000004</v>
      </c>
      <c r="Q438" s="17">
        <v>0.35714285714285715</v>
      </c>
      <c r="R438" s="13">
        <v>26</v>
      </c>
      <c r="S438" s="13">
        <v>10</v>
      </c>
      <c r="W438" s="13">
        <v>52.08</v>
      </c>
      <c r="X438" s="13">
        <v>11.56</v>
      </c>
      <c r="AB438" s="13">
        <v>49.16</v>
      </c>
      <c r="AC438" s="13">
        <v>16.71</v>
      </c>
      <c r="AG438" s="13" t="s">
        <v>639</v>
      </c>
      <c r="BG438" s="13">
        <v>72.53</v>
      </c>
      <c r="BI438" s="13">
        <v>46.48</v>
      </c>
      <c r="BJ438" s="13">
        <v>100.9</v>
      </c>
      <c r="BR438" s="13">
        <v>86.38</v>
      </c>
      <c r="BT438" s="13">
        <v>45.63</v>
      </c>
      <c r="BU438" s="13">
        <v>94.78</v>
      </c>
      <c r="BX438" s="13">
        <v>0.94369999999999998</v>
      </c>
      <c r="BY438" s="13" t="s">
        <v>3532</v>
      </c>
      <c r="BZ438" s="13" t="s">
        <v>3533</v>
      </c>
      <c r="CA438" s="13">
        <v>2024</v>
      </c>
      <c r="CB438" s="21">
        <v>45897</v>
      </c>
      <c r="CC438" s="13" t="s">
        <v>1080</v>
      </c>
      <c r="CD438" s="13">
        <v>14</v>
      </c>
      <c r="CE438" s="13">
        <v>9</v>
      </c>
      <c r="CG438" s="13" t="s">
        <v>3251</v>
      </c>
    </row>
    <row r="439" spans="1:85">
      <c r="A439" s="13" t="s">
        <v>3396</v>
      </c>
      <c r="C439" s="13" t="s">
        <v>3325</v>
      </c>
      <c r="D439" s="14" t="s">
        <v>3816</v>
      </c>
      <c r="E439" s="13" t="s">
        <v>799</v>
      </c>
      <c r="F439" s="13" t="s">
        <v>3817</v>
      </c>
      <c r="G439" s="13" t="s">
        <v>673</v>
      </c>
      <c r="H439" s="13" t="s">
        <v>679</v>
      </c>
      <c r="J439" s="14" t="s">
        <v>703</v>
      </c>
      <c r="K439" s="13" t="s">
        <v>3146</v>
      </c>
      <c r="L439" s="13" t="s">
        <v>808</v>
      </c>
      <c r="M439" s="13" t="s">
        <v>3818</v>
      </c>
      <c r="O439" s="2">
        <v>0.54100000000000004</v>
      </c>
      <c r="Q439" s="17">
        <v>0.35714285714285715</v>
      </c>
      <c r="R439" s="13">
        <v>26</v>
      </c>
      <c r="S439" s="13">
        <v>10</v>
      </c>
      <c r="W439" s="13">
        <v>52.08</v>
      </c>
      <c r="X439" s="13">
        <v>11.56</v>
      </c>
      <c r="AB439" s="13">
        <v>49.16</v>
      </c>
      <c r="AC439" s="13">
        <v>16.71</v>
      </c>
      <c r="AG439" s="13" t="s">
        <v>639</v>
      </c>
      <c r="BG439" s="13">
        <v>32.89</v>
      </c>
      <c r="BI439" s="13">
        <v>24.68</v>
      </c>
      <c r="BJ439" s="13">
        <v>42.96</v>
      </c>
      <c r="BR439" s="13">
        <v>38.979999999999997</v>
      </c>
      <c r="BT439" s="13">
        <v>32.28</v>
      </c>
      <c r="BU439" s="13">
        <v>75.37</v>
      </c>
      <c r="BX439" s="13">
        <v>9.2999999999999999E-2</v>
      </c>
      <c r="BY439" s="13" t="s">
        <v>3532</v>
      </c>
      <c r="BZ439" s="13" t="s">
        <v>3533</v>
      </c>
      <c r="CA439" s="13">
        <v>2024</v>
      </c>
      <c r="CB439" s="21">
        <v>45897</v>
      </c>
      <c r="CC439" s="13" t="s">
        <v>1080</v>
      </c>
      <c r="CD439" s="13">
        <v>14</v>
      </c>
      <c r="CE439" s="13">
        <v>9</v>
      </c>
      <c r="CG439" s="13" t="s">
        <v>3251</v>
      </c>
    </row>
    <row r="440" spans="1:85">
      <c r="A440" s="13" t="s">
        <v>3396</v>
      </c>
      <c r="C440" s="13" t="s">
        <v>3325</v>
      </c>
      <c r="D440" s="14" t="s">
        <v>3816</v>
      </c>
      <c r="E440" s="13" t="s">
        <v>799</v>
      </c>
      <c r="F440" s="13" t="s">
        <v>3817</v>
      </c>
      <c r="G440" s="13" t="s">
        <v>672</v>
      </c>
      <c r="H440" s="13" t="s">
        <v>917</v>
      </c>
      <c r="J440" s="14" t="s">
        <v>703</v>
      </c>
      <c r="K440" s="13" t="s">
        <v>3146</v>
      </c>
      <c r="L440" s="13" t="s">
        <v>808</v>
      </c>
      <c r="M440" s="13" t="s">
        <v>3818</v>
      </c>
      <c r="O440" s="2">
        <v>0.54100000000000004</v>
      </c>
      <c r="Q440" s="17">
        <v>0.35714285714285715</v>
      </c>
      <c r="R440" s="13">
        <v>26</v>
      </c>
      <c r="S440" s="13">
        <v>10</v>
      </c>
      <c r="W440" s="13">
        <v>52.08</v>
      </c>
      <c r="X440" s="13">
        <v>11.56</v>
      </c>
      <c r="AB440" s="13">
        <v>49.16</v>
      </c>
      <c r="AC440" s="13">
        <v>16.71</v>
      </c>
      <c r="AG440" s="13" t="s">
        <v>2672</v>
      </c>
      <c r="BG440" s="13">
        <v>4.76</v>
      </c>
      <c r="BI440" s="13">
        <v>2.0099999999999998</v>
      </c>
      <c r="BJ440" s="13">
        <v>7.83</v>
      </c>
      <c r="BR440" s="13">
        <v>3.64</v>
      </c>
      <c r="BT440" s="13">
        <v>2.75</v>
      </c>
      <c r="BU440" s="13">
        <v>4.7699999999999996</v>
      </c>
      <c r="BX440" s="13">
        <v>0.42799999999999999</v>
      </c>
      <c r="BY440" s="13" t="s">
        <v>3532</v>
      </c>
      <c r="BZ440" s="13" t="s">
        <v>3533</v>
      </c>
      <c r="CA440" s="13">
        <v>2024</v>
      </c>
      <c r="CB440" s="21">
        <v>45897</v>
      </c>
      <c r="CC440" s="13" t="s">
        <v>1080</v>
      </c>
      <c r="CD440" s="13">
        <v>14</v>
      </c>
      <c r="CE440" s="13">
        <v>9</v>
      </c>
      <c r="CG440" s="13" t="s">
        <v>3251</v>
      </c>
    </row>
    <row r="441" spans="1:85">
      <c r="A441" s="13" t="s">
        <v>3396</v>
      </c>
      <c r="C441" s="13" t="s">
        <v>3325</v>
      </c>
      <c r="D441" s="14" t="s">
        <v>3816</v>
      </c>
      <c r="E441" s="13" t="s">
        <v>799</v>
      </c>
      <c r="F441" s="13" t="s">
        <v>3817</v>
      </c>
      <c r="G441" s="13" t="s">
        <v>673</v>
      </c>
      <c r="H441" s="13" t="s">
        <v>917</v>
      </c>
      <c r="J441" s="14" t="s">
        <v>703</v>
      </c>
      <c r="K441" s="13" t="s">
        <v>3146</v>
      </c>
      <c r="L441" s="13" t="s">
        <v>808</v>
      </c>
      <c r="M441" s="13" t="s">
        <v>3818</v>
      </c>
      <c r="O441" s="2">
        <v>0.54100000000000004</v>
      </c>
      <c r="Q441" s="17">
        <v>0.35714285714285715</v>
      </c>
      <c r="R441" s="13">
        <v>26</v>
      </c>
      <c r="S441" s="13">
        <v>10</v>
      </c>
      <c r="W441" s="13">
        <v>52.08</v>
      </c>
      <c r="X441" s="13">
        <v>11.56</v>
      </c>
      <c r="AB441" s="13">
        <v>49.16</v>
      </c>
      <c r="AC441" s="13">
        <v>16.71</v>
      </c>
      <c r="AG441" s="13" t="s">
        <v>2672</v>
      </c>
      <c r="BG441" s="13">
        <v>1048</v>
      </c>
      <c r="BI441" s="13">
        <v>617</v>
      </c>
      <c r="BJ441" s="13">
        <v>1464</v>
      </c>
      <c r="BR441" s="13">
        <v>1344</v>
      </c>
      <c r="BT441" s="13">
        <v>1008</v>
      </c>
      <c r="BU441" s="13">
        <v>3048</v>
      </c>
      <c r="BX441" s="13">
        <v>8.6099999999999996E-2</v>
      </c>
      <c r="BY441" s="13" t="s">
        <v>3532</v>
      </c>
      <c r="BZ441" s="13" t="s">
        <v>3533</v>
      </c>
      <c r="CA441" s="13">
        <v>2024</v>
      </c>
      <c r="CB441" s="21">
        <v>45897</v>
      </c>
      <c r="CC441" s="13" t="s">
        <v>1080</v>
      </c>
      <c r="CD441" s="13">
        <v>14</v>
      </c>
      <c r="CE441" s="13">
        <v>9</v>
      </c>
      <c r="CG441" s="13" t="s">
        <v>3251</v>
      </c>
    </row>
    <row r="442" spans="1:85">
      <c r="A442" s="13" t="s">
        <v>3396</v>
      </c>
      <c r="C442" s="13" t="s">
        <v>3325</v>
      </c>
      <c r="D442" s="14" t="s">
        <v>3816</v>
      </c>
      <c r="E442" s="13" t="s">
        <v>799</v>
      </c>
      <c r="F442" s="13" t="s">
        <v>3817</v>
      </c>
      <c r="G442" s="13" t="s">
        <v>672</v>
      </c>
      <c r="H442" s="13" t="s">
        <v>844</v>
      </c>
      <c r="J442" s="14" t="s">
        <v>703</v>
      </c>
      <c r="K442" s="13" t="s">
        <v>3146</v>
      </c>
      <c r="L442" s="13" t="s">
        <v>2342</v>
      </c>
      <c r="M442" s="13" t="s">
        <v>3818</v>
      </c>
      <c r="O442" s="2">
        <v>0.54100000000000004</v>
      </c>
      <c r="Q442" s="17">
        <v>0.35714285714285715</v>
      </c>
      <c r="R442" s="13">
        <v>22</v>
      </c>
      <c r="S442" s="13">
        <v>10</v>
      </c>
      <c r="W442" s="13">
        <v>52.08</v>
      </c>
      <c r="X442" s="13">
        <v>11.56</v>
      </c>
      <c r="AB442" s="13">
        <v>49.16</v>
      </c>
      <c r="AC442" s="13">
        <v>16.71</v>
      </c>
      <c r="AG442" s="13" t="s">
        <v>641</v>
      </c>
      <c r="BG442" s="13">
        <v>18.73</v>
      </c>
      <c r="BI442" s="13">
        <v>14.28</v>
      </c>
      <c r="BJ442" s="13">
        <v>24.34</v>
      </c>
      <c r="BR442" s="13">
        <v>16.91</v>
      </c>
      <c r="BT442" s="13">
        <v>11.85</v>
      </c>
      <c r="BU442" s="13">
        <v>20.440000000000001</v>
      </c>
      <c r="BX442" s="13">
        <v>0.62560000000000004</v>
      </c>
      <c r="BY442" s="13" t="s">
        <v>3532</v>
      </c>
      <c r="BZ442" s="13" t="s">
        <v>3533</v>
      </c>
      <c r="CA442" s="13">
        <v>2024</v>
      </c>
      <c r="CB442" s="21">
        <v>45897</v>
      </c>
      <c r="CC442" s="13" t="s">
        <v>1080</v>
      </c>
      <c r="CD442" s="13">
        <v>14</v>
      </c>
      <c r="CE442" s="13">
        <v>9</v>
      </c>
      <c r="CG442" s="13" t="s">
        <v>3251</v>
      </c>
    </row>
    <row r="443" spans="1:85">
      <c r="A443" s="13" t="s">
        <v>3396</v>
      </c>
      <c r="C443" s="13" t="s">
        <v>3325</v>
      </c>
      <c r="D443" s="14" t="s">
        <v>3816</v>
      </c>
      <c r="E443" s="13" t="s">
        <v>799</v>
      </c>
      <c r="F443" s="13" t="s">
        <v>3817</v>
      </c>
      <c r="G443" s="13" t="s">
        <v>673</v>
      </c>
      <c r="H443" s="13" t="s">
        <v>844</v>
      </c>
      <c r="J443" s="14" t="s">
        <v>703</v>
      </c>
      <c r="K443" s="13" t="s">
        <v>3146</v>
      </c>
      <c r="L443" s="13" t="s">
        <v>2342</v>
      </c>
      <c r="M443" s="13" t="s">
        <v>3818</v>
      </c>
      <c r="O443" s="2">
        <v>0.54100000000000004</v>
      </c>
      <c r="Q443" s="17">
        <v>0.35714285714285715</v>
      </c>
      <c r="R443" s="13">
        <v>23</v>
      </c>
      <c r="S443" s="13">
        <v>10</v>
      </c>
      <c r="W443" s="13">
        <v>52.08</v>
      </c>
      <c r="X443" s="13">
        <v>11.56</v>
      </c>
      <c r="AB443" s="13">
        <v>49.16</v>
      </c>
      <c r="AC443" s="13">
        <v>16.71</v>
      </c>
      <c r="AG443" s="13" t="s">
        <v>641</v>
      </c>
      <c r="BG443" s="13">
        <v>19.55</v>
      </c>
      <c r="BI443" s="13">
        <v>15.76</v>
      </c>
      <c r="BJ443" s="13">
        <v>28.05</v>
      </c>
      <c r="BR443" s="13">
        <v>16.89</v>
      </c>
      <c r="BT443" s="13">
        <v>11.22</v>
      </c>
      <c r="BU443" s="13">
        <v>27.61</v>
      </c>
      <c r="BX443" s="13">
        <v>0.48070000000000002</v>
      </c>
      <c r="BY443" s="13" t="s">
        <v>3532</v>
      </c>
      <c r="BZ443" s="13" t="s">
        <v>3533</v>
      </c>
      <c r="CA443" s="13">
        <v>2024</v>
      </c>
      <c r="CB443" s="21">
        <v>45897</v>
      </c>
      <c r="CC443" s="13" t="s">
        <v>1080</v>
      </c>
      <c r="CD443" s="13">
        <v>14</v>
      </c>
      <c r="CE443" s="13">
        <v>9</v>
      </c>
      <c r="CG443" s="13" t="s">
        <v>3251</v>
      </c>
    </row>
    <row r="444" spans="1:85">
      <c r="A444" s="13" t="s">
        <v>3396</v>
      </c>
      <c r="C444" s="13" t="s">
        <v>3325</v>
      </c>
      <c r="D444" s="14" t="s">
        <v>3816</v>
      </c>
      <c r="E444" s="13" t="s">
        <v>799</v>
      </c>
      <c r="F444" s="13" t="s">
        <v>3817</v>
      </c>
      <c r="G444" s="13" t="s">
        <v>725</v>
      </c>
      <c r="H444" s="13" t="s">
        <v>3826</v>
      </c>
      <c r="J444" s="14" t="s">
        <v>703</v>
      </c>
      <c r="K444" s="13" t="s">
        <v>3146</v>
      </c>
      <c r="L444" s="13" t="s">
        <v>3831</v>
      </c>
      <c r="M444" s="13" t="s">
        <v>3818</v>
      </c>
      <c r="O444" s="2">
        <v>0.54100000000000004</v>
      </c>
      <c r="Q444" s="17">
        <v>0.35714285714285715</v>
      </c>
      <c r="R444" s="13">
        <v>33</v>
      </c>
      <c r="S444" s="13">
        <v>22</v>
      </c>
      <c r="W444" s="13">
        <v>52.08</v>
      </c>
      <c r="X444" s="13">
        <v>11.56</v>
      </c>
      <c r="AB444" s="13">
        <v>49.16</v>
      </c>
      <c r="AC444" s="13">
        <v>16.71</v>
      </c>
      <c r="AG444" s="13" t="s">
        <v>3829</v>
      </c>
      <c r="BG444" s="13">
        <v>1.89</v>
      </c>
      <c r="BI444" s="13">
        <v>1.43</v>
      </c>
      <c r="BJ444" s="13">
        <v>2.1800000000000002</v>
      </c>
      <c r="BR444" s="13">
        <v>2.0699999999999998</v>
      </c>
      <c r="BT444" s="13">
        <v>1.78</v>
      </c>
      <c r="BU444" s="13">
        <v>2.5099999999999998</v>
      </c>
      <c r="BX444" s="13">
        <v>0.15629999999999999</v>
      </c>
      <c r="BY444" s="13" t="s">
        <v>3532</v>
      </c>
      <c r="BZ444" s="13" t="s">
        <v>3533</v>
      </c>
      <c r="CA444" s="13">
        <v>2024</v>
      </c>
      <c r="CB444" s="21">
        <v>45897</v>
      </c>
      <c r="CC444" s="13" t="s">
        <v>1080</v>
      </c>
      <c r="CD444" s="13">
        <v>14</v>
      </c>
      <c r="CE444" s="13">
        <v>9</v>
      </c>
      <c r="CG444" s="13" t="s">
        <v>3251</v>
      </c>
    </row>
    <row r="445" spans="1:85">
      <c r="A445" s="13" t="s">
        <v>3396</v>
      </c>
      <c r="C445" s="13" t="s">
        <v>3325</v>
      </c>
      <c r="D445" s="14" t="s">
        <v>3816</v>
      </c>
      <c r="E445" s="13" t="s">
        <v>799</v>
      </c>
      <c r="F445" s="13" t="s">
        <v>3817</v>
      </c>
      <c r="G445" s="13" t="s">
        <v>725</v>
      </c>
      <c r="H445" s="13" t="s">
        <v>3827</v>
      </c>
      <c r="J445" s="14" t="s">
        <v>703</v>
      </c>
      <c r="K445" s="13" t="s">
        <v>3146</v>
      </c>
      <c r="L445" s="13" t="s">
        <v>3831</v>
      </c>
      <c r="M445" s="13" t="s">
        <v>3818</v>
      </c>
      <c r="N445" s="13">
        <v>20</v>
      </c>
      <c r="O445" s="2">
        <f>N445/R445</f>
        <v>0.54054054054054057</v>
      </c>
      <c r="Q445" s="17">
        <v>0.35714285714285715</v>
      </c>
      <c r="R445" s="13">
        <v>37</v>
      </c>
      <c r="S445" s="13">
        <v>25</v>
      </c>
      <c r="W445" s="13">
        <v>52.08</v>
      </c>
      <c r="X445" s="13">
        <v>11.56</v>
      </c>
      <c r="AB445" s="13">
        <v>49.16</v>
      </c>
      <c r="AC445" s="13">
        <v>16.71</v>
      </c>
      <c r="AG445" s="13" t="s">
        <v>3829</v>
      </c>
      <c r="BG445" s="13">
        <v>3.58</v>
      </c>
      <c r="BI445" s="13">
        <v>3.15</v>
      </c>
      <c r="BJ445" s="13">
        <v>4.91</v>
      </c>
      <c r="BR445" s="13">
        <v>3.74</v>
      </c>
      <c r="BT445" s="13">
        <v>2.99</v>
      </c>
      <c r="BU445" s="13">
        <v>4.6500000000000004</v>
      </c>
      <c r="BX445" s="13">
        <v>0.82399999999999995</v>
      </c>
      <c r="BY445" s="13" t="s">
        <v>3532</v>
      </c>
      <c r="BZ445" s="13" t="s">
        <v>3533</v>
      </c>
      <c r="CA445" s="13">
        <v>2024</v>
      </c>
      <c r="CB445" s="21">
        <v>45897</v>
      </c>
      <c r="CC445" s="13" t="s">
        <v>1080</v>
      </c>
      <c r="CD445" s="13">
        <v>14</v>
      </c>
      <c r="CE445" s="13">
        <v>9</v>
      </c>
      <c r="CG445" s="13" t="s">
        <v>3251</v>
      </c>
    </row>
    <row r="446" spans="1:85">
      <c r="A446" s="13" t="s">
        <v>3396</v>
      </c>
      <c r="C446" s="13" t="s">
        <v>3325</v>
      </c>
      <c r="D446" s="14" t="s">
        <v>3816</v>
      </c>
      <c r="E446" s="13" t="s">
        <v>799</v>
      </c>
      <c r="F446" s="13" t="s">
        <v>3817</v>
      </c>
      <c r="G446" s="13" t="s">
        <v>725</v>
      </c>
      <c r="H446" s="13" t="s">
        <v>2595</v>
      </c>
      <c r="J446" s="14" t="s">
        <v>703</v>
      </c>
      <c r="K446" s="13" t="s">
        <v>3146</v>
      </c>
      <c r="L446" s="13" t="s">
        <v>3831</v>
      </c>
      <c r="M446" s="13" t="s">
        <v>3818</v>
      </c>
      <c r="O446" s="2">
        <v>0.54100000000000004</v>
      </c>
      <c r="Q446" s="17">
        <v>0.35714285714285715</v>
      </c>
      <c r="R446" s="13">
        <v>33</v>
      </c>
      <c r="S446" s="13">
        <v>22</v>
      </c>
      <c r="W446" s="13">
        <v>52.08</v>
      </c>
      <c r="X446" s="13">
        <v>11.56</v>
      </c>
      <c r="AB446" s="13">
        <v>49.16</v>
      </c>
      <c r="AC446" s="13">
        <v>16.71</v>
      </c>
      <c r="BG446" s="13">
        <v>2.06</v>
      </c>
      <c r="BI446" s="13">
        <v>1.68</v>
      </c>
      <c r="BJ446" s="13">
        <v>2.9</v>
      </c>
      <c r="BR446" s="13">
        <v>1.93</v>
      </c>
      <c r="BT446" s="13">
        <v>1.49</v>
      </c>
      <c r="BU446" s="13">
        <v>2.4</v>
      </c>
      <c r="BX446" s="13">
        <v>0.27150000000000002</v>
      </c>
      <c r="BY446" s="13" t="s">
        <v>3532</v>
      </c>
      <c r="BZ446" s="13" t="s">
        <v>3533</v>
      </c>
      <c r="CA446" s="13">
        <v>2024</v>
      </c>
      <c r="CB446" s="21">
        <v>45897</v>
      </c>
      <c r="CC446" s="13" t="s">
        <v>1080</v>
      </c>
      <c r="CD446" s="13">
        <v>14</v>
      </c>
      <c r="CE446" s="13">
        <v>9</v>
      </c>
      <c r="CG446" s="13" t="s">
        <v>3251</v>
      </c>
    </row>
    <row r="447" spans="1:85">
      <c r="A447" s="13" t="s">
        <v>3396</v>
      </c>
      <c r="C447" s="13" t="s">
        <v>3325</v>
      </c>
      <c r="D447" s="14" t="s">
        <v>3816</v>
      </c>
      <c r="E447" s="13" t="s">
        <v>799</v>
      </c>
      <c r="F447" s="13" t="s">
        <v>3817</v>
      </c>
      <c r="G447" s="13" t="s">
        <v>725</v>
      </c>
      <c r="H447" s="13" t="s">
        <v>3828</v>
      </c>
      <c r="J447" s="14" t="s">
        <v>703</v>
      </c>
      <c r="K447" s="13" t="s">
        <v>3146</v>
      </c>
      <c r="L447" s="13" t="s">
        <v>3831</v>
      </c>
      <c r="M447" s="13" t="s">
        <v>3818</v>
      </c>
      <c r="O447" s="2">
        <v>0.54100000000000004</v>
      </c>
      <c r="Q447" s="17">
        <v>0.35714285714285715</v>
      </c>
      <c r="R447" s="13">
        <v>33</v>
      </c>
      <c r="S447" s="13">
        <v>22</v>
      </c>
      <c r="W447" s="13">
        <v>52.08</v>
      </c>
      <c r="X447" s="13">
        <v>11.56</v>
      </c>
      <c r="AB447" s="13">
        <v>49.16</v>
      </c>
      <c r="AC447" s="13">
        <v>16.71</v>
      </c>
      <c r="AG447" s="13" t="s">
        <v>3829</v>
      </c>
      <c r="BG447" s="13">
        <v>0.48</v>
      </c>
      <c r="BI447" s="13">
        <v>0.43</v>
      </c>
      <c r="BJ447" s="13">
        <v>0.61</v>
      </c>
      <c r="BR447" s="13">
        <v>0.51</v>
      </c>
      <c r="BT447" s="13">
        <v>0.42</v>
      </c>
      <c r="BU447" s="13">
        <v>0.63</v>
      </c>
      <c r="BX447" s="13">
        <v>0.64259999999999995</v>
      </c>
      <c r="BY447" s="13" t="s">
        <v>3532</v>
      </c>
      <c r="BZ447" s="13" t="s">
        <v>3533</v>
      </c>
      <c r="CA447" s="13">
        <v>2024</v>
      </c>
      <c r="CB447" s="21">
        <v>45897</v>
      </c>
      <c r="CC447" s="13" t="s">
        <v>1080</v>
      </c>
      <c r="CD447" s="13">
        <v>14</v>
      </c>
      <c r="CE447" s="13">
        <v>9</v>
      </c>
      <c r="CG447" s="13" t="s">
        <v>3251</v>
      </c>
    </row>
    <row r="448" spans="1:85">
      <c r="A448" s="13" t="s">
        <v>3396</v>
      </c>
      <c r="C448" s="13" t="s">
        <v>3325</v>
      </c>
      <c r="D448" s="14" t="s">
        <v>3816</v>
      </c>
      <c r="E448" s="13" t="s">
        <v>799</v>
      </c>
      <c r="F448" s="13" t="s">
        <v>3817</v>
      </c>
      <c r="G448" s="13" t="s">
        <v>725</v>
      </c>
      <c r="H448" s="13" t="s">
        <v>2273</v>
      </c>
      <c r="J448" s="14" t="s">
        <v>703</v>
      </c>
      <c r="K448" s="13" t="s">
        <v>3146</v>
      </c>
      <c r="L448" s="13" t="s">
        <v>3831</v>
      </c>
      <c r="M448" s="13" t="s">
        <v>3818</v>
      </c>
      <c r="O448" s="2">
        <v>0.54100000000000004</v>
      </c>
      <c r="Q448" s="17">
        <v>0.35714285714285715</v>
      </c>
      <c r="R448" s="13">
        <v>33</v>
      </c>
      <c r="S448" s="13">
        <v>17</v>
      </c>
      <c r="W448" s="13">
        <v>52.08</v>
      </c>
      <c r="X448" s="13">
        <v>11.56</v>
      </c>
      <c r="AB448" s="13">
        <v>49.16</v>
      </c>
      <c r="AC448" s="13">
        <v>16.71</v>
      </c>
      <c r="AG448" s="13" t="s">
        <v>2455</v>
      </c>
      <c r="BG448" s="13">
        <v>0.5</v>
      </c>
      <c r="BI448" s="13">
        <v>0.5</v>
      </c>
      <c r="BJ448" s="13">
        <v>0.5</v>
      </c>
      <c r="BR448" s="13">
        <v>0.5</v>
      </c>
      <c r="BT448" s="13">
        <v>0.5</v>
      </c>
      <c r="BU448" s="13">
        <v>1</v>
      </c>
      <c r="BX448" s="13">
        <v>6.83E-2</v>
      </c>
      <c r="BY448" s="13" t="s">
        <v>3532</v>
      </c>
      <c r="BZ448" s="13" t="s">
        <v>3533</v>
      </c>
      <c r="CA448" s="13">
        <v>2024</v>
      </c>
      <c r="CB448" s="21">
        <v>45897</v>
      </c>
      <c r="CC448" s="13" t="s">
        <v>1080</v>
      </c>
      <c r="CD448" s="13">
        <v>14</v>
      </c>
      <c r="CE448" s="13">
        <v>9</v>
      </c>
      <c r="CG448" s="13" t="s">
        <v>3251</v>
      </c>
    </row>
    <row r="449" spans="1:85">
      <c r="A449" s="13" t="s">
        <v>1717</v>
      </c>
      <c r="C449" s="13" t="s">
        <v>348</v>
      </c>
      <c r="D449" s="13" t="s">
        <v>914</v>
      </c>
      <c r="E449" s="13" t="s">
        <v>799</v>
      </c>
      <c r="F449" s="13" t="s">
        <v>913</v>
      </c>
      <c r="G449" s="13" t="s">
        <v>672</v>
      </c>
      <c r="H449" s="13" t="s">
        <v>684</v>
      </c>
      <c r="I449" s="13" t="s">
        <v>912</v>
      </c>
      <c r="J449" s="13" t="s">
        <v>669</v>
      </c>
      <c r="K449" s="13" t="s">
        <v>3636</v>
      </c>
      <c r="L449" s="13" t="s">
        <v>1971</v>
      </c>
      <c r="M449" s="13" t="s">
        <v>915</v>
      </c>
      <c r="N449" s="13">
        <v>26</v>
      </c>
      <c r="O449" s="2">
        <f>N449/R449</f>
        <v>0.52</v>
      </c>
      <c r="Q449" s="17">
        <v>0.38</v>
      </c>
      <c r="R449" s="13">
        <v>50</v>
      </c>
      <c r="S449" s="13">
        <v>50</v>
      </c>
      <c r="T449" s="13">
        <v>2</v>
      </c>
      <c r="U449" s="15">
        <f>2/50</f>
        <v>0.04</v>
      </c>
      <c r="V449" s="13">
        <v>4</v>
      </c>
      <c r="W449" s="13">
        <v>67.5</v>
      </c>
      <c r="X449" s="13">
        <v>10.4</v>
      </c>
      <c r="AB449" s="13">
        <v>47</v>
      </c>
      <c r="AC449" s="13">
        <v>19</v>
      </c>
      <c r="AJ449" s="13">
        <v>96</v>
      </c>
      <c r="AM449" s="13">
        <v>94</v>
      </c>
      <c r="BY449" s="13" t="s">
        <v>344</v>
      </c>
      <c r="BZ449" s="13" t="s">
        <v>345</v>
      </c>
      <c r="CA449" s="13">
        <v>2024</v>
      </c>
      <c r="CC449" s="13" t="s">
        <v>284</v>
      </c>
      <c r="CD449" s="13">
        <v>19</v>
      </c>
      <c r="CE449" s="13">
        <v>4</v>
      </c>
      <c r="CF449" s="13" t="s">
        <v>346</v>
      </c>
      <c r="CG449" s="13" t="s">
        <v>347</v>
      </c>
    </row>
    <row r="450" spans="1:85">
      <c r="A450" s="13" t="s">
        <v>1858</v>
      </c>
      <c r="B450" s="13" t="s">
        <v>1858</v>
      </c>
      <c r="C450" s="14" t="s">
        <v>1365</v>
      </c>
      <c r="D450" s="14" t="s">
        <v>831</v>
      </c>
      <c r="E450" s="13" t="s">
        <v>630</v>
      </c>
      <c r="F450" s="13" t="s">
        <v>2641</v>
      </c>
      <c r="G450" s="13" t="s">
        <v>702</v>
      </c>
      <c r="H450" s="13" t="s">
        <v>2627</v>
      </c>
      <c r="J450" s="14" t="s">
        <v>703</v>
      </c>
      <c r="K450" s="14" t="s">
        <v>2927</v>
      </c>
      <c r="L450" s="13" t="s">
        <v>2642</v>
      </c>
      <c r="P450" s="13">
        <v>48</v>
      </c>
      <c r="Q450" s="17">
        <f>P450/S450</f>
        <v>0.46153846153846156</v>
      </c>
      <c r="R450" s="13">
        <v>79</v>
      </c>
      <c r="S450" s="13">
        <v>104</v>
      </c>
      <c r="Y450" s="13">
        <v>65</v>
      </c>
      <c r="AD450" s="13">
        <v>62</v>
      </c>
      <c r="AG450" s="13" t="s">
        <v>2579</v>
      </c>
      <c r="AP450" s="13">
        <v>0.79</v>
      </c>
      <c r="AR450" s="13">
        <v>0.73</v>
      </c>
      <c r="AS450" s="13">
        <v>0.86</v>
      </c>
      <c r="BG450" s="13">
        <v>73.3</v>
      </c>
      <c r="BR450" s="13">
        <v>117.3</v>
      </c>
      <c r="BY450" s="13" t="s">
        <v>1361</v>
      </c>
      <c r="BZ450" s="13" t="s">
        <v>1362</v>
      </c>
      <c r="CA450" s="13">
        <v>2020</v>
      </c>
      <c r="CB450" s="13" t="s">
        <v>12</v>
      </c>
      <c r="CC450" s="13" t="s">
        <v>1363</v>
      </c>
      <c r="CD450" s="13">
        <v>139</v>
      </c>
      <c r="CF450" s="13" t="s">
        <v>2179</v>
      </c>
      <c r="CG450" s="13" t="s">
        <v>1364</v>
      </c>
    </row>
    <row r="451" spans="1:85">
      <c r="A451" s="13" t="s">
        <v>1858</v>
      </c>
      <c r="B451" s="13" t="s">
        <v>1858</v>
      </c>
      <c r="C451" s="14" t="s">
        <v>1365</v>
      </c>
      <c r="D451" s="14" t="s">
        <v>831</v>
      </c>
      <c r="E451" s="13" t="s">
        <v>630</v>
      </c>
      <c r="F451" s="13" t="s">
        <v>2641</v>
      </c>
      <c r="G451" s="13" t="s">
        <v>702</v>
      </c>
      <c r="H451" s="13" t="s">
        <v>2628</v>
      </c>
      <c r="J451" s="14" t="s">
        <v>703</v>
      </c>
      <c r="K451" s="14" t="s">
        <v>2927</v>
      </c>
      <c r="L451" s="13" t="s">
        <v>2642</v>
      </c>
      <c r="R451" s="13">
        <v>73</v>
      </c>
      <c r="S451" s="13">
        <v>77</v>
      </c>
      <c r="Y451" s="13">
        <v>65</v>
      </c>
      <c r="AD451" s="13">
        <v>62</v>
      </c>
      <c r="AG451" s="13" t="s">
        <v>2579</v>
      </c>
      <c r="AP451" s="13">
        <v>0.69</v>
      </c>
      <c r="AR451" s="13">
        <v>0.6</v>
      </c>
      <c r="AS451" s="13">
        <v>0.77</v>
      </c>
      <c r="BG451" s="13">
        <v>82.7</v>
      </c>
      <c r="BR451" s="13">
        <v>52.8</v>
      </c>
      <c r="BY451" s="13" t="s">
        <v>1361</v>
      </c>
      <c r="BZ451" s="13" t="s">
        <v>1362</v>
      </c>
      <c r="CA451" s="13">
        <v>2020</v>
      </c>
      <c r="CB451" s="13" t="s">
        <v>12</v>
      </c>
      <c r="CC451" s="13" t="s">
        <v>1363</v>
      </c>
      <c r="CD451" s="13">
        <v>139</v>
      </c>
      <c r="CF451" s="13" t="s">
        <v>2179</v>
      </c>
      <c r="CG451" s="13" t="s">
        <v>1364</v>
      </c>
    </row>
    <row r="452" spans="1:85">
      <c r="A452" s="13" t="s">
        <v>1858</v>
      </c>
      <c r="B452" s="13" t="s">
        <v>1858</v>
      </c>
      <c r="C452" s="14" t="s">
        <v>1365</v>
      </c>
      <c r="D452" s="14" t="s">
        <v>831</v>
      </c>
      <c r="E452" s="13" t="s">
        <v>630</v>
      </c>
      <c r="F452" s="13" t="s">
        <v>2641</v>
      </c>
      <c r="G452" s="13" t="s">
        <v>702</v>
      </c>
      <c r="H452" s="13" t="s">
        <v>2629</v>
      </c>
      <c r="J452" s="14" t="s">
        <v>703</v>
      </c>
      <c r="K452" s="14" t="s">
        <v>2927</v>
      </c>
      <c r="L452" s="13" t="s">
        <v>2642</v>
      </c>
      <c r="R452" s="13">
        <v>78</v>
      </c>
      <c r="S452" s="13">
        <v>99</v>
      </c>
      <c r="Y452" s="13">
        <v>65</v>
      </c>
      <c r="AD452" s="13">
        <v>62</v>
      </c>
      <c r="AG452" s="13" t="s">
        <v>2579</v>
      </c>
      <c r="AP452" s="13">
        <v>0.51</v>
      </c>
      <c r="AR452" s="13">
        <v>0.42</v>
      </c>
      <c r="AS452" s="13">
        <v>0.59</v>
      </c>
      <c r="BG452" s="13">
        <v>96.5</v>
      </c>
      <c r="BR452" s="13">
        <v>99.7</v>
      </c>
      <c r="BY452" s="13" t="s">
        <v>1361</v>
      </c>
      <c r="BZ452" s="13" t="s">
        <v>1362</v>
      </c>
      <c r="CA452" s="13">
        <v>2020</v>
      </c>
      <c r="CB452" s="13" t="s">
        <v>12</v>
      </c>
      <c r="CC452" s="13" t="s">
        <v>1363</v>
      </c>
      <c r="CD452" s="13">
        <v>139</v>
      </c>
      <c r="CF452" s="13" t="s">
        <v>2179</v>
      </c>
      <c r="CG452" s="13" t="s">
        <v>1364</v>
      </c>
    </row>
    <row r="453" spans="1:85">
      <c r="A453" s="13" t="s">
        <v>1858</v>
      </c>
      <c r="B453" s="13" t="s">
        <v>1858</v>
      </c>
      <c r="C453" s="14" t="s">
        <v>1365</v>
      </c>
      <c r="D453" s="14" t="s">
        <v>831</v>
      </c>
      <c r="E453" s="13" t="s">
        <v>630</v>
      </c>
      <c r="F453" s="13" t="s">
        <v>2641</v>
      </c>
      <c r="G453" s="13" t="s">
        <v>702</v>
      </c>
      <c r="H453" s="13" t="s">
        <v>2630</v>
      </c>
      <c r="J453" s="14" t="s">
        <v>703</v>
      </c>
      <c r="K453" s="14" t="s">
        <v>2927</v>
      </c>
      <c r="L453" s="13" t="s">
        <v>2642</v>
      </c>
      <c r="R453" s="13">
        <v>89</v>
      </c>
      <c r="S453" s="13">
        <v>101</v>
      </c>
      <c r="Y453" s="13">
        <v>65</v>
      </c>
      <c r="AD453" s="13">
        <v>62</v>
      </c>
      <c r="AG453" s="13" t="s">
        <v>2579</v>
      </c>
      <c r="AP453" s="13">
        <v>0.56999999999999995</v>
      </c>
      <c r="AR453" s="13">
        <v>0.49</v>
      </c>
      <c r="AS453" s="13">
        <v>0.65</v>
      </c>
      <c r="BG453" s="13">
        <v>90.4</v>
      </c>
      <c r="BR453" s="13">
        <v>100.1</v>
      </c>
      <c r="BY453" s="13" t="s">
        <v>1361</v>
      </c>
      <c r="BZ453" s="13" t="s">
        <v>1362</v>
      </c>
      <c r="CA453" s="13">
        <v>2020</v>
      </c>
      <c r="CB453" s="13" t="s">
        <v>12</v>
      </c>
      <c r="CC453" s="13" t="s">
        <v>1363</v>
      </c>
      <c r="CD453" s="13">
        <v>139</v>
      </c>
      <c r="CF453" s="13" t="s">
        <v>2179</v>
      </c>
      <c r="CG453" s="13" t="s">
        <v>1364</v>
      </c>
    </row>
    <row r="454" spans="1:85">
      <c r="A454" s="13" t="s">
        <v>1858</v>
      </c>
      <c r="B454" s="13" t="s">
        <v>1858</v>
      </c>
      <c r="C454" s="14" t="s">
        <v>1365</v>
      </c>
      <c r="D454" s="14" t="s">
        <v>831</v>
      </c>
      <c r="E454" s="13" t="s">
        <v>630</v>
      </c>
      <c r="F454" s="13" t="s">
        <v>2641</v>
      </c>
      <c r="G454" s="13" t="s">
        <v>702</v>
      </c>
      <c r="H454" s="13" t="s">
        <v>2632</v>
      </c>
      <c r="J454" s="14" t="s">
        <v>703</v>
      </c>
      <c r="K454" s="14" t="s">
        <v>2927</v>
      </c>
      <c r="L454" s="13" t="s">
        <v>2642</v>
      </c>
      <c r="R454" s="13">
        <v>63</v>
      </c>
      <c r="S454" s="13">
        <v>56</v>
      </c>
      <c r="Y454" s="13">
        <v>65</v>
      </c>
      <c r="AD454" s="13">
        <v>62</v>
      </c>
      <c r="AG454" s="13" t="s">
        <v>2579</v>
      </c>
      <c r="AP454" s="13">
        <v>0.61</v>
      </c>
      <c r="AR454" s="13">
        <v>0.5</v>
      </c>
      <c r="AS454" s="13">
        <v>0.71</v>
      </c>
      <c r="BG454" s="13">
        <v>81.099999999999994</v>
      </c>
      <c r="BR454" s="13">
        <v>70.3</v>
      </c>
      <c r="BY454" s="13" t="s">
        <v>1361</v>
      </c>
      <c r="BZ454" s="13" t="s">
        <v>1362</v>
      </c>
      <c r="CA454" s="13">
        <v>2020</v>
      </c>
      <c r="CB454" s="13" t="s">
        <v>12</v>
      </c>
      <c r="CC454" s="13" t="s">
        <v>1363</v>
      </c>
      <c r="CD454" s="13">
        <v>139</v>
      </c>
      <c r="CF454" s="13" t="s">
        <v>2179</v>
      </c>
      <c r="CG454" s="13" t="s">
        <v>1364</v>
      </c>
    </row>
    <row r="455" spans="1:85">
      <c r="A455" s="13" t="s">
        <v>1858</v>
      </c>
      <c r="B455" s="13" t="s">
        <v>1858</v>
      </c>
      <c r="C455" s="14" t="s">
        <v>1365</v>
      </c>
      <c r="D455" s="14" t="s">
        <v>831</v>
      </c>
      <c r="E455" s="13" t="s">
        <v>630</v>
      </c>
      <c r="F455" s="13" t="s">
        <v>2641</v>
      </c>
      <c r="G455" s="13" t="s">
        <v>702</v>
      </c>
      <c r="H455" s="13" t="s">
        <v>2631</v>
      </c>
      <c r="J455" s="14" t="s">
        <v>703</v>
      </c>
      <c r="K455" s="14" t="s">
        <v>2927</v>
      </c>
      <c r="L455" s="13" t="s">
        <v>2642</v>
      </c>
      <c r="R455" s="13">
        <v>88</v>
      </c>
      <c r="S455" s="13">
        <v>98</v>
      </c>
      <c r="Y455" s="13">
        <v>65</v>
      </c>
      <c r="AD455" s="13">
        <v>62</v>
      </c>
      <c r="AG455" s="13" t="s">
        <v>2579</v>
      </c>
      <c r="AP455" s="13">
        <v>0.72</v>
      </c>
      <c r="AR455" s="13">
        <v>0.64</v>
      </c>
      <c r="AS455" s="13">
        <v>0.79</v>
      </c>
      <c r="BG455" s="13">
        <v>87</v>
      </c>
      <c r="BR455" s="13">
        <v>43.9</v>
      </c>
      <c r="BY455" s="13" t="s">
        <v>1361</v>
      </c>
      <c r="BZ455" s="13" t="s">
        <v>1362</v>
      </c>
      <c r="CA455" s="13">
        <v>2020</v>
      </c>
      <c r="CB455" s="13" t="s">
        <v>12</v>
      </c>
      <c r="CC455" s="13" t="s">
        <v>1363</v>
      </c>
      <c r="CD455" s="13">
        <v>139</v>
      </c>
      <c r="CF455" s="13" t="s">
        <v>2179</v>
      </c>
      <c r="CG455" s="13" t="s">
        <v>1364</v>
      </c>
    </row>
    <row r="456" spans="1:85">
      <c r="A456" s="13" t="s">
        <v>1858</v>
      </c>
      <c r="B456" s="13" t="s">
        <v>1858</v>
      </c>
      <c r="C456" s="14" t="s">
        <v>1365</v>
      </c>
      <c r="D456" s="14" t="s">
        <v>831</v>
      </c>
      <c r="E456" s="13" t="s">
        <v>630</v>
      </c>
      <c r="F456" s="13" t="s">
        <v>2641</v>
      </c>
      <c r="G456" s="13" t="s">
        <v>702</v>
      </c>
      <c r="H456" s="13" t="s">
        <v>2633</v>
      </c>
      <c r="J456" s="14" t="s">
        <v>703</v>
      </c>
      <c r="K456" s="14" t="s">
        <v>2927</v>
      </c>
      <c r="L456" s="13" t="s">
        <v>2642</v>
      </c>
      <c r="R456" s="13">
        <v>85</v>
      </c>
      <c r="S456" s="13">
        <v>58</v>
      </c>
      <c r="Y456" s="13">
        <v>65</v>
      </c>
      <c r="AD456" s="13">
        <v>62</v>
      </c>
      <c r="AG456" s="13" t="s">
        <v>2579</v>
      </c>
      <c r="AP456" s="13">
        <v>0.64</v>
      </c>
      <c r="AR456" s="13">
        <v>0.54</v>
      </c>
      <c r="AS456" s="13">
        <v>0.75</v>
      </c>
      <c r="BG456" s="13">
        <v>77.3</v>
      </c>
      <c r="BR456" s="13">
        <v>59</v>
      </c>
      <c r="BY456" s="13" t="s">
        <v>1361</v>
      </c>
      <c r="BZ456" s="13" t="s">
        <v>1362</v>
      </c>
      <c r="CA456" s="13">
        <v>2020</v>
      </c>
      <c r="CB456" s="13" t="s">
        <v>12</v>
      </c>
      <c r="CC456" s="13" t="s">
        <v>1363</v>
      </c>
      <c r="CD456" s="13">
        <v>139</v>
      </c>
      <c r="CF456" s="13" t="s">
        <v>2179</v>
      </c>
      <c r="CG456" s="13" t="s">
        <v>1364</v>
      </c>
    </row>
    <row r="457" spans="1:85">
      <c r="A457" s="13" t="s">
        <v>1858</v>
      </c>
      <c r="B457" s="13" t="s">
        <v>1858</v>
      </c>
      <c r="C457" s="14" t="s">
        <v>1365</v>
      </c>
      <c r="D457" s="14" t="s">
        <v>831</v>
      </c>
      <c r="E457" s="13" t="s">
        <v>630</v>
      </c>
      <c r="F457" s="13" t="s">
        <v>2641</v>
      </c>
      <c r="G457" s="13" t="s">
        <v>702</v>
      </c>
      <c r="H457" s="13" t="s">
        <v>2634</v>
      </c>
      <c r="J457" s="14" t="s">
        <v>703</v>
      </c>
      <c r="K457" s="14" t="s">
        <v>2927</v>
      </c>
      <c r="L457" s="13" t="s">
        <v>2642</v>
      </c>
      <c r="R457" s="13">
        <v>79</v>
      </c>
      <c r="S457" s="13">
        <v>76</v>
      </c>
      <c r="Y457" s="13">
        <v>65</v>
      </c>
      <c r="AD457" s="13">
        <v>62</v>
      </c>
      <c r="AG457" s="13" t="s">
        <v>2579</v>
      </c>
      <c r="AP457" s="13">
        <v>0.76</v>
      </c>
      <c r="AR457" s="13">
        <v>0.69</v>
      </c>
      <c r="AS457" s="13">
        <v>0.84</v>
      </c>
      <c r="BG457" s="13">
        <v>50.3</v>
      </c>
      <c r="BR457" s="13">
        <v>25</v>
      </c>
      <c r="BY457" s="13" t="s">
        <v>1361</v>
      </c>
      <c r="BZ457" s="13" t="s">
        <v>1362</v>
      </c>
      <c r="CA457" s="13">
        <v>2020</v>
      </c>
      <c r="CB457" s="13" t="s">
        <v>12</v>
      </c>
      <c r="CC457" s="13" t="s">
        <v>1363</v>
      </c>
      <c r="CD457" s="13">
        <v>139</v>
      </c>
      <c r="CF457" s="13" t="s">
        <v>2179</v>
      </c>
      <c r="CG457" s="13" t="s">
        <v>1364</v>
      </c>
    </row>
    <row r="458" spans="1:85">
      <c r="A458" s="13" t="s">
        <v>1858</v>
      </c>
      <c r="B458" s="13" t="s">
        <v>1858</v>
      </c>
      <c r="C458" s="14" t="s">
        <v>1365</v>
      </c>
      <c r="D458" s="14" t="s">
        <v>831</v>
      </c>
      <c r="E458" s="13" t="s">
        <v>630</v>
      </c>
      <c r="F458" s="13" t="s">
        <v>2641</v>
      </c>
      <c r="G458" s="13" t="s">
        <v>702</v>
      </c>
      <c r="H458" s="13" t="s">
        <v>2635</v>
      </c>
      <c r="J458" s="14" t="s">
        <v>703</v>
      </c>
      <c r="K458" s="14" t="s">
        <v>2927</v>
      </c>
      <c r="L458" s="13" t="s">
        <v>2642</v>
      </c>
      <c r="R458" s="13">
        <v>85</v>
      </c>
      <c r="S458" s="13">
        <v>58</v>
      </c>
      <c r="Y458" s="13">
        <v>65</v>
      </c>
      <c r="AD458" s="13">
        <v>62</v>
      </c>
      <c r="AG458" s="13" t="s">
        <v>2579</v>
      </c>
      <c r="AP458" s="13">
        <v>0.68</v>
      </c>
      <c r="AR458" s="13">
        <v>0.59</v>
      </c>
      <c r="AS458" s="13">
        <v>0.77</v>
      </c>
      <c r="BG458" s="13">
        <v>156.69999999999999</v>
      </c>
      <c r="BR458" s="13">
        <v>83.7</v>
      </c>
      <c r="BY458" s="13" t="s">
        <v>1361</v>
      </c>
      <c r="BZ458" s="13" t="s">
        <v>1362</v>
      </c>
      <c r="CA458" s="13">
        <v>2020</v>
      </c>
      <c r="CB458" s="13" t="s">
        <v>12</v>
      </c>
      <c r="CC458" s="13" t="s">
        <v>1363</v>
      </c>
      <c r="CD458" s="13">
        <v>139</v>
      </c>
      <c r="CF458" s="13" t="s">
        <v>2179</v>
      </c>
      <c r="CG458" s="13" t="s">
        <v>1364</v>
      </c>
    </row>
    <row r="459" spans="1:85">
      <c r="A459" s="13" t="s">
        <v>1858</v>
      </c>
      <c r="B459" s="13" t="s">
        <v>1858</v>
      </c>
      <c r="C459" s="14" t="s">
        <v>1365</v>
      </c>
      <c r="D459" s="14" t="s">
        <v>831</v>
      </c>
      <c r="E459" s="13" t="s">
        <v>630</v>
      </c>
      <c r="F459" s="13" t="s">
        <v>2641</v>
      </c>
      <c r="G459" s="13" t="s">
        <v>702</v>
      </c>
      <c r="H459" s="13" t="s">
        <v>2636</v>
      </c>
      <c r="J459" s="14" t="s">
        <v>703</v>
      </c>
      <c r="K459" s="14" t="s">
        <v>2927</v>
      </c>
      <c r="L459" s="13" t="s">
        <v>2642</v>
      </c>
      <c r="R459" s="13">
        <v>79</v>
      </c>
      <c r="S459" s="13">
        <v>45</v>
      </c>
      <c r="Y459" s="13">
        <v>65</v>
      </c>
      <c r="AD459" s="13">
        <v>62</v>
      </c>
      <c r="AG459" s="13" t="s">
        <v>2579</v>
      </c>
      <c r="AP459" s="13">
        <v>0.62</v>
      </c>
      <c r="AR459" s="13">
        <v>0.52</v>
      </c>
      <c r="AS459" s="13">
        <v>0.7</v>
      </c>
      <c r="BG459" s="13">
        <v>63.1</v>
      </c>
      <c r="BR459" s="13">
        <v>47.3</v>
      </c>
      <c r="BY459" s="13" t="s">
        <v>1361</v>
      </c>
      <c r="BZ459" s="13" t="s">
        <v>1362</v>
      </c>
      <c r="CA459" s="13">
        <v>2020</v>
      </c>
      <c r="CB459" s="13" t="s">
        <v>12</v>
      </c>
      <c r="CC459" s="13" t="s">
        <v>1363</v>
      </c>
      <c r="CD459" s="13">
        <v>139</v>
      </c>
      <c r="CF459" s="13" t="s">
        <v>2179</v>
      </c>
      <c r="CG459" s="13" t="s">
        <v>1364</v>
      </c>
    </row>
    <row r="460" spans="1:85">
      <c r="A460" s="13" t="s">
        <v>1858</v>
      </c>
      <c r="B460" s="13" t="s">
        <v>1858</v>
      </c>
      <c r="C460" s="14" t="s">
        <v>1365</v>
      </c>
      <c r="D460" s="14" t="s">
        <v>831</v>
      </c>
      <c r="E460" s="13" t="s">
        <v>630</v>
      </c>
      <c r="F460" s="13" t="s">
        <v>2641</v>
      </c>
      <c r="G460" s="13" t="s">
        <v>702</v>
      </c>
      <c r="H460" s="13" t="s">
        <v>2637</v>
      </c>
      <c r="J460" s="14" t="s">
        <v>703</v>
      </c>
      <c r="K460" s="14" t="s">
        <v>2927</v>
      </c>
      <c r="L460" s="13" t="s">
        <v>2642</v>
      </c>
      <c r="N460" s="13">
        <v>50</v>
      </c>
      <c r="O460" s="2">
        <f>N460/R460</f>
        <v>0.5494505494505495</v>
      </c>
      <c r="R460" s="13">
        <v>91</v>
      </c>
      <c r="S460" s="13">
        <v>94</v>
      </c>
      <c r="Y460" s="13">
        <v>65</v>
      </c>
      <c r="AD460" s="13">
        <v>62</v>
      </c>
      <c r="AP460" s="13">
        <v>0.65</v>
      </c>
      <c r="AR460" s="13">
        <v>0.56999999999999995</v>
      </c>
      <c r="AS460" s="13">
        <v>0.73</v>
      </c>
      <c r="BG460" s="13">
        <v>1.46</v>
      </c>
      <c r="BR460" s="13">
        <v>0.84</v>
      </c>
      <c r="BY460" s="13" t="s">
        <v>1361</v>
      </c>
      <c r="BZ460" s="13" t="s">
        <v>1362</v>
      </c>
      <c r="CA460" s="13">
        <v>2020</v>
      </c>
      <c r="CB460" s="13" t="s">
        <v>12</v>
      </c>
      <c r="CC460" s="13" t="s">
        <v>1363</v>
      </c>
      <c r="CD460" s="13">
        <v>139</v>
      </c>
      <c r="CF460" s="13" t="s">
        <v>2179</v>
      </c>
      <c r="CG460" s="13" t="s">
        <v>1364</v>
      </c>
    </row>
    <row r="461" spans="1:85">
      <c r="A461" s="13" t="s">
        <v>3397</v>
      </c>
      <c r="B461" s="16"/>
      <c r="C461" s="13" t="s">
        <v>3326</v>
      </c>
      <c r="D461" s="16" t="s">
        <v>4179</v>
      </c>
      <c r="G461" s="13" t="s">
        <v>3819</v>
      </c>
      <c r="H461" s="13" t="s">
        <v>777</v>
      </c>
      <c r="J461" s="14"/>
      <c r="BY461" s="13" t="s">
        <v>3534</v>
      </c>
      <c r="BZ461" s="13" t="s">
        <v>3535</v>
      </c>
      <c r="CA461" s="13">
        <v>2024</v>
      </c>
      <c r="CB461" s="13" t="s">
        <v>3536</v>
      </c>
      <c r="CC461" s="13" t="s">
        <v>331</v>
      </c>
      <c r="CG461" s="13" t="s">
        <v>3252</v>
      </c>
    </row>
    <row r="462" spans="1:85">
      <c r="A462" s="13" t="s">
        <v>1872</v>
      </c>
      <c r="B462" s="13" t="s">
        <v>1872</v>
      </c>
      <c r="C462" s="14" t="s">
        <v>1421</v>
      </c>
      <c r="D462" s="14" t="s">
        <v>831</v>
      </c>
      <c r="E462" s="13" t="s">
        <v>963</v>
      </c>
      <c r="F462" s="13" t="s">
        <v>2697</v>
      </c>
      <c r="G462" s="13" t="s">
        <v>674</v>
      </c>
      <c r="H462" s="13" t="s">
        <v>2698</v>
      </c>
      <c r="J462" s="14" t="s">
        <v>2699</v>
      </c>
      <c r="K462" s="14" t="s">
        <v>4079</v>
      </c>
      <c r="L462" s="13" t="s">
        <v>2700</v>
      </c>
      <c r="R462" s="13">
        <v>574</v>
      </c>
      <c r="S462" s="13">
        <v>395</v>
      </c>
      <c r="Y462" s="13">
        <v>65</v>
      </c>
      <c r="AD462" s="13">
        <v>60</v>
      </c>
      <c r="AG462" s="13" t="s">
        <v>2701</v>
      </c>
      <c r="BG462" s="13">
        <v>5.91</v>
      </c>
      <c r="BR462" s="13">
        <v>5</v>
      </c>
      <c r="BY462" s="13" t="s">
        <v>1417</v>
      </c>
      <c r="BZ462" s="13" t="s">
        <v>1418</v>
      </c>
      <c r="CA462" s="13">
        <v>2021</v>
      </c>
      <c r="CB462" s="13" t="s">
        <v>188</v>
      </c>
      <c r="CC462" s="13" t="s">
        <v>254</v>
      </c>
      <c r="CD462" s="13">
        <v>27</v>
      </c>
      <c r="CE462" s="13">
        <v>4</v>
      </c>
      <c r="CF462" s="13" t="s">
        <v>1419</v>
      </c>
      <c r="CG462" s="13" t="s">
        <v>1420</v>
      </c>
    </row>
    <row r="463" spans="1:85">
      <c r="A463" s="13" t="s">
        <v>1872</v>
      </c>
      <c r="B463" s="13" t="s">
        <v>1872</v>
      </c>
      <c r="C463" s="14" t="s">
        <v>1421</v>
      </c>
      <c r="D463" s="14" t="s">
        <v>831</v>
      </c>
      <c r="E463" s="13" t="s">
        <v>963</v>
      </c>
      <c r="F463" s="13" t="s">
        <v>2697</v>
      </c>
      <c r="G463" s="13" t="s">
        <v>674</v>
      </c>
      <c r="H463" s="13" t="s">
        <v>2702</v>
      </c>
      <c r="J463" s="14" t="s">
        <v>2699</v>
      </c>
      <c r="K463" s="14" t="s">
        <v>4079</v>
      </c>
      <c r="L463" s="13" t="s">
        <v>2700</v>
      </c>
      <c r="R463" s="13">
        <v>574</v>
      </c>
      <c r="S463" s="13">
        <v>395</v>
      </c>
      <c r="Y463" s="13">
        <v>65</v>
      </c>
      <c r="AD463" s="13">
        <v>60</v>
      </c>
      <c r="AG463" s="13" t="s">
        <v>2701</v>
      </c>
      <c r="BG463" s="13">
        <v>5.91</v>
      </c>
      <c r="BR463" s="13">
        <v>5</v>
      </c>
      <c r="BY463" s="13" t="s">
        <v>1417</v>
      </c>
      <c r="BZ463" s="13" t="s">
        <v>1418</v>
      </c>
      <c r="CA463" s="13">
        <v>2021</v>
      </c>
      <c r="CB463" s="13" t="s">
        <v>188</v>
      </c>
      <c r="CC463" s="13" t="s">
        <v>254</v>
      </c>
      <c r="CD463" s="13">
        <v>27</v>
      </c>
      <c r="CE463" s="13">
        <v>4</v>
      </c>
      <c r="CF463" s="13" t="s">
        <v>1419</v>
      </c>
      <c r="CG463" s="13" t="s">
        <v>1420</v>
      </c>
    </row>
    <row r="464" spans="1:85">
      <c r="A464" s="13" t="s">
        <v>3398</v>
      </c>
      <c r="B464" s="16"/>
      <c r="C464" s="13" t="s">
        <v>3327</v>
      </c>
      <c r="D464" s="14"/>
      <c r="J464" s="14"/>
      <c r="BY464" s="13" t="s">
        <v>3537</v>
      </c>
      <c r="BZ464" s="13" t="s">
        <v>3538</v>
      </c>
      <c r="CA464" s="13">
        <v>2024</v>
      </c>
      <c r="CB464" s="13" t="s">
        <v>253</v>
      </c>
      <c r="CC464" s="13" t="s">
        <v>421</v>
      </c>
      <c r="CD464" s="13">
        <v>14</v>
      </c>
      <c r="CE464" s="13">
        <v>2</v>
      </c>
      <c r="CG464" s="13" t="s">
        <v>3253</v>
      </c>
    </row>
    <row r="465" spans="1:85">
      <c r="A465" s="13" t="s">
        <v>1718</v>
      </c>
      <c r="B465" s="13" t="s">
        <v>1861</v>
      </c>
      <c r="C465" s="13" t="s">
        <v>354</v>
      </c>
      <c r="D465" s="13" t="s">
        <v>827</v>
      </c>
      <c r="E465" s="13" t="s">
        <v>799</v>
      </c>
      <c r="F465" s="13" t="s">
        <v>916</v>
      </c>
      <c r="G465" s="13" t="s">
        <v>673</v>
      </c>
      <c r="H465" s="13" t="s">
        <v>917</v>
      </c>
      <c r="J465" s="13" t="s">
        <v>703</v>
      </c>
      <c r="K465" s="13" t="s">
        <v>4080</v>
      </c>
      <c r="L465" s="13" t="s">
        <v>808</v>
      </c>
      <c r="N465" s="13">
        <v>68</v>
      </c>
      <c r="O465" s="2">
        <f>N465/R465</f>
        <v>0.61818181818181817</v>
      </c>
      <c r="P465" s="13">
        <v>4</v>
      </c>
      <c r="Q465" s="17">
        <f>P465/S465</f>
        <v>0.4</v>
      </c>
      <c r="R465" s="13">
        <v>110</v>
      </c>
      <c r="S465" s="13">
        <v>10</v>
      </c>
      <c r="V465" s="13">
        <v>11</v>
      </c>
      <c r="W465" s="13">
        <v>57.25</v>
      </c>
      <c r="X465" s="13">
        <v>11.25</v>
      </c>
      <c r="AB465" s="13">
        <v>46.38</v>
      </c>
      <c r="AC465" s="13">
        <v>20.239999999999998</v>
      </c>
      <c r="AG465" s="13" t="s">
        <v>918</v>
      </c>
      <c r="AH465" s="13">
        <v>900.46</v>
      </c>
      <c r="AJ465" s="13">
        <v>100</v>
      </c>
      <c r="AM465" s="13">
        <v>41.7</v>
      </c>
      <c r="AP465" s="13">
        <v>0.73</v>
      </c>
      <c r="AR465" s="13">
        <v>0.56999999999999995</v>
      </c>
      <c r="AS465" s="13">
        <v>0.88</v>
      </c>
      <c r="BG465" s="13">
        <v>1032</v>
      </c>
      <c r="BI465" s="13">
        <v>658.9</v>
      </c>
      <c r="BJ465" s="13">
        <v>1467.9</v>
      </c>
      <c r="BR465" s="13">
        <v>1343</v>
      </c>
      <c r="BT465" s="13">
        <v>1008.1</v>
      </c>
      <c r="BU465" s="13">
        <v>3047.8</v>
      </c>
      <c r="BX465" s="13">
        <v>1.7000000000000001E-2</v>
      </c>
      <c r="BY465" s="13" t="s">
        <v>350</v>
      </c>
      <c r="BZ465" s="13" t="s">
        <v>351</v>
      </c>
      <c r="CA465" s="13">
        <v>2024</v>
      </c>
      <c r="CB465" s="13" t="s">
        <v>73</v>
      </c>
      <c r="CC465" s="13" t="s">
        <v>19</v>
      </c>
      <c r="CD465" s="13">
        <v>31</v>
      </c>
      <c r="CE465" s="13">
        <v>1</v>
      </c>
      <c r="CF465" s="13" t="s">
        <v>352</v>
      </c>
      <c r="CG465" s="13" t="s">
        <v>353</v>
      </c>
    </row>
    <row r="466" spans="1:85">
      <c r="A466" s="13" t="s">
        <v>1718</v>
      </c>
      <c r="B466" s="13" t="s">
        <v>1861</v>
      </c>
      <c r="C466" s="13" t="s">
        <v>354</v>
      </c>
      <c r="D466" s="13" t="s">
        <v>827</v>
      </c>
      <c r="E466" s="13" t="s">
        <v>799</v>
      </c>
      <c r="F466" s="13" t="s">
        <v>916</v>
      </c>
      <c r="G466" s="13" t="s">
        <v>672</v>
      </c>
      <c r="H466" s="13" t="s">
        <v>917</v>
      </c>
      <c r="J466" s="13" t="s">
        <v>703</v>
      </c>
      <c r="K466" s="13" t="s">
        <v>4080</v>
      </c>
      <c r="L466" s="13" t="s">
        <v>808</v>
      </c>
      <c r="R466" s="13">
        <v>95</v>
      </c>
      <c r="S466" s="13">
        <v>9</v>
      </c>
      <c r="AG466" s="13" t="s">
        <v>918</v>
      </c>
      <c r="AP466" s="13">
        <v>0.78</v>
      </c>
      <c r="AR466" s="13">
        <v>0.57999999999999996</v>
      </c>
      <c r="AS466" s="13">
        <v>0.98</v>
      </c>
      <c r="BG466" s="13">
        <v>4.84</v>
      </c>
      <c r="BI466" s="13">
        <v>3.2</v>
      </c>
      <c r="BJ466" s="13">
        <v>6.9</v>
      </c>
      <c r="BR466" s="13">
        <v>3.64</v>
      </c>
      <c r="BT466" s="13">
        <v>2.8</v>
      </c>
      <c r="BU466" s="13">
        <v>4.8</v>
      </c>
      <c r="BX466" s="13">
        <v>0.29099999999999998</v>
      </c>
      <c r="BY466" s="13" t="s">
        <v>350</v>
      </c>
      <c r="BZ466" s="13" t="s">
        <v>351</v>
      </c>
      <c r="CA466" s="13">
        <v>2024</v>
      </c>
      <c r="CB466" s="13" t="s">
        <v>73</v>
      </c>
      <c r="CC466" s="13" t="s">
        <v>19</v>
      </c>
      <c r="CD466" s="13">
        <v>31</v>
      </c>
      <c r="CE466" s="13">
        <v>1</v>
      </c>
      <c r="CF466" s="13" t="s">
        <v>352</v>
      </c>
      <c r="CG466" s="13" t="s">
        <v>353</v>
      </c>
    </row>
    <row r="467" spans="1:85">
      <c r="A467" s="13" t="s">
        <v>1718</v>
      </c>
      <c r="B467" s="13" t="s">
        <v>1861</v>
      </c>
      <c r="C467" s="13" t="s">
        <v>354</v>
      </c>
      <c r="D467" s="13" t="s">
        <v>827</v>
      </c>
      <c r="E467" s="13" t="s">
        <v>799</v>
      </c>
      <c r="F467" s="13" t="s">
        <v>916</v>
      </c>
      <c r="G467" s="13" t="s">
        <v>672</v>
      </c>
      <c r="H467" s="13" t="s">
        <v>675</v>
      </c>
      <c r="J467" s="13" t="s">
        <v>703</v>
      </c>
      <c r="K467" s="13" t="s">
        <v>4080</v>
      </c>
      <c r="L467" s="13" t="s">
        <v>808</v>
      </c>
      <c r="R467" s="13">
        <v>73</v>
      </c>
      <c r="S467" s="13">
        <v>3</v>
      </c>
      <c r="AG467" s="13" t="s">
        <v>918</v>
      </c>
      <c r="AP467" s="13">
        <v>0.97</v>
      </c>
      <c r="AR467" s="13">
        <v>0.93</v>
      </c>
      <c r="AS467" s="13">
        <v>1</v>
      </c>
      <c r="BG467" s="13">
        <v>6454</v>
      </c>
      <c r="BI467" s="13">
        <v>3261</v>
      </c>
      <c r="BJ467" s="13">
        <v>10872</v>
      </c>
      <c r="BR467" s="13">
        <v>220</v>
      </c>
      <c r="BT467" s="13">
        <v>109</v>
      </c>
      <c r="BU467" s="13">
        <v>351</v>
      </c>
      <c r="BX467" s="13">
        <v>4.4999999999999998E-2</v>
      </c>
      <c r="BY467" s="13" t="s">
        <v>350</v>
      </c>
      <c r="BZ467" s="13" t="s">
        <v>351</v>
      </c>
      <c r="CA467" s="13">
        <v>2024</v>
      </c>
      <c r="CB467" s="13" t="s">
        <v>73</v>
      </c>
      <c r="CC467" s="13" t="s">
        <v>19</v>
      </c>
      <c r="CD467" s="13">
        <v>31</v>
      </c>
      <c r="CE467" s="13">
        <v>1</v>
      </c>
      <c r="CF467" s="13" t="s">
        <v>352</v>
      </c>
      <c r="CG467" s="13" t="s">
        <v>353</v>
      </c>
    </row>
    <row r="468" spans="1:85">
      <c r="A468" s="13" t="s">
        <v>1718</v>
      </c>
      <c r="B468" s="13" t="s">
        <v>1861</v>
      </c>
      <c r="C468" s="13" t="s">
        <v>354</v>
      </c>
      <c r="D468" s="13" t="s">
        <v>827</v>
      </c>
      <c r="E468" s="13" t="s">
        <v>799</v>
      </c>
      <c r="F468" s="13" t="s">
        <v>916</v>
      </c>
      <c r="G468" s="13" t="s">
        <v>673</v>
      </c>
      <c r="H468" s="13" t="s">
        <v>675</v>
      </c>
      <c r="J468" s="13" t="s">
        <v>703</v>
      </c>
      <c r="K468" s="13" t="s">
        <v>4080</v>
      </c>
      <c r="L468" s="13" t="s">
        <v>808</v>
      </c>
      <c r="R468" s="13">
        <v>77</v>
      </c>
      <c r="S468" s="13">
        <v>7</v>
      </c>
      <c r="AG468" s="13" t="s">
        <v>918</v>
      </c>
      <c r="AP468" s="13">
        <v>0.998</v>
      </c>
      <c r="AR468" s="13">
        <v>0.99299999999999999</v>
      </c>
      <c r="AS468" s="13">
        <v>1</v>
      </c>
      <c r="BG468" s="13">
        <v>111</v>
      </c>
      <c r="BI468" s="13">
        <v>73.7</v>
      </c>
      <c r="BJ468" s="13">
        <v>153</v>
      </c>
      <c r="BR468" s="13">
        <v>5.3</v>
      </c>
      <c r="BT468" s="13">
        <v>3.8</v>
      </c>
      <c r="BU468" s="13">
        <v>8.9</v>
      </c>
      <c r="BX468" s="13" t="s">
        <v>635</v>
      </c>
      <c r="BY468" s="13" t="s">
        <v>350</v>
      </c>
      <c r="BZ468" s="13" t="s">
        <v>351</v>
      </c>
      <c r="CA468" s="13">
        <v>2024</v>
      </c>
      <c r="CB468" s="13" t="s">
        <v>73</v>
      </c>
      <c r="CC468" s="13" t="s">
        <v>19</v>
      </c>
      <c r="CD468" s="13">
        <v>31</v>
      </c>
      <c r="CE468" s="13">
        <v>1</v>
      </c>
      <c r="CF468" s="13" t="s">
        <v>352</v>
      </c>
      <c r="CG468" s="13" t="s">
        <v>353</v>
      </c>
    </row>
    <row r="469" spans="1:85">
      <c r="A469" s="13" t="s">
        <v>1718</v>
      </c>
      <c r="B469" s="13" t="s">
        <v>1861</v>
      </c>
      <c r="C469" s="13" t="s">
        <v>354</v>
      </c>
      <c r="D469" s="13" t="s">
        <v>827</v>
      </c>
      <c r="E469" s="13" t="s">
        <v>799</v>
      </c>
      <c r="F469" s="13" t="s">
        <v>916</v>
      </c>
      <c r="G469" s="13" t="s">
        <v>672</v>
      </c>
      <c r="H469" s="13" t="s">
        <v>807</v>
      </c>
      <c r="J469" s="13" t="s">
        <v>703</v>
      </c>
      <c r="K469" s="13" t="s">
        <v>4080</v>
      </c>
      <c r="L469" s="13" t="s">
        <v>808</v>
      </c>
      <c r="N469" s="13">
        <v>68</v>
      </c>
      <c r="O469" s="2">
        <f>N469/R469</f>
        <v>0.61818181818181817</v>
      </c>
      <c r="P469" s="13">
        <v>4</v>
      </c>
      <c r="Q469" s="17">
        <f t="shared" ref="Q469:Q483" si="46">P469/S469</f>
        <v>0.4</v>
      </c>
      <c r="R469" s="13">
        <v>110</v>
      </c>
      <c r="S469" s="13">
        <v>10</v>
      </c>
      <c r="V469" s="13">
        <v>11</v>
      </c>
      <c r="W469" s="13">
        <v>57.25</v>
      </c>
      <c r="X469" s="13">
        <v>11.25</v>
      </c>
      <c r="AB469" s="13">
        <v>46.38</v>
      </c>
      <c r="AC469" s="13">
        <v>20.239999999999998</v>
      </c>
      <c r="AG469" s="13" t="s">
        <v>918</v>
      </c>
      <c r="AP469" s="13">
        <v>0.97</v>
      </c>
      <c r="AR469" s="13">
        <v>0.93</v>
      </c>
      <c r="AS469" s="13">
        <v>1</v>
      </c>
      <c r="BG469" s="13">
        <v>4092.5</v>
      </c>
      <c r="BI469" s="13">
        <v>2494</v>
      </c>
      <c r="BJ469" s="13">
        <v>7354</v>
      </c>
      <c r="BR469" s="13">
        <v>426</v>
      </c>
      <c r="BT469" s="13">
        <v>259</v>
      </c>
      <c r="BU469" s="13">
        <v>598</v>
      </c>
      <c r="BX469" s="13" t="s">
        <v>635</v>
      </c>
      <c r="BY469" s="13" t="s">
        <v>350</v>
      </c>
      <c r="BZ469" s="13" t="s">
        <v>351</v>
      </c>
      <c r="CA469" s="13">
        <v>2024</v>
      </c>
      <c r="CB469" s="13" t="s">
        <v>73</v>
      </c>
      <c r="CC469" s="13" t="s">
        <v>19</v>
      </c>
      <c r="CD469" s="13">
        <v>31</v>
      </c>
      <c r="CE469" s="13">
        <v>1</v>
      </c>
      <c r="CF469" s="13" t="s">
        <v>352</v>
      </c>
      <c r="CG469" s="13" t="s">
        <v>353</v>
      </c>
    </row>
    <row r="470" spans="1:85">
      <c r="A470" s="13" t="s">
        <v>1718</v>
      </c>
      <c r="B470" s="13" t="s">
        <v>1861</v>
      </c>
      <c r="C470" s="13" t="s">
        <v>354</v>
      </c>
      <c r="D470" s="13" t="s">
        <v>827</v>
      </c>
      <c r="E470" s="13" t="s">
        <v>799</v>
      </c>
      <c r="F470" s="13" t="s">
        <v>916</v>
      </c>
      <c r="G470" s="13" t="s">
        <v>673</v>
      </c>
      <c r="H470" s="13" t="s">
        <v>807</v>
      </c>
      <c r="J470" s="13" t="s">
        <v>703</v>
      </c>
      <c r="K470" s="13" t="s">
        <v>4080</v>
      </c>
      <c r="L470" s="13" t="s">
        <v>808</v>
      </c>
      <c r="P470" s="13">
        <v>4</v>
      </c>
      <c r="Q470" s="17">
        <f t="shared" si="46"/>
        <v>0.4</v>
      </c>
      <c r="R470" s="13">
        <v>108</v>
      </c>
      <c r="S470" s="13">
        <v>10</v>
      </c>
      <c r="AB470" s="13">
        <v>46.38</v>
      </c>
      <c r="AC470" s="13">
        <v>20.239999999999998</v>
      </c>
      <c r="AG470" s="13" t="s">
        <v>918</v>
      </c>
      <c r="AP470" s="13">
        <v>0.94</v>
      </c>
      <c r="AR470" s="13">
        <v>0.86</v>
      </c>
      <c r="AS470" s="13">
        <v>1</v>
      </c>
      <c r="BG470" s="13">
        <v>1272</v>
      </c>
      <c r="BI470" s="13">
        <v>610.5</v>
      </c>
      <c r="BJ470" s="13">
        <v>2497</v>
      </c>
      <c r="BR470" s="13">
        <v>118.2</v>
      </c>
      <c r="BT470" s="13">
        <v>66.3</v>
      </c>
      <c r="BU470" s="13">
        <v>191</v>
      </c>
      <c r="BX470" s="13" t="s">
        <v>635</v>
      </c>
      <c r="BY470" s="13" t="s">
        <v>350</v>
      </c>
      <c r="BZ470" s="13" t="s">
        <v>351</v>
      </c>
      <c r="CA470" s="13">
        <v>2024</v>
      </c>
      <c r="CB470" s="13" t="s">
        <v>73</v>
      </c>
      <c r="CC470" s="13" t="s">
        <v>19</v>
      </c>
      <c r="CD470" s="13">
        <v>31</v>
      </c>
      <c r="CE470" s="13">
        <v>1</v>
      </c>
      <c r="CF470" s="13" t="s">
        <v>352</v>
      </c>
      <c r="CG470" s="13" t="s">
        <v>353</v>
      </c>
    </row>
    <row r="471" spans="1:85">
      <c r="A471" s="13" t="s">
        <v>1718</v>
      </c>
      <c r="B471" s="13" t="s">
        <v>1861</v>
      </c>
      <c r="C471" s="13" t="s">
        <v>354</v>
      </c>
      <c r="D471" s="13" t="s">
        <v>827</v>
      </c>
      <c r="E471" s="13" t="s">
        <v>799</v>
      </c>
      <c r="F471" s="13" t="s">
        <v>916</v>
      </c>
      <c r="G471" s="13" t="s">
        <v>672</v>
      </c>
      <c r="H471" s="13" t="s">
        <v>679</v>
      </c>
      <c r="J471" s="13" t="s">
        <v>703</v>
      </c>
      <c r="K471" s="13" t="s">
        <v>4080</v>
      </c>
      <c r="L471" s="13" t="s">
        <v>808</v>
      </c>
      <c r="P471" s="13">
        <v>4</v>
      </c>
      <c r="Q471" s="17">
        <f t="shared" si="46"/>
        <v>0.4</v>
      </c>
      <c r="R471" s="13">
        <v>95</v>
      </c>
      <c r="S471" s="13">
        <v>10</v>
      </c>
      <c r="AB471" s="13">
        <v>46.38</v>
      </c>
      <c r="AC471" s="13">
        <v>20.239999999999998</v>
      </c>
      <c r="AG471" s="13" t="s">
        <v>918</v>
      </c>
      <c r="BG471" s="13">
        <v>73.099999999999994</v>
      </c>
      <c r="BI471" s="13">
        <v>48.9</v>
      </c>
      <c r="BJ471" s="13">
        <v>131</v>
      </c>
      <c r="BR471" s="13">
        <v>86.4</v>
      </c>
      <c r="BT471" s="13">
        <v>45.6</v>
      </c>
      <c r="BU471" s="13">
        <v>95</v>
      </c>
      <c r="BX471" s="13">
        <v>0.54</v>
      </c>
      <c r="BY471" s="13" t="s">
        <v>350</v>
      </c>
      <c r="BZ471" s="13" t="s">
        <v>351</v>
      </c>
      <c r="CA471" s="13">
        <v>2024</v>
      </c>
      <c r="CB471" s="13" t="s">
        <v>73</v>
      </c>
      <c r="CC471" s="13" t="s">
        <v>19</v>
      </c>
      <c r="CD471" s="13">
        <v>31</v>
      </c>
      <c r="CE471" s="13">
        <v>1</v>
      </c>
      <c r="CF471" s="13" t="s">
        <v>352</v>
      </c>
      <c r="CG471" s="13" t="s">
        <v>353</v>
      </c>
    </row>
    <row r="472" spans="1:85">
      <c r="A472" s="13" t="s">
        <v>1718</v>
      </c>
      <c r="B472" s="13" t="s">
        <v>1861</v>
      </c>
      <c r="C472" s="13" t="s">
        <v>354</v>
      </c>
      <c r="D472" s="13" t="s">
        <v>827</v>
      </c>
      <c r="E472" s="13" t="s">
        <v>799</v>
      </c>
      <c r="F472" s="13" t="s">
        <v>916</v>
      </c>
      <c r="G472" s="13" t="s">
        <v>673</v>
      </c>
      <c r="H472" s="13" t="s">
        <v>679</v>
      </c>
      <c r="J472" s="13" t="s">
        <v>703</v>
      </c>
      <c r="K472" s="13" t="s">
        <v>4080</v>
      </c>
      <c r="L472" s="13" t="s">
        <v>808</v>
      </c>
      <c r="P472" s="13">
        <v>4</v>
      </c>
      <c r="Q472" s="17">
        <f t="shared" si="46"/>
        <v>0.4</v>
      </c>
      <c r="R472" s="13">
        <v>108</v>
      </c>
      <c r="S472" s="13">
        <v>10</v>
      </c>
      <c r="AB472" s="13">
        <v>46.38</v>
      </c>
      <c r="AC472" s="13">
        <v>20.239999999999998</v>
      </c>
      <c r="AG472" s="13" t="s">
        <v>918</v>
      </c>
      <c r="BG472" s="13">
        <v>36</v>
      </c>
      <c r="BI472" s="13">
        <v>27.3</v>
      </c>
      <c r="BJ472" s="13">
        <v>62.8</v>
      </c>
      <c r="BR472" s="13">
        <v>39</v>
      </c>
      <c r="BT472" s="13">
        <v>32.299999999999997</v>
      </c>
      <c r="BU472" s="13">
        <v>75.400000000000006</v>
      </c>
      <c r="BX472" s="13">
        <v>0.38900000000000001</v>
      </c>
      <c r="BY472" s="13" t="s">
        <v>350</v>
      </c>
      <c r="BZ472" s="13" t="s">
        <v>351</v>
      </c>
      <c r="CA472" s="13">
        <v>2024</v>
      </c>
      <c r="CB472" s="13" t="s">
        <v>73</v>
      </c>
      <c r="CC472" s="13" t="s">
        <v>19</v>
      </c>
      <c r="CD472" s="13">
        <v>31</v>
      </c>
      <c r="CE472" s="13">
        <v>1</v>
      </c>
      <c r="CF472" s="13" t="s">
        <v>352</v>
      </c>
      <c r="CG472" s="13" t="s">
        <v>353</v>
      </c>
    </row>
    <row r="473" spans="1:85">
      <c r="A473" s="13" t="s">
        <v>1719</v>
      </c>
      <c r="B473" s="13" t="s">
        <v>1862</v>
      </c>
      <c r="C473" s="16" t="s">
        <v>359</v>
      </c>
      <c r="D473" s="14" t="s">
        <v>898</v>
      </c>
      <c r="E473" s="13" t="s">
        <v>630</v>
      </c>
      <c r="F473" s="13" t="s">
        <v>2652</v>
      </c>
      <c r="G473" s="13" t="s">
        <v>674</v>
      </c>
      <c r="H473" s="13" t="s">
        <v>758</v>
      </c>
      <c r="J473" s="13" t="s">
        <v>703</v>
      </c>
      <c r="K473" s="13" t="s">
        <v>4089</v>
      </c>
      <c r="L473" s="13" t="s">
        <v>652</v>
      </c>
      <c r="N473" s="13">
        <v>98</v>
      </c>
      <c r="O473" s="2">
        <f t="shared" ref="O473:O504" si="47">N473/R473</f>
        <v>0.62820512820512819</v>
      </c>
      <c r="P473" s="13">
        <v>32</v>
      </c>
      <c r="Q473" s="17">
        <f t="shared" si="46"/>
        <v>0.66666666666666663</v>
      </c>
      <c r="R473" s="13">
        <v>156</v>
      </c>
      <c r="S473" s="13">
        <v>48</v>
      </c>
      <c r="T473" s="13">
        <v>19</v>
      </c>
      <c r="U473" s="13"/>
      <c r="V473" s="13">
        <v>19</v>
      </c>
      <c r="Y473" s="13">
        <v>66</v>
      </c>
      <c r="Z473" s="13">
        <v>56</v>
      </c>
      <c r="AA473" s="13">
        <v>72</v>
      </c>
      <c r="AD473" s="13">
        <v>61</v>
      </c>
      <c r="AE473" s="13">
        <v>60</v>
      </c>
      <c r="AF473" s="13">
        <v>64</v>
      </c>
      <c r="AG473" s="13" t="s">
        <v>639</v>
      </c>
      <c r="BG473" s="13">
        <v>159.69999999999999</v>
      </c>
      <c r="BI473" s="13">
        <v>117.3</v>
      </c>
      <c r="BJ473" s="13">
        <v>236.7</v>
      </c>
      <c r="BR473" s="13">
        <v>125.9</v>
      </c>
      <c r="BT473" s="13">
        <v>93.52</v>
      </c>
      <c r="BU473" s="13">
        <v>154.69999999999999</v>
      </c>
      <c r="BX473" s="13">
        <v>4.0000000000000002E-4</v>
      </c>
      <c r="BZ473" s="13" t="s">
        <v>356</v>
      </c>
      <c r="CA473" s="13">
        <v>2023</v>
      </c>
      <c r="CB473" s="13" t="s">
        <v>357</v>
      </c>
      <c r="CC473" s="13" t="s">
        <v>45</v>
      </c>
      <c r="CD473" s="13">
        <v>24</v>
      </c>
      <c r="CE473" s="13">
        <v>18</v>
      </c>
      <c r="CG473" s="13" t="s">
        <v>358</v>
      </c>
    </row>
    <row r="474" spans="1:85">
      <c r="A474" s="13" t="s">
        <v>1719</v>
      </c>
      <c r="B474" s="13" t="s">
        <v>1862</v>
      </c>
      <c r="C474" s="16" t="s">
        <v>359</v>
      </c>
      <c r="D474" s="14" t="s">
        <v>898</v>
      </c>
      <c r="E474" s="13" t="s">
        <v>630</v>
      </c>
      <c r="F474" s="13" t="s">
        <v>2652</v>
      </c>
      <c r="G474" s="13" t="s">
        <v>674</v>
      </c>
      <c r="H474" s="13" t="s">
        <v>675</v>
      </c>
      <c r="J474" s="13" t="s">
        <v>703</v>
      </c>
      <c r="K474" s="13" t="s">
        <v>4089</v>
      </c>
      <c r="L474" s="13" t="s">
        <v>652</v>
      </c>
      <c r="N474" s="13">
        <v>98</v>
      </c>
      <c r="O474" s="2">
        <f t="shared" si="47"/>
        <v>0.62820512820512819</v>
      </c>
      <c r="P474" s="13">
        <v>32</v>
      </c>
      <c r="Q474" s="17">
        <f t="shared" si="46"/>
        <v>0.66666666666666663</v>
      </c>
      <c r="R474" s="13">
        <v>156</v>
      </c>
      <c r="S474" s="13">
        <v>48</v>
      </c>
      <c r="T474" s="13">
        <v>19</v>
      </c>
      <c r="U474" s="13"/>
      <c r="V474" s="13">
        <v>19</v>
      </c>
      <c r="Y474" s="13">
        <v>66</v>
      </c>
      <c r="Z474" s="13">
        <v>56</v>
      </c>
      <c r="AA474" s="13">
        <v>72</v>
      </c>
      <c r="AD474" s="13">
        <v>61</v>
      </c>
      <c r="AE474" s="13">
        <v>60</v>
      </c>
      <c r="AF474" s="13">
        <v>64</v>
      </c>
      <c r="AG474" s="13" t="s">
        <v>639</v>
      </c>
      <c r="BG474" s="13">
        <v>70.5</v>
      </c>
      <c r="BI474" s="13">
        <v>41.25</v>
      </c>
      <c r="BJ474" s="13">
        <v>113.7</v>
      </c>
      <c r="BR474" s="13">
        <v>10.76</v>
      </c>
      <c r="BT474" s="13">
        <v>9.41</v>
      </c>
      <c r="BU474" s="13">
        <v>15.71</v>
      </c>
      <c r="BX474" s="13" t="s">
        <v>701</v>
      </c>
      <c r="BZ474" s="13" t="s">
        <v>356</v>
      </c>
      <c r="CA474" s="13">
        <v>2023</v>
      </c>
      <c r="CB474" s="13" t="s">
        <v>357</v>
      </c>
      <c r="CC474" s="13" t="s">
        <v>45</v>
      </c>
      <c r="CD474" s="13">
        <v>24</v>
      </c>
      <c r="CE474" s="13">
        <v>18</v>
      </c>
      <c r="CG474" s="13" t="s">
        <v>358</v>
      </c>
    </row>
    <row r="475" spans="1:85">
      <c r="A475" s="13" t="s">
        <v>1719</v>
      </c>
      <c r="B475" s="13" t="s">
        <v>1862</v>
      </c>
      <c r="C475" s="16" t="s">
        <v>359</v>
      </c>
      <c r="D475" s="14" t="s">
        <v>898</v>
      </c>
      <c r="E475" s="13" t="s">
        <v>630</v>
      </c>
      <c r="F475" s="13" t="s">
        <v>2652</v>
      </c>
      <c r="G475" s="13" t="s">
        <v>674</v>
      </c>
      <c r="H475" s="13" t="s">
        <v>4141</v>
      </c>
      <c r="J475" s="13" t="s">
        <v>703</v>
      </c>
      <c r="K475" s="13" t="s">
        <v>4089</v>
      </c>
      <c r="L475" s="13" t="s">
        <v>2207</v>
      </c>
      <c r="M475" s="13" t="s">
        <v>3209</v>
      </c>
      <c r="N475" s="13">
        <v>98</v>
      </c>
      <c r="O475" s="2">
        <f t="shared" si="47"/>
        <v>0.62820512820512819</v>
      </c>
      <c r="P475" s="13">
        <v>32</v>
      </c>
      <c r="Q475" s="17">
        <f t="shared" si="46"/>
        <v>0.66666666666666663</v>
      </c>
      <c r="R475" s="13">
        <v>156</v>
      </c>
      <c r="S475" s="13">
        <v>48</v>
      </c>
      <c r="T475" s="13">
        <v>19</v>
      </c>
      <c r="U475" s="13"/>
      <c r="V475" s="13">
        <v>19</v>
      </c>
      <c r="Y475" s="13">
        <v>66</v>
      </c>
      <c r="Z475" s="13">
        <v>56</v>
      </c>
      <c r="AA475" s="13">
        <v>72</v>
      </c>
      <c r="AD475" s="13">
        <v>61</v>
      </c>
      <c r="AE475" s="13">
        <v>60</v>
      </c>
      <c r="AF475" s="13">
        <v>64</v>
      </c>
      <c r="AG475" s="13" t="s">
        <v>639</v>
      </c>
      <c r="BG475" s="13">
        <v>2.71</v>
      </c>
      <c r="BI475" s="13">
        <v>1.74</v>
      </c>
      <c r="BJ475" s="13">
        <v>4.96</v>
      </c>
      <c r="BR475" s="13">
        <v>0.99</v>
      </c>
      <c r="BT475" s="13">
        <v>0.76</v>
      </c>
      <c r="BU475" s="13">
        <v>1.36</v>
      </c>
      <c r="BX475" s="13" t="s">
        <v>701</v>
      </c>
      <c r="BZ475" s="13" t="s">
        <v>356</v>
      </c>
      <c r="CA475" s="13">
        <v>2023</v>
      </c>
      <c r="CB475" s="13" t="s">
        <v>357</v>
      </c>
      <c r="CC475" s="13" t="s">
        <v>45</v>
      </c>
      <c r="CD475" s="13">
        <v>24</v>
      </c>
      <c r="CE475" s="13">
        <v>18</v>
      </c>
      <c r="CG475" s="13" t="s">
        <v>358</v>
      </c>
    </row>
    <row r="476" spans="1:85">
      <c r="A476" s="13" t="s">
        <v>1766</v>
      </c>
      <c r="C476" s="13" t="s">
        <v>365</v>
      </c>
      <c r="D476" s="13" t="s">
        <v>2039</v>
      </c>
      <c r="E476" s="13" t="s">
        <v>630</v>
      </c>
      <c r="F476" s="13" t="s">
        <v>1073</v>
      </c>
      <c r="G476" s="13" t="s">
        <v>674</v>
      </c>
      <c r="H476" s="13" t="s">
        <v>858</v>
      </c>
      <c r="J476" s="13" t="s">
        <v>855</v>
      </c>
      <c r="K476" s="13" t="s">
        <v>3650</v>
      </c>
      <c r="L476" s="13" t="s">
        <v>652</v>
      </c>
      <c r="N476" s="13">
        <v>6</v>
      </c>
      <c r="O476" s="2">
        <f t="shared" si="47"/>
        <v>0.6</v>
      </c>
      <c r="P476" s="13">
        <v>4</v>
      </c>
      <c r="Q476" s="17">
        <f t="shared" si="46"/>
        <v>0.5714285714285714</v>
      </c>
      <c r="R476" s="13">
        <v>10</v>
      </c>
      <c r="S476" s="13">
        <v>7</v>
      </c>
      <c r="W476" s="13">
        <v>62.5</v>
      </c>
      <c r="AB476" s="13">
        <v>60.2</v>
      </c>
      <c r="AG476" s="13" t="s">
        <v>639</v>
      </c>
      <c r="BB476" s="13">
        <v>66.63</v>
      </c>
      <c r="BC476" s="13">
        <v>20.52</v>
      </c>
      <c r="BM476" s="13">
        <v>42.7</v>
      </c>
      <c r="BN476" s="13">
        <v>23.06</v>
      </c>
      <c r="BX476" s="13">
        <v>3.3000000000000002E-2</v>
      </c>
      <c r="BY476" s="13" t="s">
        <v>360</v>
      </c>
      <c r="BZ476" s="13" t="s">
        <v>361</v>
      </c>
      <c r="CA476" s="13">
        <v>2024</v>
      </c>
      <c r="CB476" s="21">
        <v>45321</v>
      </c>
      <c r="CC476" s="13" t="s">
        <v>362</v>
      </c>
      <c r="CD476" s="13">
        <v>10</v>
      </c>
      <c r="CE476" s="13">
        <v>2</v>
      </c>
      <c r="CF476" s="13" t="s">
        <v>363</v>
      </c>
      <c r="CG476" s="13" t="s">
        <v>364</v>
      </c>
    </row>
    <row r="477" spans="1:85">
      <c r="A477" s="13" t="s">
        <v>1720</v>
      </c>
      <c r="B477" s="13" t="s">
        <v>1863</v>
      </c>
      <c r="C477" s="13" t="s">
        <v>370</v>
      </c>
      <c r="D477" s="13" t="s">
        <v>923</v>
      </c>
      <c r="E477" s="13" t="s">
        <v>919</v>
      </c>
      <c r="F477" s="13" t="s">
        <v>920</v>
      </c>
      <c r="G477" s="13" t="s">
        <v>673</v>
      </c>
      <c r="H477" s="13" t="s">
        <v>675</v>
      </c>
      <c r="J477" s="13" t="s">
        <v>586</v>
      </c>
      <c r="K477" s="13" t="s">
        <v>4090</v>
      </c>
      <c r="L477" s="13" t="s">
        <v>1016</v>
      </c>
      <c r="M477" s="13" t="s">
        <v>921</v>
      </c>
      <c r="N477" s="13">
        <v>28</v>
      </c>
      <c r="O477" s="2">
        <f t="shared" si="47"/>
        <v>0.5957446808510638</v>
      </c>
      <c r="P477" s="13">
        <v>35</v>
      </c>
      <c r="Q477" s="17">
        <f t="shared" si="46"/>
        <v>0.52238805970149249</v>
      </c>
      <c r="R477" s="13">
        <v>47</v>
      </c>
      <c r="S477" s="13">
        <v>67</v>
      </c>
      <c r="T477" s="13">
        <v>8</v>
      </c>
      <c r="U477" s="15">
        <v>0.1702127659574468</v>
      </c>
      <c r="Y477" s="13">
        <v>65</v>
      </c>
      <c r="Z477" s="13">
        <v>58</v>
      </c>
      <c r="AA477" s="13">
        <v>75</v>
      </c>
      <c r="AG477" s="13" t="s">
        <v>639</v>
      </c>
      <c r="AH477" s="13">
        <v>100.3</v>
      </c>
      <c r="AJ477" s="13">
        <v>83</v>
      </c>
      <c r="AM477" s="13">
        <v>86.6</v>
      </c>
      <c r="AP477" s="13">
        <v>0.9</v>
      </c>
      <c r="BB477" s="13">
        <v>314</v>
      </c>
      <c r="BC477" s="13">
        <v>227.1</v>
      </c>
      <c r="BY477" s="13" t="s">
        <v>366</v>
      </c>
      <c r="BZ477" s="13" t="s">
        <v>367</v>
      </c>
      <c r="CA477" s="13">
        <v>2023</v>
      </c>
      <c r="CB477" s="21">
        <v>45443</v>
      </c>
      <c r="CC477" s="13" t="s">
        <v>368</v>
      </c>
      <c r="CD477" s="13">
        <v>13</v>
      </c>
      <c r="CE477" s="13">
        <v>6</v>
      </c>
      <c r="CG477" s="13" t="s">
        <v>369</v>
      </c>
    </row>
    <row r="478" spans="1:85">
      <c r="A478" s="13" t="s">
        <v>1720</v>
      </c>
      <c r="B478" s="13" t="s">
        <v>1863</v>
      </c>
      <c r="C478" s="13" t="s">
        <v>370</v>
      </c>
      <c r="D478" s="13" t="s">
        <v>923</v>
      </c>
      <c r="E478" s="13" t="s">
        <v>919</v>
      </c>
      <c r="F478" s="13" t="s">
        <v>920</v>
      </c>
      <c r="G478" s="13" t="s">
        <v>673</v>
      </c>
      <c r="H478" s="13" t="s">
        <v>807</v>
      </c>
      <c r="J478" s="13" t="s">
        <v>586</v>
      </c>
      <c r="K478" s="13" t="s">
        <v>4090</v>
      </c>
      <c r="L478" s="13" t="s">
        <v>1016</v>
      </c>
      <c r="M478" s="13" t="s">
        <v>921</v>
      </c>
      <c r="N478" s="13">
        <v>28</v>
      </c>
      <c r="O478" s="2">
        <f t="shared" si="47"/>
        <v>0.5957446808510638</v>
      </c>
      <c r="P478" s="13">
        <v>35</v>
      </c>
      <c r="Q478" s="17">
        <f t="shared" si="46"/>
        <v>0.52238805970149249</v>
      </c>
      <c r="R478" s="13">
        <v>47</v>
      </c>
      <c r="S478" s="13">
        <v>67</v>
      </c>
      <c r="T478" s="13">
        <v>8</v>
      </c>
      <c r="U478" s="15">
        <v>0.1702127659574468</v>
      </c>
      <c r="Y478" s="13">
        <v>65</v>
      </c>
      <c r="Z478" s="13">
        <v>58</v>
      </c>
      <c r="AA478" s="13">
        <v>75</v>
      </c>
      <c r="AG478" s="13" t="s">
        <v>639</v>
      </c>
      <c r="AH478" s="13">
        <v>34</v>
      </c>
      <c r="AJ478" s="13">
        <v>44.7</v>
      </c>
      <c r="AM478" s="13">
        <v>82.1</v>
      </c>
      <c r="AP478" s="13">
        <v>0.68600000000000005</v>
      </c>
      <c r="BB478" s="13">
        <v>60.3</v>
      </c>
      <c r="BC478" s="13">
        <v>74.7</v>
      </c>
      <c r="BY478" s="13" t="s">
        <v>366</v>
      </c>
      <c r="BZ478" s="13" t="s">
        <v>367</v>
      </c>
      <c r="CA478" s="13">
        <v>2023</v>
      </c>
      <c r="CB478" s="21">
        <v>45443</v>
      </c>
      <c r="CC478" s="13" t="s">
        <v>368</v>
      </c>
      <c r="CD478" s="13">
        <v>13</v>
      </c>
      <c r="CE478" s="13">
        <v>6</v>
      </c>
      <c r="CG478" s="13" t="s">
        <v>369</v>
      </c>
    </row>
    <row r="479" spans="1:85">
      <c r="A479" s="13" t="s">
        <v>1720</v>
      </c>
      <c r="B479" s="13" t="s">
        <v>1863</v>
      </c>
      <c r="C479" s="13" t="s">
        <v>370</v>
      </c>
      <c r="D479" s="13" t="s">
        <v>818</v>
      </c>
      <c r="E479" s="13" t="s">
        <v>657</v>
      </c>
      <c r="F479" s="13" t="s">
        <v>920</v>
      </c>
      <c r="G479" s="13" t="s">
        <v>673</v>
      </c>
      <c r="H479" s="13" t="s">
        <v>675</v>
      </c>
      <c r="J479" s="13" t="s">
        <v>586</v>
      </c>
      <c r="K479" s="13" t="s">
        <v>4090</v>
      </c>
      <c r="L479" s="13" t="s">
        <v>1016</v>
      </c>
      <c r="M479" s="13" t="s">
        <v>921</v>
      </c>
      <c r="N479" s="13">
        <v>18</v>
      </c>
      <c r="O479" s="2">
        <f t="shared" si="47"/>
        <v>0.52941176470588236</v>
      </c>
      <c r="P479" s="13">
        <v>22</v>
      </c>
      <c r="Q479" s="17">
        <f t="shared" si="46"/>
        <v>0.6470588235294118</v>
      </c>
      <c r="R479" s="13">
        <v>34</v>
      </c>
      <c r="S479" s="13">
        <v>34</v>
      </c>
      <c r="T479" s="13">
        <v>8</v>
      </c>
      <c r="U479" s="15">
        <v>0.23529411764705882</v>
      </c>
      <c r="Y479" s="13">
        <v>64</v>
      </c>
      <c r="Z479" s="13">
        <v>56.8</v>
      </c>
      <c r="AA479" s="13">
        <v>75.3</v>
      </c>
      <c r="AD479" s="13">
        <v>56</v>
      </c>
      <c r="AE479" s="13">
        <v>40.799999999999997</v>
      </c>
      <c r="AF479" s="13">
        <v>66.3</v>
      </c>
      <c r="AG479" s="13" t="s">
        <v>639</v>
      </c>
      <c r="BB479" s="13">
        <v>369.9</v>
      </c>
      <c r="BC479" s="13">
        <v>232.4</v>
      </c>
      <c r="BM479" s="13">
        <v>67.7</v>
      </c>
      <c r="BN479" s="13">
        <v>59.9</v>
      </c>
      <c r="BY479" s="13" t="s">
        <v>366</v>
      </c>
      <c r="BZ479" s="13" t="s">
        <v>367</v>
      </c>
      <c r="CA479" s="13">
        <v>2023</v>
      </c>
      <c r="CB479" s="21">
        <v>45443</v>
      </c>
      <c r="CC479" s="13" t="s">
        <v>368</v>
      </c>
      <c r="CD479" s="13">
        <v>13</v>
      </c>
      <c r="CE479" s="13">
        <v>6</v>
      </c>
      <c r="CG479" s="13" t="s">
        <v>369</v>
      </c>
    </row>
    <row r="480" spans="1:85">
      <c r="A480" s="13" t="s">
        <v>1720</v>
      </c>
      <c r="B480" s="13" t="s">
        <v>1863</v>
      </c>
      <c r="C480" s="13" t="s">
        <v>370</v>
      </c>
      <c r="D480" s="13" t="s">
        <v>818</v>
      </c>
      <c r="E480" s="13" t="s">
        <v>657</v>
      </c>
      <c r="F480" s="13" t="s">
        <v>920</v>
      </c>
      <c r="G480" s="13" t="s">
        <v>673</v>
      </c>
      <c r="H480" s="13" t="s">
        <v>807</v>
      </c>
      <c r="J480" s="13" t="s">
        <v>586</v>
      </c>
      <c r="K480" s="13" t="s">
        <v>4090</v>
      </c>
      <c r="L480" s="13" t="s">
        <v>1016</v>
      </c>
      <c r="M480" s="13" t="s">
        <v>921</v>
      </c>
      <c r="N480" s="13">
        <v>18</v>
      </c>
      <c r="O480" s="2">
        <f t="shared" si="47"/>
        <v>0.52941176470588236</v>
      </c>
      <c r="P480" s="13">
        <v>22</v>
      </c>
      <c r="Q480" s="17">
        <f t="shared" si="46"/>
        <v>0.6470588235294118</v>
      </c>
      <c r="R480" s="13">
        <v>34</v>
      </c>
      <c r="S480" s="13">
        <v>34</v>
      </c>
      <c r="T480" s="13">
        <v>8</v>
      </c>
      <c r="U480" s="15">
        <v>0.23529411764705882</v>
      </c>
      <c r="Y480" s="13">
        <v>64</v>
      </c>
      <c r="Z480" s="13">
        <v>56.8</v>
      </c>
      <c r="AA480" s="13">
        <v>75.3</v>
      </c>
      <c r="AD480" s="13">
        <v>56</v>
      </c>
      <c r="AE480" s="13">
        <v>40.799999999999997</v>
      </c>
      <c r="AF480" s="13">
        <v>66.3</v>
      </c>
      <c r="AG480" s="13" t="s">
        <v>639</v>
      </c>
      <c r="BB480" s="13">
        <v>62.6</v>
      </c>
      <c r="BC480" s="13">
        <v>75.400000000000006</v>
      </c>
      <c r="BM480" s="13">
        <v>22.9</v>
      </c>
      <c r="BN480" s="13">
        <v>30.5</v>
      </c>
      <c r="BY480" s="13" t="s">
        <v>366</v>
      </c>
      <c r="BZ480" s="13" t="s">
        <v>367</v>
      </c>
      <c r="CA480" s="13">
        <v>2023</v>
      </c>
      <c r="CB480" s="21">
        <v>45443</v>
      </c>
      <c r="CC480" s="13" t="s">
        <v>368</v>
      </c>
      <c r="CD480" s="13">
        <v>13</v>
      </c>
      <c r="CE480" s="13">
        <v>6</v>
      </c>
      <c r="CG480" s="13" t="s">
        <v>369</v>
      </c>
    </row>
    <row r="481" spans="1:85">
      <c r="A481" s="13" t="s">
        <v>1720</v>
      </c>
      <c r="B481" s="13" t="s">
        <v>1863</v>
      </c>
      <c r="C481" s="13" t="s">
        <v>370</v>
      </c>
      <c r="D481" s="13" t="s">
        <v>818</v>
      </c>
      <c r="E481" s="13" t="s">
        <v>630</v>
      </c>
      <c r="F481" s="13" t="s">
        <v>920</v>
      </c>
      <c r="G481" s="13" t="s">
        <v>673</v>
      </c>
      <c r="H481" s="13" t="s">
        <v>675</v>
      </c>
      <c r="J481" s="13" t="s">
        <v>586</v>
      </c>
      <c r="K481" s="13" t="s">
        <v>4090</v>
      </c>
      <c r="L481" s="13" t="s">
        <v>1016</v>
      </c>
      <c r="M481" s="13" t="s">
        <v>921</v>
      </c>
      <c r="N481" s="13">
        <v>18</v>
      </c>
      <c r="O481" s="2">
        <f t="shared" si="47"/>
        <v>0.52941176470588236</v>
      </c>
      <c r="P481" s="13">
        <v>13</v>
      </c>
      <c r="Q481" s="17">
        <f t="shared" si="46"/>
        <v>0.39393939393939392</v>
      </c>
      <c r="R481" s="13">
        <v>34</v>
      </c>
      <c r="S481" s="13">
        <v>33</v>
      </c>
      <c r="T481" s="13">
        <v>8</v>
      </c>
      <c r="U481" s="15">
        <v>0.23529411764705882</v>
      </c>
      <c r="Y481" s="13">
        <v>64</v>
      </c>
      <c r="Z481" s="13">
        <v>56.8</v>
      </c>
      <c r="AA481" s="13">
        <v>75.3</v>
      </c>
      <c r="AD481" s="13">
        <v>59</v>
      </c>
      <c r="AE481" s="13">
        <v>51</v>
      </c>
      <c r="AF481" s="13">
        <v>68.5</v>
      </c>
      <c r="AG481" s="13" t="s">
        <v>639</v>
      </c>
      <c r="BB481" s="13">
        <v>369.9</v>
      </c>
      <c r="BC481" s="13">
        <v>232.4</v>
      </c>
      <c r="BM481" s="13">
        <v>73</v>
      </c>
      <c r="BN481" s="13">
        <v>95.6</v>
      </c>
      <c r="BY481" s="13" t="s">
        <v>366</v>
      </c>
      <c r="BZ481" s="13" t="s">
        <v>367</v>
      </c>
      <c r="CA481" s="13">
        <v>2023</v>
      </c>
      <c r="CB481" s="21">
        <v>45443</v>
      </c>
      <c r="CC481" s="13" t="s">
        <v>368</v>
      </c>
      <c r="CD481" s="13">
        <v>13</v>
      </c>
      <c r="CE481" s="13">
        <v>6</v>
      </c>
      <c r="CG481" s="13" t="s">
        <v>369</v>
      </c>
    </row>
    <row r="482" spans="1:85">
      <c r="A482" s="13" t="s">
        <v>1720</v>
      </c>
      <c r="B482" s="13" t="s">
        <v>1863</v>
      </c>
      <c r="C482" s="13" t="s">
        <v>370</v>
      </c>
      <c r="D482" s="13" t="s">
        <v>818</v>
      </c>
      <c r="E482" s="13" t="s">
        <v>630</v>
      </c>
      <c r="F482" s="13" t="s">
        <v>920</v>
      </c>
      <c r="G482" s="13" t="s">
        <v>673</v>
      </c>
      <c r="H482" s="13" t="s">
        <v>807</v>
      </c>
      <c r="J482" s="13" t="s">
        <v>586</v>
      </c>
      <c r="K482" s="13" t="s">
        <v>4090</v>
      </c>
      <c r="L482" s="13" t="s">
        <v>1016</v>
      </c>
      <c r="M482" s="13" t="s">
        <v>921</v>
      </c>
      <c r="N482" s="13">
        <v>18</v>
      </c>
      <c r="O482" s="2">
        <f t="shared" si="47"/>
        <v>0.52941176470588236</v>
      </c>
      <c r="P482" s="13">
        <v>13</v>
      </c>
      <c r="Q482" s="17">
        <f t="shared" si="46"/>
        <v>0.39393939393939392</v>
      </c>
      <c r="R482" s="13">
        <v>34</v>
      </c>
      <c r="S482" s="13">
        <v>33</v>
      </c>
      <c r="T482" s="13">
        <v>8</v>
      </c>
      <c r="U482" s="15">
        <v>0.23529411764705882</v>
      </c>
      <c r="Y482" s="13">
        <v>64</v>
      </c>
      <c r="Z482" s="13">
        <v>56.8</v>
      </c>
      <c r="AA482" s="13">
        <v>75.3</v>
      </c>
      <c r="AD482" s="13">
        <v>59</v>
      </c>
      <c r="AE482" s="13">
        <v>51</v>
      </c>
      <c r="AF482" s="13">
        <v>68.5</v>
      </c>
      <c r="AG482" s="13" t="s">
        <v>639</v>
      </c>
      <c r="BB482" s="13">
        <v>62.6</v>
      </c>
      <c r="BC482" s="13">
        <v>75.400000000000006</v>
      </c>
      <c r="BM482" s="13">
        <v>17.399999999999999</v>
      </c>
      <c r="BN482" s="13">
        <v>33.6</v>
      </c>
      <c r="BY482" s="13" t="s">
        <v>366</v>
      </c>
      <c r="BZ482" s="13" t="s">
        <v>367</v>
      </c>
      <c r="CA482" s="13">
        <v>2023</v>
      </c>
      <c r="CB482" s="21">
        <v>45443</v>
      </c>
      <c r="CC482" s="13" t="s">
        <v>368</v>
      </c>
      <c r="CD482" s="13">
        <v>13</v>
      </c>
      <c r="CE482" s="13">
        <v>6</v>
      </c>
      <c r="CG482" s="13" t="s">
        <v>369</v>
      </c>
    </row>
    <row r="483" spans="1:85">
      <c r="A483" s="13" t="s">
        <v>3399</v>
      </c>
      <c r="C483" s="13" t="s">
        <v>3328</v>
      </c>
      <c r="D483" s="14" t="s">
        <v>830</v>
      </c>
      <c r="E483" s="13" t="s">
        <v>3838</v>
      </c>
      <c r="F483" s="13" t="s">
        <v>3839</v>
      </c>
      <c r="G483" s="13" t="s">
        <v>672</v>
      </c>
      <c r="H483" s="13" t="s">
        <v>3840</v>
      </c>
      <c r="J483" s="14" t="s">
        <v>855</v>
      </c>
      <c r="K483" s="13" t="s">
        <v>3837</v>
      </c>
      <c r="L483" s="13" t="s">
        <v>3842</v>
      </c>
      <c r="M483" s="13" t="s">
        <v>3841</v>
      </c>
      <c r="N483" s="13">
        <v>33</v>
      </c>
      <c r="O483" s="2">
        <f t="shared" si="47"/>
        <v>0.54098360655737709</v>
      </c>
      <c r="P483" s="13">
        <v>99</v>
      </c>
      <c r="Q483" s="17">
        <f t="shared" si="46"/>
        <v>0.58235294117647063</v>
      </c>
      <c r="R483" s="13">
        <v>61</v>
      </c>
      <c r="S483" s="13">
        <v>170</v>
      </c>
      <c r="W483" s="13">
        <v>67.95</v>
      </c>
      <c r="X483" s="13">
        <v>9.85</v>
      </c>
      <c r="AB483" s="13">
        <v>52.56</v>
      </c>
      <c r="AC483" s="13">
        <v>17.989999999999998</v>
      </c>
      <c r="AG483" s="13" t="s">
        <v>3843</v>
      </c>
      <c r="BB483" s="13">
        <v>15.54</v>
      </c>
      <c r="BC483" s="13">
        <v>5.47</v>
      </c>
      <c r="BM483" s="13">
        <v>13.77</v>
      </c>
      <c r="BN483" s="13">
        <v>5.08</v>
      </c>
      <c r="BX483" s="13">
        <v>2.3E-2</v>
      </c>
      <c r="BY483" s="13" t="s">
        <v>3539</v>
      </c>
      <c r="BZ483" s="13" t="s">
        <v>3540</v>
      </c>
      <c r="CA483" s="13">
        <v>2024</v>
      </c>
      <c r="CB483" s="21">
        <v>45872</v>
      </c>
      <c r="CC483" s="13" t="s">
        <v>210</v>
      </c>
      <c r="CD483" s="13">
        <v>13</v>
      </c>
      <c r="CE483" s="13">
        <v>15</v>
      </c>
      <c r="CG483" s="13" t="s">
        <v>3254</v>
      </c>
    </row>
    <row r="484" spans="1:85">
      <c r="A484" s="13" t="s">
        <v>2037</v>
      </c>
      <c r="B484" s="13" t="s">
        <v>2037</v>
      </c>
      <c r="C484" s="13" t="s">
        <v>2007</v>
      </c>
      <c r="D484" s="14" t="s">
        <v>898</v>
      </c>
      <c r="F484" s="13" t="s">
        <v>2665</v>
      </c>
      <c r="G484" s="13" t="s">
        <v>674</v>
      </c>
      <c r="H484" s="13" t="s">
        <v>2664</v>
      </c>
      <c r="J484" s="14" t="s">
        <v>865</v>
      </c>
      <c r="K484" s="14" t="s">
        <v>4075</v>
      </c>
      <c r="L484" s="13" t="s">
        <v>585</v>
      </c>
      <c r="N484" s="13">
        <v>67</v>
      </c>
      <c r="O484" s="2">
        <f t="shared" si="47"/>
        <v>0.7528089887640449</v>
      </c>
      <c r="R484" s="13">
        <v>89</v>
      </c>
      <c r="S484" s="13">
        <v>98</v>
      </c>
      <c r="T484" s="13">
        <v>0</v>
      </c>
      <c r="W484" s="13">
        <v>48.43</v>
      </c>
      <c r="AB484" s="13">
        <v>41.98</v>
      </c>
      <c r="BY484" s="13" t="s">
        <v>2078</v>
      </c>
      <c r="BZ484" s="13" t="s">
        <v>2079</v>
      </c>
      <c r="CA484" s="13">
        <v>2020</v>
      </c>
      <c r="CB484" s="13" t="s">
        <v>32</v>
      </c>
      <c r="CC484" s="13" t="s">
        <v>2080</v>
      </c>
      <c r="CD484" s="13">
        <v>11</v>
      </c>
      <c r="CE484" s="13">
        <v>4</v>
      </c>
      <c r="CF484" s="13" t="s">
        <v>2081</v>
      </c>
      <c r="CG484" s="13" t="s">
        <v>2082</v>
      </c>
    </row>
    <row r="485" spans="1:85">
      <c r="A485" s="13" t="s">
        <v>2037</v>
      </c>
      <c r="B485" s="13" t="s">
        <v>2037</v>
      </c>
      <c r="C485" s="13" t="s">
        <v>2007</v>
      </c>
      <c r="D485" s="14" t="s">
        <v>898</v>
      </c>
      <c r="F485" s="13" t="s">
        <v>2665</v>
      </c>
      <c r="G485" s="13" t="s">
        <v>674</v>
      </c>
      <c r="H485" s="13" t="s">
        <v>2666</v>
      </c>
      <c r="J485" s="14" t="s">
        <v>865</v>
      </c>
      <c r="K485" s="14" t="s">
        <v>4075</v>
      </c>
      <c r="L485" s="13" t="s">
        <v>585</v>
      </c>
      <c r="N485" s="13">
        <v>67</v>
      </c>
      <c r="O485" s="2">
        <f t="shared" si="47"/>
        <v>0.7528089887640449</v>
      </c>
      <c r="R485" s="13">
        <v>89</v>
      </c>
      <c r="S485" s="13">
        <v>98</v>
      </c>
      <c r="T485" s="13">
        <v>0</v>
      </c>
      <c r="W485" s="13">
        <v>48.43</v>
      </c>
      <c r="AB485" s="13">
        <v>41.98</v>
      </c>
      <c r="BY485" s="13" t="s">
        <v>2078</v>
      </c>
      <c r="BZ485" s="13" t="s">
        <v>2079</v>
      </c>
      <c r="CA485" s="13">
        <v>2020</v>
      </c>
      <c r="CB485" s="13" t="s">
        <v>32</v>
      </c>
      <c r="CC485" s="13" t="s">
        <v>2080</v>
      </c>
      <c r="CD485" s="13">
        <v>11</v>
      </c>
      <c r="CE485" s="13">
        <v>4</v>
      </c>
      <c r="CF485" s="13" t="s">
        <v>2081</v>
      </c>
      <c r="CG485" s="13" t="s">
        <v>2082</v>
      </c>
    </row>
    <row r="486" spans="1:85">
      <c r="A486" s="13" t="s">
        <v>2037</v>
      </c>
      <c r="B486" s="13" t="s">
        <v>2037</v>
      </c>
      <c r="C486" s="13" t="s">
        <v>2007</v>
      </c>
      <c r="D486" s="14" t="s">
        <v>898</v>
      </c>
      <c r="F486" s="13" t="s">
        <v>2665</v>
      </c>
      <c r="G486" s="13" t="s">
        <v>674</v>
      </c>
      <c r="H486" s="13" t="s">
        <v>2355</v>
      </c>
      <c r="J486" s="14" t="s">
        <v>865</v>
      </c>
      <c r="K486" s="14" t="s">
        <v>4075</v>
      </c>
      <c r="L486" s="13" t="s">
        <v>585</v>
      </c>
      <c r="N486" s="13">
        <v>67</v>
      </c>
      <c r="O486" s="2">
        <f t="shared" si="47"/>
        <v>0.7528089887640449</v>
      </c>
      <c r="R486" s="13">
        <v>89</v>
      </c>
      <c r="S486" s="13">
        <v>98</v>
      </c>
      <c r="T486" s="13">
        <v>0</v>
      </c>
      <c r="W486" s="13">
        <v>48.43</v>
      </c>
      <c r="AB486" s="13">
        <v>41.98</v>
      </c>
      <c r="BY486" s="13" t="s">
        <v>2078</v>
      </c>
      <c r="BZ486" s="13" t="s">
        <v>2079</v>
      </c>
      <c r="CA486" s="13">
        <v>2020</v>
      </c>
      <c r="CB486" s="13" t="s">
        <v>32</v>
      </c>
      <c r="CC486" s="13" t="s">
        <v>2080</v>
      </c>
      <c r="CD486" s="13">
        <v>11</v>
      </c>
      <c r="CE486" s="13">
        <v>4</v>
      </c>
      <c r="CF486" s="13" t="s">
        <v>2081</v>
      </c>
      <c r="CG486" s="13" t="s">
        <v>2082</v>
      </c>
    </row>
    <row r="487" spans="1:85">
      <c r="A487" s="13" t="s">
        <v>2037</v>
      </c>
      <c r="B487" s="13" t="s">
        <v>2037</v>
      </c>
      <c r="C487" s="13" t="s">
        <v>2007</v>
      </c>
      <c r="D487" s="14" t="s">
        <v>898</v>
      </c>
      <c r="F487" s="13" t="s">
        <v>2665</v>
      </c>
      <c r="G487" s="13" t="s">
        <v>674</v>
      </c>
      <c r="H487" s="13" t="s">
        <v>858</v>
      </c>
      <c r="J487" s="14" t="s">
        <v>865</v>
      </c>
      <c r="K487" s="14" t="s">
        <v>4075</v>
      </c>
      <c r="L487" s="13" t="s">
        <v>585</v>
      </c>
      <c r="N487" s="13">
        <v>67</v>
      </c>
      <c r="O487" s="2">
        <f t="shared" si="47"/>
        <v>0.7528089887640449</v>
      </c>
      <c r="R487" s="13">
        <v>89</v>
      </c>
      <c r="S487" s="13">
        <v>98</v>
      </c>
      <c r="T487" s="13">
        <v>0</v>
      </c>
      <c r="W487" s="13">
        <v>48.43</v>
      </c>
      <c r="AB487" s="13">
        <v>41.98</v>
      </c>
      <c r="BY487" s="13" t="s">
        <v>2078</v>
      </c>
      <c r="BZ487" s="13" t="s">
        <v>2079</v>
      </c>
      <c r="CA487" s="13">
        <v>2020</v>
      </c>
      <c r="CB487" s="13" t="s">
        <v>32</v>
      </c>
      <c r="CC487" s="13" t="s">
        <v>2080</v>
      </c>
      <c r="CD487" s="13">
        <v>11</v>
      </c>
      <c r="CE487" s="13">
        <v>4</v>
      </c>
      <c r="CF487" s="13" t="s">
        <v>2081</v>
      </c>
      <c r="CG487" s="13" t="s">
        <v>2082</v>
      </c>
    </row>
    <row r="488" spans="1:85">
      <c r="A488" s="13" t="s">
        <v>2037</v>
      </c>
      <c r="B488" s="13" t="s">
        <v>2037</v>
      </c>
      <c r="C488" s="13" t="s">
        <v>2007</v>
      </c>
      <c r="D488" s="14" t="s">
        <v>898</v>
      </c>
      <c r="F488" s="13" t="s">
        <v>2665</v>
      </c>
      <c r="G488" s="13" t="s">
        <v>674</v>
      </c>
      <c r="H488" s="13" t="s">
        <v>2667</v>
      </c>
      <c r="J488" s="14" t="s">
        <v>865</v>
      </c>
      <c r="K488" s="14" t="s">
        <v>4075</v>
      </c>
      <c r="L488" s="13" t="s">
        <v>585</v>
      </c>
      <c r="N488" s="13">
        <v>67</v>
      </c>
      <c r="O488" s="2">
        <f t="shared" si="47"/>
        <v>0.7528089887640449</v>
      </c>
      <c r="R488" s="13">
        <v>89</v>
      </c>
      <c r="S488" s="13">
        <v>98</v>
      </c>
      <c r="T488" s="13">
        <v>0</v>
      </c>
      <c r="W488" s="13">
        <v>48.43</v>
      </c>
      <c r="AB488" s="13">
        <v>41.98</v>
      </c>
      <c r="BY488" s="13" t="s">
        <v>2078</v>
      </c>
      <c r="BZ488" s="13" t="s">
        <v>2079</v>
      </c>
      <c r="CA488" s="13">
        <v>2020</v>
      </c>
      <c r="CB488" s="13" t="s">
        <v>32</v>
      </c>
      <c r="CC488" s="13" t="s">
        <v>2080</v>
      </c>
      <c r="CD488" s="13">
        <v>11</v>
      </c>
      <c r="CE488" s="13">
        <v>4</v>
      </c>
      <c r="CF488" s="13" t="s">
        <v>2081</v>
      </c>
      <c r="CG488" s="13" t="s">
        <v>2082</v>
      </c>
    </row>
    <row r="489" spans="1:85">
      <c r="A489" s="13" t="s">
        <v>1868</v>
      </c>
      <c r="B489" s="13" t="s">
        <v>1868</v>
      </c>
      <c r="C489" s="13" t="s">
        <v>1401</v>
      </c>
      <c r="D489" s="14" t="s">
        <v>818</v>
      </c>
      <c r="E489" s="13" t="s">
        <v>630</v>
      </c>
      <c r="F489" s="13" t="s">
        <v>1037</v>
      </c>
      <c r="G489" s="13" t="s">
        <v>674</v>
      </c>
      <c r="H489" s="13" t="s">
        <v>884</v>
      </c>
      <c r="J489" s="14" t="s">
        <v>629</v>
      </c>
      <c r="K489" s="14" t="s">
        <v>4076</v>
      </c>
      <c r="L489" s="13" t="s">
        <v>585</v>
      </c>
      <c r="M489" s="13" t="s">
        <v>2668</v>
      </c>
      <c r="N489" s="13">
        <v>27</v>
      </c>
      <c r="O489" s="2">
        <f t="shared" si="47"/>
        <v>0.72972972972972971</v>
      </c>
      <c r="P489" s="13">
        <v>20</v>
      </c>
      <c r="Q489" s="17">
        <f t="shared" ref="Q489:Q522" si="48">P489/S489</f>
        <v>0.66666666666666663</v>
      </c>
      <c r="R489" s="13">
        <v>37</v>
      </c>
      <c r="S489" s="13">
        <v>30</v>
      </c>
      <c r="W489" s="13">
        <v>61.4</v>
      </c>
      <c r="X489" s="13">
        <v>9.1999999999999993</v>
      </c>
      <c r="AB489" s="13">
        <v>57.9</v>
      </c>
      <c r="AC489" s="13">
        <v>12.9</v>
      </c>
      <c r="AG489" s="13" t="s">
        <v>641</v>
      </c>
      <c r="BG489" s="13">
        <v>35.36</v>
      </c>
      <c r="BI489" s="13">
        <v>1.6</v>
      </c>
      <c r="BJ489" s="13">
        <v>37.72</v>
      </c>
      <c r="BR489" s="13">
        <v>90.02</v>
      </c>
      <c r="BT489" s="13">
        <v>26.52</v>
      </c>
      <c r="BU489" s="13">
        <v>94.9</v>
      </c>
      <c r="BX489" s="13">
        <v>1.9800000000000002E-2</v>
      </c>
      <c r="BY489" s="13" t="s">
        <v>1397</v>
      </c>
      <c r="BZ489" s="13" t="s">
        <v>1398</v>
      </c>
      <c r="CA489" s="13">
        <v>2020</v>
      </c>
      <c r="CB489" s="13" t="s">
        <v>44</v>
      </c>
      <c r="CC489" s="13" t="s">
        <v>64</v>
      </c>
      <c r="CD489" s="13">
        <v>21</v>
      </c>
      <c r="CE489" s="13">
        <v>45481</v>
      </c>
      <c r="CF489" s="13" t="s">
        <v>1399</v>
      </c>
      <c r="CG489" s="13" t="s">
        <v>1400</v>
      </c>
    </row>
    <row r="490" spans="1:85">
      <c r="A490" s="13" t="s">
        <v>1868</v>
      </c>
      <c r="B490" s="13" t="s">
        <v>1868</v>
      </c>
      <c r="C490" s="13" t="s">
        <v>1401</v>
      </c>
      <c r="D490" s="14" t="s">
        <v>818</v>
      </c>
      <c r="E490" s="13" t="s">
        <v>630</v>
      </c>
      <c r="F490" s="13" t="s">
        <v>1037</v>
      </c>
      <c r="G490" s="13" t="s">
        <v>674</v>
      </c>
      <c r="H490" s="13" t="s">
        <v>2669</v>
      </c>
      <c r="J490" s="14" t="s">
        <v>629</v>
      </c>
      <c r="K490" s="14" t="s">
        <v>4076</v>
      </c>
      <c r="L490" s="13" t="s">
        <v>585</v>
      </c>
      <c r="M490" s="13" t="s">
        <v>2668</v>
      </c>
      <c r="N490" s="13">
        <v>27</v>
      </c>
      <c r="O490" s="2">
        <f t="shared" si="47"/>
        <v>0.72972972972972971</v>
      </c>
      <c r="P490" s="13">
        <v>20</v>
      </c>
      <c r="Q490" s="17">
        <f t="shared" si="48"/>
        <v>0.66666666666666663</v>
      </c>
      <c r="R490" s="13">
        <v>37</v>
      </c>
      <c r="S490" s="13">
        <v>30</v>
      </c>
      <c r="W490" s="13">
        <v>61.4</v>
      </c>
      <c r="X490" s="13">
        <v>9.1999999999999993</v>
      </c>
      <c r="AB490" s="13">
        <v>57.9</v>
      </c>
      <c r="AC490" s="13">
        <v>12.9</v>
      </c>
      <c r="AG490" s="13" t="s">
        <v>2672</v>
      </c>
      <c r="BG490" s="13">
        <v>15.62</v>
      </c>
      <c r="BI490" s="13">
        <v>11.09</v>
      </c>
      <c r="BJ490" s="13">
        <v>19.579999999999998</v>
      </c>
      <c r="BR490" s="13">
        <v>12.38</v>
      </c>
      <c r="BT490" s="13">
        <v>10.79</v>
      </c>
      <c r="BU490" s="13">
        <v>15.19</v>
      </c>
      <c r="BX490" s="13">
        <v>2.4500000000000001E-2</v>
      </c>
      <c r="BY490" s="13" t="s">
        <v>1397</v>
      </c>
      <c r="BZ490" s="13" t="s">
        <v>1398</v>
      </c>
      <c r="CA490" s="13">
        <v>2020</v>
      </c>
      <c r="CB490" s="13" t="s">
        <v>44</v>
      </c>
      <c r="CC490" s="13" t="s">
        <v>64</v>
      </c>
      <c r="CD490" s="13">
        <v>21</v>
      </c>
      <c r="CE490" s="13">
        <v>45481</v>
      </c>
      <c r="CF490" s="13" t="s">
        <v>1399</v>
      </c>
      <c r="CG490" s="13" t="s">
        <v>1400</v>
      </c>
    </row>
    <row r="491" spans="1:85">
      <c r="A491" s="13" t="s">
        <v>1868</v>
      </c>
      <c r="B491" s="13" t="s">
        <v>1868</v>
      </c>
      <c r="C491" s="13" t="s">
        <v>1401</v>
      </c>
      <c r="D491" s="14" t="s">
        <v>818</v>
      </c>
      <c r="E491" s="13" t="s">
        <v>630</v>
      </c>
      <c r="F491" s="13" t="s">
        <v>1037</v>
      </c>
      <c r="G491" s="13" t="s">
        <v>674</v>
      </c>
      <c r="H491" s="13" t="s">
        <v>2670</v>
      </c>
      <c r="J491" s="14" t="s">
        <v>629</v>
      </c>
      <c r="K491" s="14" t="s">
        <v>4076</v>
      </c>
      <c r="L491" s="13" t="s">
        <v>585</v>
      </c>
      <c r="M491" s="13" t="s">
        <v>2668</v>
      </c>
      <c r="N491" s="13">
        <v>27</v>
      </c>
      <c r="O491" s="2">
        <f t="shared" si="47"/>
        <v>0.72972972972972971</v>
      </c>
      <c r="P491" s="13">
        <v>20</v>
      </c>
      <c r="Q491" s="17">
        <f t="shared" si="48"/>
        <v>0.66666666666666663</v>
      </c>
      <c r="R491" s="13">
        <v>37</v>
      </c>
      <c r="S491" s="13">
        <v>30</v>
      </c>
      <c r="W491" s="13">
        <v>61.4</v>
      </c>
      <c r="X491" s="13">
        <v>9.1999999999999993</v>
      </c>
      <c r="AB491" s="13">
        <v>57.9</v>
      </c>
      <c r="AC491" s="13">
        <v>12.9</v>
      </c>
      <c r="AG491" s="13" t="s">
        <v>639</v>
      </c>
      <c r="BG491" s="13">
        <v>528.1</v>
      </c>
      <c r="BI491" s="13">
        <v>428</v>
      </c>
      <c r="BJ491" s="13">
        <v>640.70000000000005</v>
      </c>
      <c r="BR491" s="13">
        <v>402.3</v>
      </c>
      <c r="BT491" s="13">
        <v>333.8</v>
      </c>
      <c r="BU491" s="13">
        <v>518</v>
      </c>
      <c r="BX491" s="13">
        <v>9.4999999999999998E-3</v>
      </c>
      <c r="BY491" s="13" t="s">
        <v>1397</v>
      </c>
      <c r="BZ491" s="13" t="s">
        <v>1398</v>
      </c>
      <c r="CA491" s="13">
        <v>2020</v>
      </c>
      <c r="CB491" s="13" t="s">
        <v>44</v>
      </c>
      <c r="CC491" s="13" t="s">
        <v>64</v>
      </c>
      <c r="CD491" s="13">
        <v>21</v>
      </c>
      <c r="CE491" s="13">
        <v>45481</v>
      </c>
      <c r="CF491" s="13" t="s">
        <v>1399</v>
      </c>
      <c r="CG491" s="13" t="s">
        <v>1400</v>
      </c>
    </row>
    <row r="492" spans="1:85">
      <c r="A492" s="13" t="s">
        <v>1868</v>
      </c>
      <c r="B492" s="13" t="s">
        <v>1868</v>
      </c>
      <c r="C492" s="13" t="s">
        <v>1401</v>
      </c>
      <c r="D492" s="14" t="s">
        <v>818</v>
      </c>
      <c r="E492" s="13" t="s">
        <v>630</v>
      </c>
      <c r="F492" s="13" t="s">
        <v>1037</v>
      </c>
      <c r="G492" s="13" t="s">
        <v>674</v>
      </c>
      <c r="H492" s="13" t="s">
        <v>2671</v>
      </c>
      <c r="J492" s="14" t="s">
        <v>629</v>
      </c>
      <c r="K492" s="14" t="s">
        <v>4076</v>
      </c>
      <c r="L492" s="13" t="s">
        <v>585</v>
      </c>
      <c r="M492" s="13" t="s">
        <v>2668</v>
      </c>
      <c r="N492" s="13">
        <v>27</v>
      </c>
      <c r="O492" s="2">
        <f t="shared" si="47"/>
        <v>0.72972972972972971</v>
      </c>
      <c r="P492" s="13">
        <v>20</v>
      </c>
      <c r="Q492" s="17">
        <f t="shared" si="48"/>
        <v>0.66666666666666663</v>
      </c>
      <c r="R492" s="13">
        <v>37</v>
      </c>
      <c r="S492" s="13">
        <v>30</v>
      </c>
      <c r="W492" s="13">
        <v>61.4</v>
      </c>
      <c r="X492" s="13">
        <v>9.1999999999999993</v>
      </c>
      <c r="AB492" s="13">
        <v>57.9</v>
      </c>
      <c r="AC492" s="13">
        <v>12.9</v>
      </c>
      <c r="AG492" s="13" t="s">
        <v>641</v>
      </c>
      <c r="BG492" s="13">
        <v>9.3420000000000005</v>
      </c>
      <c r="BI492" s="13">
        <v>8.27</v>
      </c>
      <c r="BJ492" s="13">
        <v>10.17</v>
      </c>
      <c r="BR492" s="13">
        <v>7.3620000000000001</v>
      </c>
      <c r="BT492" s="13">
        <v>6.78</v>
      </c>
      <c r="BU492" s="13">
        <v>8.1199999999999992</v>
      </c>
      <c r="BX492" s="13" t="s">
        <v>691</v>
      </c>
      <c r="BY492" s="13" t="s">
        <v>1397</v>
      </c>
      <c r="BZ492" s="13" t="s">
        <v>1398</v>
      </c>
      <c r="CA492" s="13">
        <v>2020</v>
      </c>
      <c r="CB492" s="13" t="s">
        <v>44</v>
      </c>
      <c r="CC492" s="13" t="s">
        <v>64</v>
      </c>
      <c r="CD492" s="13">
        <v>21</v>
      </c>
      <c r="CE492" s="13">
        <v>45481</v>
      </c>
      <c r="CF492" s="13" t="s">
        <v>1399</v>
      </c>
      <c r="CG492" s="13" t="s">
        <v>1400</v>
      </c>
    </row>
    <row r="493" spans="1:85">
      <c r="A493" s="13" t="s">
        <v>3400</v>
      </c>
      <c r="C493" s="13" t="s">
        <v>3329</v>
      </c>
      <c r="D493" s="14" t="s">
        <v>829</v>
      </c>
      <c r="E493" s="13" t="s">
        <v>633</v>
      </c>
      <c r="F493" s="13" t="s">
        <v>3844</v>
      </c>
      <c r="G493" s="13" t="s">
        <v>673</v>
      </c>
      <c r="H493" s="13" t="s">
        <v>675</v>
      </c>
      <c r="J493" s="14" t="s">
        <v>637</v>
      </c>
      <c r="K493" s="13" t="s">
        <v>3845</v>
      </c>
      <c r="L493" s="13" t="s">
        <v>652</v>
      </c>
      <c r="N493" s="13">
        <v>69</v>
      </c>
      <c r="O493" s="2">
        <f t="shared" si="47"/>
        <v>0.49640287769784175</v>
      </c>
      <c r="P493" s="13">
        <v>41</v>
      </c>
      <c r="Q493" s="17">
        <f t="shared" si="48"/>
        <v>0.58571428571428574</v>
      </c>
      <c r="R493" s="13">
        <v>139</v>
      </c>
      <c r="S493" s="13">
        <v>70</v>
      </c>
      <c r="W493" s="13">
        <v>67.3</v>
      </c>
      <c r="X493" s="13">
        <v>10.1</v>
      </c>
      <c r="AB493" s="13">
        <v>63.8</v>
      </c>
      <c r="AC493" s="13">
        <v>13.4</v>
      </c>
      <c r="AG493" s="13" t="s">
        <v>639</v>
      </c>
      <c r="AH493" s="13">
        <v>37</v>
      </c>
      <c r="AJ493" s="13">
        <v>83</v>
      </c>
      <c r="AM493" s="13">
        <v>81</v>
      </c>
      <c r="AP493" s="13">
        <v>0.88900000000000001</v>
      </c>
      <c r="AR493" s="13">
        <v>0.82699999999999996</v>
      </c>
      <c r="AS493" s="13">
        <v>0.93200000000000005</v>
      </c>
      <c r="BB493" s="13">
        <v>86.1</v>
      </c>
      <c r="BC493" s="13">
        <v>57.1</v>
      </c>
      <c r="BM493" s="13">
        <v>29.6</v>
      </c>
      <c r="BN493" s="13">
        <v>50.1</v>
      </c>
      <c r="BX493" s="13" t="s">
        <v>691</v>
      </c>
      <c r="BY493" s="13" t="s">
        <v>3541</v>
      </c>
      <c r="BZ493" s="13" t="s">
        <v>3542</v>
      </c>
      <c r="CA493" s="13">
        <v>2025</v>
      </c>
      <c r="CB493" s="21">
        <v>45741</v>
      </c>
      <c r="CC493" s="13" t="s">
        <v>1096</v>
      </c>
      <c r="CD493" s="13">
        <v>104</v>
      </c>
      <c r="CE493" s="13">
        <v>6</v>
      </c>
      <c r="CF493" s="13" t="s">
        <v>3543</v>
      </c>
      <c r="CG493" s="13" t="s">
        <v>3255</v>
      </c>
    </row>
    <row r="494" spans="1:85">
      <c r="A494" s="13" t="s">
        <v>3400</v>
      </c>
      <c r="C494" s="13" t="s">
        <v>3329</v>
      </c>
      <c r="D494" s="14" t="s">
        <v>829</v>
      </c>
      <c r="E494" s="13" t="s">
        <v>633</v>
      </c>
      <c r="F494" s="13" t="s">
        <v>3844</v>
      </c>
      <c r="G494" s="13" t="s">
        <v>673</v>
      </c>
      <c r="H494" s="13" t="s">
        <v>675</v>
      </c>
      <c r="J494" s="14" t="s">
        <v>637</v>
      </c>
      <c r="K494" s="13" t="s">
        <v>3845</v>
      </c>
      <c r="L494" s="13" t="s">
        <v>808</v>
      </c>
      <c r="N494" s="13">
        <v>69</v>
      </c>
      <c r="O494" s="2">
        <f t="shared" si="47"/>
        <v>0.49640287769784175</v>
      </c>
      <c r="P494" s="13">
        <v>41</v>
      </c>
      <c r="Q494" s="17">
        <f t="shared" si="48"/>
        <v>0.58571428571428574</v>
      </c>
      <c r="R494" s="13">
        <v>139</v>
      </c>
      <c r="S494" s="13">
        <v>70</v>
      </c>
      <c r="W494" s="13">
        <v>67.3</v>
      </c>
      <c r="X494" s="13">
        <v>10.1</v>
      </c>
      <c r="AB494" s="13">
        <v>63.8</v>
      </c>
      <c r="AC494" s="13">
        <v>13.4</v>
      </c>
      <c r="AG494" s="13" t="s">
        <v>639</v>
      </c>
      <c r="AH494" s="13">
        <v>57</v>
      </c>
      <c r="AJ494" s="13">
        <v>86</v>
      </c>
      <c r="AM494" s="13">
        <v>79</v>
      </c>
      <c r="AP494" s="13">
        <v>0.90600000000000003</v>
      </c>
      <c r="AR494" s="13">
        <v>0.84699999999999998</v>
      </c>
      <c r="AS494" s="13">
        <v>0.94399999999999995</v>
      </c>
      <c r="BB494" s="13">
        <v>127.2</v>
      </c>
      <c r="BC494" s="13">
        <v>68.3</v>
      </c>
      <c r="BM494" s="13">
        <v>44.7</v>
      </c>
      <c r="BN494" s="13">
        <v>60.2</v>
      </c>
      <c r="BX494" s="13" t="s">
        <v>691</v>
      </c>
      <c r="BY494" s="13" t="s">
        <v>3541</v>
      </c>
      <c r="BZ494" s="13" t="s">
        <v>3542</v>
      </c>
      <c r="CA494" s="13">
        <v>2025</v>
      </c>
      <c r="CB494" s="21">
        <v>45741</v>
      </c>
      <c r="CC494" s="13" t="s">
        <v>1096</v>
      </c>
      <c r="CD494" s="13">
        <v>104</v>
      </c>
      <c r="CE494" s="13">
        <v>6</v>
      </c>
      <c r="CF494" s="13" t="s">
        <v>3543</v>
      </c>
      <c r="CG494" s="13" t="s">
        <v>3255</v>
      </c>
    </row>
    <row r="495" spans="1:85">
      <c r="A495" s="13" t="s">
        <v>3400</v>
      </c>
      <c r="C495" s="13" t="s">
        <v>3329</v>
      </c>
      <c r="D495" s="14" t="s">
        <v>829</v>
      </c>
      <c r="E495" s="13" t="s">
        <v>633</v>
      </c>
      <c r="F495" s="13" t="s">
        <v>3844</v>
      </c>
      <c r="G495" s="13" t="s">
        <v>673</v>
      </c>
      <c r="H495" s="13" t="s">
        <v>675</v>
      </c>
      <c r="J495" s="14" t="s">
        <v>637</v>
      </c>
      <c r="K495" s="13" t="s">
        <v>3845</v>
      </c>
      <c r="L495" s="13" t="s">
        <v>3680</v>
      </c>
      <c r="N495" s="13">
        <v>69</v>
      </c>
      <c r="O495" s="2">
        <f t="shared" si="47"/>
        <v>0.49640287769784175</v>
      </c>
      <c r="P495" s="13">
        <v>41</v>
      </c>
      <c r="Q495" s="17">
        <f t="shared" si="48"/>
        <v>0.58571428571428574</v>
      </c>
      <c r="R495" s="13">
        <v>139</v>
      </c>
      <c r="S495" s="13">
        <v>70</v>
      </c>
      <c r="W495" s="13">
        <v>67.3</v>
      </c>
      <c r="X495" s="13">
        <v>10.1</v>
      </c>
      <c r="AB495" s="13">
        <v>63.8</v>
      </c>
      <c r="AC495" s="13">
        <v>13.4</v>
      </c>
      <c r="AG495" s="13" t="s">
        <v>639</v>
      </c>
      <c r="AH495" s="13">
        <v>42</v>
      </c>
      <c r="AJ495" s="13">
        <v>81</v>
      </c>
      <c r="AM495" s="13">
        <v>84</v>
      </c>
      <c r="AP495" s="13">
        <v>0.91200000000000003</v>
      </c>
      <c r="AR495" s="13">
        <v>0.85299999999999998</v>
      </c>
      <c r="AS495" s="13">
        <v>0.94799999999999995</v>
      </c>
      <c r="BB495" s="13">
        <v>98.4</v>
      </c>
      <c r="BC495" s="13">
        <v>63</v>
      </c>
      <c r="BM495" s="13">
        <v>31.1</v>
      </c>
      <c r="BN495" s="13">
        <v>46.2</v>
      </c>
      <c r="BX495" s="13" t="s">
        <v>691</v>
      </c>
      <c r="BY495" s="13" t="s">
        <v>3541</v>
      </c>
      <c r="BZ495" s="13" t="s">
        <v>3542</v>
      </c>
      <c r="CA495" s="13">
        <v>2025</v>
      </c>
      <c r="CB495" s="21">
        <v>45741</v>
      </c>
      <c r="CC495" s="13" t="s">
        <v>1096</v>
      </c>
      <c r="CD495" s="13">
        <v>104</v>
      </c>
      <c r="CE495" s="13">
        <v>6</v>
      </c>
      <c r="CF495" s="13" t="s">
        <v>3543</v>
      </c>
      <c r="CG495" s="13" t="s">
        <v>3255</v>
      </c>
    </row>
    <row r="496" spans="1:85">
      <c r="A496" s="13" t="s">
        <v>3400</v>
      </c>
      <c r="C496" s="13" t="s">
        <v>3329</v>
      </c>
      <c r="D496" s="14" t="s">
        <v>829</v>
      </c>
      <c r="E496" s="13" t="s">
        <v>633</v>
      </c>
      <c r="F496" s="13" t="s">
        <v>3844</v>
      </c>
      <c r="G496" s="13" t="s">
        <v>673</v>
      </c>
      <c r="H496" s="13" t="s">
        <v>675</v>
      </c>
      <c r="J496" s="14" t="s">
        <v>637</v>
      </c>
      <c r="K496" s="13" t="s">
        <v>3845</v>
      </c>
      <c r="L496" s="13" t="s">
        <v>3678</v>
      </c>
      <c r="N496" s="13">
        <v>69</v>
      </c>
      <c r="O496" s="2">
        <f t="shared" si="47"/>
        <v>0.49640287769784175</v>
      </c>
      <c r="P496" s="13">
        <v>41</v>
      </c>
      <c r="Q496" s="17">
        <f t="shared" si="48"/>
        <v>0.58571428571428574</v>
      </c>
      <c r="R496" s="13">
        <v>139</v>
      </c>
      <c r="S496" s="13">
        <v>70</v>
      </c>
      <c r="W496" s="13">
        <v>67.3</v>
      </c>
      <c r="X496" s="13">
        <v>10.1</v>
      </c>
      <c r="AB496" s="13">
        <v>63.8</v>
      </c>
      <c r="AC496" s="13">
        <v>13.4</v>
      </c>
      <c r="AG496" s="13" t="s">
        <v>639</v>
      </c>
      <c r="AH496" s="13">
        <v>6</v>
      </c>
      <c r="AJ496" s="13">
        <v>82</v>
      </c>
      <c r="AM496" s="13">
        <v>84</v>
      </c>
      <c r="AP496" s="13">
        <v>0.91</v>
      </c>
      <c r="AR496" s="13">
        <v>0.85099999999999998</v>
      </c>
      <c r="AS496" s="13">
        <v>0.94599999999999995</v>
      </c>
      <c r="BB496" s="13">
        <v>13.97</v>
      </c>
      <c r="BC496" s="13">
        <v>8.33</v>
      </c>
      <c r="BM496" s="13">
        <v>4.32</v>
      </c>
      <c r="BN496" s="13">
        <v>6.97</v>
      </c>
      <c r="BX496" s="13" t="s">
        <v>691</v>
      </c>
      <c r="BY496" s="13" t="s">
        <v>3541</v>
      </c>
      <c r="BZ496" s="13" t="s">
        <v>3542</v>
      </c>
      <c r="CA496" s="13">
        <v>2025</v>
      </c>
      <c r="CB496" s="21">
        <v>45741</v>
      </c>
      <c r="CC496" s="13" t="s">
        <v>1096</v>
      </c>
      <c r="CD496" s="13">
        <v>104</v>
      </c>
      <c r="CE496" s="13">
        <v>6</v>
      </c>
      <c r="CF496" s="13" t="s">
        <v>3543</v>
      </c>
      <c r="CG496" s="13" t="s">
        <v>3255</v>
      </c>
    </row>
    <row r="497" spans="1:85">
      <c r="A497" s="13" t="s">
        <v>3400</v>
      </c>
      <c r="C497" s="13" t="s">
        <v>3329</v>
      </c>
      <c r="D497" s="14" t="s">
        <v>829</v>
      </c>
      <c r="E497" s="13" t="s">
        <v>633</v>
      </c>
      <c r="F497" s="13" t="s">
        <v>3844</v>
      </c>
      <c r="G497" s="13" t="s">
        <v>673</v>
      </c>
      <c r="H497" s="13" t="s">
        <v>721</v>
      </c>
      <c r="J497" s="14" t="s">
        <v>637</v>
      </c>
      <c r="K497" s="13" t="s">
        <v>3845</v>
      </c>
      <c r="L497" s="13" t="s">
        <v>3678</v>
      </c>
      <c r="M497" s="14" t="s">
        <v>4158</v>
      </c>
      <c r="N497" s="13">
        <v>69</v>
      </c>
      <c r="O497" s="2">
        <f t="shared" si="47"/>
        <v>0.49640287769784175</v>
      </c>
      <c r="P497" s="13">
        <v>41</v>
      </c>
      <c r="Q497" s="17">
        <f t="shared" si="48"/>
        <v>0.58571428571428574</v>
      </c>
      <c r="R497" s="13">
        <v>139</v>
      </c>
      <c r="S497" s="13">
        <v>70</v>
      </c>
      <c r="W497" s="13">
        <v>67.3</v>
      </c>
      <c r="X497" s="13">
        <v>10.1</v>
      </c>
      <c r="AB497" s="13">
        <v>63.8</v>
      </c>
      <c r="AC497" s="13">
        <v>13.4</v>
      </c>
      <c r="AG497" s="13" t="s">
        <v>639</v>
      </c>
      <c r="AP497" s="13">
        <v>0.56499999999999995</v>
      </c>
      <c r="AR497" s="13">
        <v>0.47199999999999998</v>
      </c>
      <c r="AS497" s="13">
        <v>0.64900000000000002</v>
      </c>
      <c r="BB497" s="13">
        <v>1.25</v>
      </c>
      <c r="BC497" s="13">
        <v>0.78</v>
      </c>
      <c r="BM497" s="13">
        <v>1.23</v>
      </c>
      <c r="BN497" s="13">
        <v>1.1100000000000001</v>
      </c>
      <c r="BX497" s="13">
        <v>0.85270000000000001</v>
      </c>
      <c r="BY497" s="13" t="s">
        <v>3541</v>
      </c>
      <c r="BZ497" s="13" t="s">
        <v>3542</v>
      </c>
      <c r="CA497" s="13">
        <v>2025</v>
      </c>
      <c r="CB497" s="21">
        <v>45741</v>
      </c>
      <c r="CC497" s="13" t="s">
        <v>1096</v>
      </c>
      <c r="CD497" s="13">
        <v>104</v>
      </c>
      <c r="CE497" s="13">
        <v>6</v>
      </c>
      <c r="CF497" s="13" t="s">
        <v>3543</v>
      </c>
      <c r="CG497" s="13" t="s">
        <v>3255</v>
      </c>
    </row>
    <row r="498" spans="1:85">
      <c r="A498" s="13" t="s">
        <v>3400</v>
      </c>
      <c r="C498" s="13" t="s">
        <v>3329</v>
      </c>
      <c r="D498" s="14" t="s">
        <v>829</v>
      </c>
      <c r="E498" s="13" t="s">
        <v>633</v>
      </c>
      <c r="F498" s="13" t="s">
        <v>3844</v>
      </c>
      <c r="G498" s="13" t="s">
        <v>673</v>
      </c>
      <c r="H498" s="13" t="s">
        <v>758</v>
      </c>
      <c r="J498" s="14" t="s">
        <v>637</v>
      </c>
      <c r="K498" s="13" t="s">
        <v>3845</v>
      </c>
      <c r="L498" s="13" t="s">
        <v>3678</v>
      </c>
      <c r="N498" s="13">
        <v>69</v>
      </c>
      <c r="O498" s="2">
        <f t="shared" si="47"/>
        <v>0.49640287769784175</v>
      </c>
      <c r="P498" s="13">
        <v>41</v>
      </c>
      <c r="Q498" s="17">
        <f t="shared" si="48"/>
        <v>0.58571428571428574</v>
      </c>
      <c r="R498" s="13">
        <v>139</v>
      </c>
      <c r="S498" s="13">
        <v>70</v>
      </c>
      <c r="W498" s="13">
        <v>67.3</v>
      </c>
      <c r="X498" s="13">
        <v>10.1</v>
      </c>
      <c r="AB498" s="13">
        <v>63.8</v>
      </c>
      <c r="AC498" s="13">
        <v>13.4</v>
      </c>
      <c r="AG498" s="13" t="s">
        <v>639</v>
      </c>
      <c r="AP498" s="13">
        <v>0.54600000000000004</v>
      </c>
      <c r="AR498" s="13">
        <v>0.46100000000000002</v>
      </c>
      <c r="AS498" s="13">
        <v>0.63600000000000001</v>
      </c>
      <c r="BB498" s="13">
        <v>91</v>
      </c>
      <c r="BC498" s="13">
        <v>45</v>
      </c>
      <c r="BM498" s="13">
        <v>102</v>
      </c>
      <c r="BN498" s="13">
        <v>57</v>
      </c>
      <c r="BX498" s="13">
        <v>0.15509999999999999</v>
      </c>
      <c r="BY498" s="13" t="s">
        <v>3541</v>
      </c>
      <c r="BZ498" s="13" t="s">
        <v>3542</v>
      </c>
      <c r="CA498" s="13">
        <v>2025</v>
      </c>
      <c r="CB498" s="21">
        <v>45741</v>
      </c>
      <c r="CC498" s="13" t="s">
        <v>1096</v>
      </c>
      <c r="CD498" s="13">
        <v>104</v>
      </c>
      <c r="CE498" s="13">
        <v>6</v>
      </c>
      <c r="CF498" s="13" t="s">
        <v>3543</v>
      </c>
      <c r="CG498" s="13" t="s">
        <v>3255</v>
      </c>
    </row>
    <row r="499" spans="1:85">
      <c r="A499" s="13" t="s">
        <v>1870</v>
      </c>
      <c r="B499" s="13" t="s">
        <v>1870</v>
      </c>
      <c r="C499" s="14" t="s">
        <v>1411</v>
      </c>
      <c r="D499" s="14" t="s">
        <v>2264</v>
      </c>
      <c r="E499" s="13" t="s">
        <v>630</v>
      </c>
      <c r="F499" s="13" t="s">
        <v>2685</v>
      </c>
      <c r="G499" s="13" t="s">
        <v>673</v>
      </c>
      <c r="H499" s="13" t="s">
        <v>2614</v>
      </c>
      <c r="J499" s="14" t="s">
        <v>2678</v>
      </c>
      <c r="K499" s="14" t="s">
        <v>4077</v>
      </c>
      <c r="L499" s="13" t="s">
        <v>2445</v>
      </c>
      <c r="M499" s="13" t="s">
        <v>2686</v>
      </c>
      <c r="N499" s="13">
        <v>28</v>
      </c>
      <c r="O499" s="2">
        <f t="shared" si="47"/>
        <v>0.63636363636363635</v>
      </c>
      <c r="P499" s="13">
        <v>24</v>
      </c>
      <c r="Q499" s="17">
        <f t="shared" si="48"/>
        <v>0.6</v>
      </c>
      <c r="R499" s="13">
        <v>44</v>
      </c>
      <c r="S499" s="13">
        <v>40</v>
      </c>
      <c r="W499" s="13">
        <v>58.05</v>
      </c>
      <c r="X499" s="13">
        <v>12.14</v>
      </c>
      <c r="AB499" s="13">
        <v>56.97</v>
      </c>
      <c r="AC499" s="13">
        <v>11.83</v>
      </c>
      <c r="AG499" s="13" t="s">
        <v>639</v>
      </c>
      <c r="BB499" s="13">
        <v>906.76</v>
      </c>
      <c r="BC499" s="13">
        <v>1226.06</v>
      </c>
      <c r="BM499" s="13">
        <v>476.43</v>
      </c>
      <c r="BN499" s="13">
        <v>662.14</v>
      </c>
      <c r="BX499" s="13">
        <v>3.6999999999999998E-2</v>
      </c>
      <c r="BY499" s="13" t="s">
        <v>1408</v>
      </c>
      <c r="BZ499" s="13" t="s">
        <v>1409</v>
      </c>
      <c r="CA499" s="13">
        <v>2024</v>
      </c>
      <c r="CB499" s="13" t="s">
        <v>2177</v>
      </c>
      <c r="CC499" s="13" t="s">
        <v>316</v>
      </c>
      <c r="CD499" s="13">
        <v>25</v>
      </c>
      <c r="CE499" s="13">
        <v>10</v>
      </c>
      <c r="CG499" s="13" t="s">
        <v>1410</v>
      </c>
    </row>
    <row r="500" spans="1:85">
      <c r="A500" s="13" t="s">
        <v>1870</v>
      </c>
      <c r="B500" s="13" t="s">
        <v>1870</v>
      </c>
      <c r="C500" s="14" t="s">
        <v>1411</v>
      </c>
      <c r="D500" s="14" t="s">
        <v>2264</v>
      </c>
      <c r="E500" s="13" t="s">
        <v>630</v>
      </c>
      <c r="F500" s="13" t="s">
        <v>2685</v>
      </c>
      <c r="G500" s="13" t="s">
        <v>673</v>
      </c>
      <c r="H500" s="13" t="s">
        <v>2680</v>
      </c>
      <c r="J500" s="14" t="s">
        <v>2678</v>
      </c>
      <c r="K500" s="14" t="s">
        <v>4077</v>
      </c>
      <c r="L500" s="13" t="s">
        <v>2445</v>
      </c>
      <c r="M500" s="13" t="s">
        <v>2686</v>
      </c>
      <c r="N500" s="13">
        <v>28</v>
      </c>
      <c r="O500" s="2">
        <f t="shared" si="47"/>
        <v>0.63636363636363635</v>
      </c>
      <c r="P500" s="13">
        <v>24</v>
      </c>
      <c r="Q500" s="17">
        <f t="shared" si="48"/>
        <v>0.6</v>
      </c>
      <c r="R500" s="13">
        <v>44</v>
      </c>
      <c r="S500" s="13">
        <v>40</v>
      </c>
      <c r="W500" s="13">
        <v>58.05</v>
      </c>
      <c r="X500" s="13">
        <v>12.14</v>
      </c>
      <c r="AB500" s="13">
        <v>56.97</v>
      </c>
      <c r="AC500" s="13">
        <v>11.83</v>
      </c>
      <c r="AG500" s="13" t="s">
        <v>639</v>
      </c>
      <c r="BB500" s="13">
        <v>285.41000000000003</v>
      </c>
      <c r="BC500" s="13">
        <v>359.87</v>
      </c>
      <c r="BM500" s="13">
        <v>156.78</v>
      </c>
      <c r="BN500" s="13">
        <v>99.86</v>
      </c>
      <c r="BX500" s="13">
        <v>2.8000000000000001E-2</v>
      </c>
      <c r="BY500" s="13" t="s">
        <v>1408</v>
      </c>
      <c r="BZ500" s="13" t="s">
        <v>1409</v>
      </c>
      <c r="CA500" s="13">
        <v>2024</v>
      </c>
      <c r="CB500" s="13" t="s">
        <v>2177</v>
      </c>
      <c r="CC500" s="13" t="s">
        <v>316</v>
      </c>
      <c r="CD500" s="13">
        <v>25</v>
      </c>
      <c r="CE500" s="13">
        <v>10</v>
      </c>
      <c r="CG500" s="13" t="s">
        <v>1410</v>
      </c>
    </row>
    <row r="501" spans="1:85">
      <c r="A501" s="13" t="s">
        <v>1870</v>
      </c>
      <c r="B501" s="13" t="s">
        <v>1870</v>
      </c>
      <c r="C501" s="14" t="s">
        <v>1411</v>
      </c>
      <c r="D501" s="14" t="s">
        <v>2264</v>
      </c>
      <c r="E501" s="13" t="s">
        <v>630</v>
      </c>
      <c r="F501" s="13" t="s">
        <v>2685</v>
      </c>
      <c r="G501" s="13" t="s">
        <v>673</v>
      </c>
      <c r="H501" s="13" t="s">
        <v>2610</v>
      </c>
      <c r="J501" s="14" t="s">
        <v>2678</v>
      </c>
      <c r="K501" s="14" t="s">
        <v>4077</v>
      </c>
      <c r="L501" s="13" t="s">
        <v>2445</v>
      </c>
      <c r="M501" s="13" t="s">
        <v>2686</v>
      </c>
      <c r="N501" s="13">
        <v>28</v>
      </c>
      <c r="O501" s="2">
        <f t="shared" si="47"/>
        <v>0.63636363636363635</v>
      </c>
      <c r="P501" s="13">
        <v>24</v>
      </c>
      <c r="Q501" s="17">
        <f t="shared" si="48"/>
        <v>0.6</v>
      </c>
      <c r="R501" s="13">
        <v>44</v>
      </c>
      <c r="S501" s="13">
        <v>40</v>
      </c>
      <c r="W501" s="13">
        <v>58.05</v>
      </c>
      <c r="X501" s="13">
        <v>12.14</v>
      </c>
      <c r="AB501" s="13">
        <v>56.97</v>
      </c>
      <c r="AC501" s="13">
        <v>11.83</v>
      </c>
      <c r="AG501" s="13" t="s">
        <v>639</v>
      </c>
      <c r="BB501" s="13">
        <v>5162.95</v>
      </c>
      <c r="BC501" s="13">
        <v>3792.84</v>
      </c>
      <c r="BM501" s="13">
        <v>6932.8</v>
      </c>
      <c r="BN501" s="13">
        <v>2559.4299999999998</v>
      </c>
      <c r="BX501" s="13">
        <v>7.0000000000000001E-3</v>
      </c>
      <c r="BY501" s="13" t="s">
        <v>1408</v>
      </c>
      <c r="BZ501" s="13" t="s">
        <v>1409</v>
      </c>
      <c r="CA501" s="13">
        <v>2024</v>
      </c>
      <c r="CB501" s="13" t="s">
        <v>2177</v>
      </c>
      <c r="CC501" s="13" t="s">
        <v>316</v>
      </c>
      <c r="CD501" s="13">
        <v>25</v>
      </c>
      <c r="CE501" s="13">
        <v>10</v>
      </c>
      <c r="CG501" s="13" t="s">
        <v>1410</v>
      </c>
    </row>
    <row r="502" spans="1:85">
      <c r="A502" s="13" t="s">
        <v>1870</v>
      </c>
      <c r="B502" s="13" t="s">
        <v>1870</v>
      </c>
      <c r="C502" s="14" t="s">
        <v>1411</v>
      </c>
      <c r="D502" s="14" t="s">
        <v>2264</v>
      </c>
      <c r="E502" s="13" t="s">
        <v>630</v>
      </c>
      <c r="F502" s="13" t="s">
        <v>2685</v>
      </c>
      <c r="G502" s="13" t="s">
        <v>673</v>
      </c>
      <c r="H502" s="13" t="s">
        <v>2499</v>
      </c>
      <c r="J502" s="14" t="s">
        <v>2678</v>
      </c>
      <c r="K502" s="14" t="s">
        <v>4077</v>
      </c>
      <c r="L502" s="13" t="s">
        <v>2445</v>
      </c>
      <c r="M502" s="13" t="s">
        <v>2686</v>
      </c>
      <c r="N502" s="13">
        <v>28</v>
      </c>
      <c r="O502" s="2">
        <f t="shared" si="47"/>
        <v>0.63636363636363635</v>
      </c>
      <c r="P502" s="13">
        <v>24</v>
      </c>
      <c r="Q502" s="17">
        <f t="shared" si="48"/>
        <v>0.6</v>
      </c>
      <c r="R502" s="13">
        <v>44</v>
      </c>
      <c r="S502" s="13">
        <v>40</v>
      </c>
      <c r="W502" s="13">
        <v>58.05</v>
      </c>
      <c r="X502" s="13">
        <v>12.14</v>
      </c>
      <c r="AB502" s="13">
        <v>56.97</v>
      </c>
      <c r="AC502" s="13">
        <v>11.83</v>
      </c>
      <c r="AG502" s="13" t="s">
        <v>639</v>
      </c>
      <c r="BB502" s="13">
        <v>42.4</v>
      </c>
      <c r="BC502" s="13">
        <v>55.25</v>
      </c>
      <c r="BM502" s="13">
        <v>63.98</v>
      </c>
      <c r="BN502" s="13">
        <v>60.78</v>
      </c>
      <c r="BX502" s="13">
        <v>4.1000000000000002E-2</v>
      </c>
      <c r="BY502" s="13" t="s">
        <v>1408</v>
      </c>
      <c r="BZ502" s="13" t="s">
        <v>1409</v>
      </c>
      <c r="CA502" s="13">
        <v>2024</v>
      </c>
      <c r="CB502" s="13" t="s">
        <v>2177</v>
      </c>
      <c r="CC502" s="13" t="s">
        <v>316</v>
      </c>
      <c r="CD502" s="13">
        <v>25</v>
      </c>
      <c r="CE502" s="13">
        <v>10</v>
      </c>
      <c r="CG502" s="13" t="s">
        <v>1410</v>
      </c>
    </row>
    <row r="503" spans="1:85">
      <c r="A503" s="13" t="s">
        <v>1870</v>
      </c>
      <c r="B503" s="13" t="s">
        <v>1870</v>
      </c>
      <c r="C503" s="14" t="s">
        <v>1411</v>
      </c>
      <c r="D503" s="14" t="s">
        <v>2264</v>
      </c>
      <c r="E503" s="13" t="s">
        <v>630</v>
      </c>
      <c r="F503" s="13" t="s">
        <v>2685</v>
      </c>
      <c r="G503" s="13" t="s">
        <v>673</v>
      </c>
      <c r="H503" s="13" t="s">
        <v>2611</v>
      </c>
      <c r="J503" s="14" t="s">
        <v>2678</v>
      </c>
      <c r="K503" s="14" t="s">
        <v>4077</v>
      </c>
      <c r="L503" s="13" t="s">
        <v>2445</v>
      </c>
      <c r="M503" s="13" t="s">
        <v>2686</v>
      </c>
      <c r="N503" s="13">
        <v>28</v>
      </c>
      <c r="O503" s="2">
        <f t="shared" si="47"/>
        <v>0.63636363636363635</v>
      </c>
      <c r="P503" s="13">
        <v>24</v>
      </c>
      <c r="Q503" s="17">
        <f t="shared" si="48"/>
        <v>0.6</v>
      </c>
      <c r="R503" s="13">
        <v>44</v>
      </c>
      <c r="S503" s="13">
        <v>40</v>
      </c>
      <c r="W503" s="13">
        <v>58.05</v>
      </c>
      <c r="X503" s="13">
        <v>12.14</v>
      </c>
      <c r="AB503" s="13">
        <v>56.97</v>
      </c>
      <c r="AC503" s="13">
        <v>11.83</v>
      </c>
      <c r="AG503" s="13" t="s">
        <v>639</v>
      </c>
      <c r="BB503" s="13">
        <v>6218.95</v>
      </c>
      <c r="BC503" s="13">
        <v>4669.2</v>
      </c>
      <c r="BM503" s="13">
        <v>4239.6499999999996</v>
      </c>
      <c r="BN503" s="13">
        <v>5171.88</v>
      </c>
      <c r="BX503" s="13">
        <v>2.7E-2</v>
      </c>
      <c r="BY503" s="13" t="s">
        <v>1408</v>
      </c>
      <c r="BZ503" s="13" t="s">
        <v>1409</v>
      </c>
      <c r="CA503" s="13">
        <v>2024</v>
      </c>
      <c r="CB503" s="13" t="s">
        <v>2177</v>
      </c>
      <c r="CC503" s="13" t="s">
        <v>316</v>
      </c>
      <c r="CD503" s="13">
        <v>25</v>
      </c>
      <c r="CE503" s="13">
        <v>10</v>
      </c>
      <c r="CG503" s="13" t="s">
        <v>1410</v>
      </c>
    </row>
    <row r="504" spans="1:85">
      <c r="A504" s="13" t="s">
        <v>1870</v>
      </c>
      <c r="B504" s="13" t="s">
        <v>1870</v>
      </c>
      <c r="C504" s="14" t="s">
        <v>1411</v>
      </c>
      <c r="D504" s="14" t="s">
        <v>2264</v>
      </c>
      <c r="E504" s="13" t="s">
        <v>630</v>
      </c>
      <c r="F504" s="13" t="s">
        <v>2685</v>
      </c>
      <c r="G504" s="13" t="s">
        <v>673</v>
      </c>
      <c r="H504" s="13" t="s">
        <v>2612</v>
      </c>
      <c r="J504" s="14" t="s">
        <v>2678</v>
      </c>
      <c r="K504" s="14" t="s">
        <v>4077</v>
      </c>
      <c r="L504" s="13" t="s">
        <v>2445</v>
      </c>
      <c r="M504" s="13" t="s">
        <v>2686</v>
      </c>
      <c r="N504" s="13">
        <v>28</v>
      </c>
      <c r="O504" s="2">
        <f t="shared" si="47"/>
        <v>0.63636363636363635</v>
      </c>
      <c r="P504" s="13">
        <v>24</v>
      </c>
      <c r="Q504" s="17">
        <f t="shared" si="48"/>
        <v>0.6</v>
      </c>
      <c r="R504" s="13">
        <v>44</v>
      </c>
      <c r="S504" s="13">
        <v>40</v>
      </c>
      <c r="W504" s="13">
        <v>58.05</v>
      </c>
      <c r="X504" s="13">
        <v>12.14</v>
      </c>
      <c r="AB504" s="13">
        <v>56.97</v>
      </c>
      <c r="AC504" s="13">
        <v>11.83</v>
      </c>
      <c r="AG504" s="13" t="s">
        <v>639</v>
      </c>
      <c r="BB504" s="13">
        <v>132.86000000000001</v>
      </c>
      <c r="BC504" s="13">
        <v>229.91</v>
      </c>
      <c r="BM504" s="13">
        <v>79.03</v>
      </c>
      <c r="BN504" s="13">
        <v>128.5</v>
      </c>
      <c r="BX504" s="13">
        <v>0.16300000000000001</v>
      </c>
      <c r="BY504" s="13" t="s">
        <v>1408</v>
      </c>
      <c r="BZ504" s="13" t="s">
        <v>1409</v>
      </c>
      <c r="CA504" s="13">
        <v>2024</v>
      </c>
      <c r="CB504" s="13" t="s">
        <v>2177</v>
      </c>
      <c r="CC504" s="13" t="s">
        <v>316</v>
      </c>
      <c r="CD504" s="13">
        <v>25</v>
      </c>
      <c r="CE504" s="13">
        <v>10</v>
      </c>
      <c r="CG504" s="13" t="s">
        <v>1410</v>
      </c>
    </row>
    <row r="505" spans="1:85">
      <c r="A505" s="13" t="s">
        <v>1870</v>
      </c>
      <c r="B505" s="13" t="s">
        <v>1870</v>
      </c>
      <c r="C505" s="14" t="s">
        <v>1411</v>
      </c>
      <c r="D505" s="14" t="s">
        <v>2264</v>
      </c>
      <c r="E505" s="13" t="s">
        <v>630</v>
      </c>
      <c r="F505" s="13" t="s">
        <v>2685</v>
      </c>
      <c r="G505" s="13" t="s">
        <v>673</v>
      </c>
      <c r="H505" s="13" t="s">
        <v>2613</v>
      </c>
      <c r="J505" s="14" t="s">
        <v>2678</v>
      </c>
      <c r="K505" s="14" t="s">
        <v>4077</v>
      </c>
      <c r="L505" s="13" t="s">
        <v>2445</v>
      </c>
      <c r="M505" s="13" t="s">
        <v>2686</v>
      </c>
      <c r="N505" s="13">
        <v>28</v>
      </c>
      <c r="O505" s="2">
        <f t="shared" ref="O505:O536" si="49">N505/R505</f>
        <v>0.63636363636363635</v>
      </c>
      <c r="P505" s="13">
        <v>24</v>
      </c>
      <c r="Q505" s="17">
        <f t="shared" si="48"/>
        <v>0.6</v>
      </c>
      <c r="R505" s="13">
        <v>44</v>
      </c>
      <c r="S505" s="13">
        <v>40</v>
      </c>
      <c r="W505" s="13">
        <v>58.05</v>
      </c>
      <c r="X505" s="13">
        <v>12.14</v>
      </c>
      <c r="AB505" s="13">
        <v>56.97</v>
      </c>
      <c r="AC505" s="13">
        <v>11.83</v>
      </c>
      <c r="AG505" s="13" t="s">
        <v>639</v>
      </c>
      <c r="BB505" s="13">
        <v>72.8</v>
      </c>
      <c r="BC505" s="13">
        <v>49.63</v>
      </c>
      <c r="BM505" s="13">
        <v>51.1</v>
      </c>
      <c r="BN505" s="13">
        <v>16.690000000000001</v>
      </c>
      <c r="BX505" s="13">
        <v>8.0000000000000002E-3</v>
      </c>
      <c r="BY505" s="13" t="s">
        <v>1408</v>
      </c>
      <c r="BZ505" s="13" t="s">
        <v>1409</v>
      </c>
      <c r="CA505" s="13">
        <v>2024</v>
      </c>
      <c r="CB505" s="13" t="s">
        <v>2177</v>
      </c>
      <c r="CC505" s="13" t="s">
        <v>316</v>
      </c>
      <c r="CD505" s="13">
        <v>25</v>
      </c>
      <c r="CE505" s="13">
        <v>10</v>
      </c>
      <c r="CG505" s="13" t="s">
        <v>1410</v>
      </c>
    </row>
    <row r="506" spans="1:85">
      <c r="A506" s="13" t="s">
        <v>1870</v>
      </c>
      <c r="B506" s="13" t="s">
        <v>1870</v>
      </c>
      <c r="C506" s="14" t="s">
        <v>1411</v>
      </c>
      <c r="D506" s="14" t="s">
        <v>2264</v>
      </c>
      <c r="E506" s="13" t="s">
        <v>630</v>
      </c>
      <c r="F506" s="13" t="s">
        <v>2685</v>
      </c>
      <c r="G506" s="13" t="s">
        <v>673</v>
      </c>
      <c r="H506" s="13" t="s">
        <v>683</v>
      </c>
      <c r="J506" s="14" t="s">
        <v>2678</v>
      </c>
      <c r="K506" s="14" t="s">
        <v>4077</v>
      </c>
      <c r="L506" s="13" t="s">
        <v>2445</v>
      </c>
      <c r="M506" s="13" t="s">
        <v>2686</v>
      </c>
      <c r="N506" s="13">
        <v>28</v>
      </c>
      <c r="O506" s="2">
        <f t="shared" si="49"/>
        <v>0.63636363636363635</v>
      </c>
      <c r="P506" s="13">
        <v>24</v>
      </c>
      <c r="Q506" s="17">
        <f t="shared" si="48"/>
        <v>0.6</v>
      </c>
      <c r="R506" s="13">
        <v>44</v>
      </c>
      <c r="S506" s="13">
        <v>40</v>
      </c>
      <c r="W506" s="13">
        <v>58.05</v>
      </c>
      <c r="X506" s="13">
        <v>12.14</v>
      </c>
      <c r="AB506" s="13">
        <v>56.97</v>
      </c>
      <c r="AC506" s="13">
        <v>11.83</v>
      </c>
      <c r="AG506" s="13" t="s">
        <v>639</v>
      </c>
      <c r="BB506" s="13">
        <v>4662.66</v>
      </c>
      <c r="BC506" s="13">
        <v>4238.2</v>
      </c>
      <c r="BM506" s="13">
        <v>7994.33</v>
      </c>
      <c r="BN506" s="13">
        <v>4748.2</v>
      </c>
      <c r="BX506" s="13" t="s">
        <v>635</v>
      </c>
      <c r="BY506" s="13" t="s">
        <v>1408</v>
      </c>
      <c r="BZ506" s="13" t="s">
        <v>1409</v>
      </c>
      <c r="CA506" s="13">
        <v>2024</v>
      </c>
      <c r="CB506" s="13" t="s">
        <v>2177</v>
      </c>
      <c r="CC506" s="13" t="s">
        <v>316</v>
      </c>
      <c r="CD506" s="13">
        <v>25</v>
      </c>
      <c r="CE506" s="13">
        <v>10</v>
      </c>
      <c r="CG506" s="13" t="s">
        <v>1410</v>
      </c>
    </row>
    <row r="507" spans="1:85">
      <c r="A507" s="13" t="s">
        <v>1870</v>
      </c>
      <c r="B507" s="13" t="s">
        <v>1870</v>
      </c>
      <c r="C507" s="14" t="s">
        <v>1411</v>
      </c>
      <c r="D507" s="14" t="s">
        <v>2264</v>
      </c>
      <c r="E507" s="13" t="s">
        <v>630</v>
      </c>
      <c r="F507" s="13" t="s">
        <v>2685</v>
      </c>
      <c r="G507" s="13" t="s">
        <v>673</v>
      </c>
      <c r="H507" s="13" t="s">
        <v>767</v>
      </c>
      <c r="J507" s="14" t="s">
        <v>2678</v>
      </c>
      <c r="K507" s="14" t="s">
        <v>4077</v>
      </c>
      <c r="L507" s="13" t="s">
        <v>2445</v>
      </c>
      <c r="M507" s="13" t="s">
        <v>2686</v>
      </c>
      <c r="N507" s="13">
        <v>28</v>
      </c>
      <c r="O507" s="2">
        <f t="shared" si="49"/>
        <v>0.63636363636363635</v>
      </c>
      <c r="P507" s="13">
        <v>24</v>
      </c>
      <c r="Q507" s="17">
        <f t="shared" si="48"/>
        <v>0.6</v>
      </c>
      <c r="R507" s="13">
        <v>44</v>
      </c>
      <c r="S507" s="13">
        <v>40</v>
      </c>
      <c r="W507" s="13">
        <v>58.05</v>
      </c>
      <c r="X507" s="13">
        <v>12.14</v>
      </c>
      <c r="AB507" s="13">
        <v>56.97</v>
      </c>
      <c r="AC507" s="13">
        <v>11.83</v>
      </c>
      <c r="AG507" s="13" t="s">
        <v>639</v>
      </c>
      <c r="BB507" s="13">
        <v>6066.4</v>
      </c>
      <c r="BC507" s="13">
        <v>4149.51</v>
      </c>
      <c r="BM507" s="13">
        <v>5524.93</v>
      </c>
      <c r="BN507" s="13">
        <v>2275</v>
      </c>
      <c r="BX507" s="13">
        <v>0.435</v>
      </c>
      <c r="BY507" s="13" t="s">
        <v>1408</v>
      </c>
      <c r="BZ507" s="13" t="s">
        <v>1409</v>
      </c>
      <c r="CA507" s="13">
        <v>2024</v>
      </c>
      <c r="CB507" s="13" t="s">
        <v>2177</v>
      </c>
      <c r="CC507" s="13" t="s">
        <v>316</v>
      </c>
      <c r="CD507" s="13">
        <v>25</v>
      </c>
      <c r="CE507" s="13">
        <v>10</v>
      </c>
      <c r="CG507" s="13" t="s">
        <v>1410</v>
      </c>
    </row>
    <row r="508" spans="1:85">
      <c r="A508" s="13" t="s">
        <v>1870</v>
      </c>
      <c r="B508" s="13" t="s">
        <v>1870</v>
      </c>
      <c r="C508" s="14" t="s">
        <v>1411</v>
      </c>
      <c r="D508" s="14" t="s">
        <v>2264</v>
      </c>
      <c r="E508" s="13" t="s">
        <v>630</v>
      </c>
      <c r="F508" s="13" t="s">
        <v>2685</v>
      </c>
      <c r="G508" s="13" t="s">
        <v>673</v>
      </c>
      <c r="H508" s="13" t="s">
        <v>2687</v>
      </c>
      <c r="J508" s="14" t="s">
        <v>2678</v>
      </c>
      <c r="K508" s="14" t="s">
        <v>4077</v>
      </c>
      <c r="L508" s="13" t="s">
        <v>2445</v>
      </c>
      <c r="M508" s="13" t="s">
        <v>2686</v>
      </c>
      <c r="N508" s="13">
        <v>28</v>
      </c>
      <c r="O508" s="2">
        <f t="shared" si="49"/>
        <v>0.63636363636363635</v>
      </c>
      <c r="P508" s="13">
        <v>24</v>
      </c>
      <c r="Q508" s="17">
        <f t="shared" si="48"/>
        <v>0.6</v>
      </c>
      <c r="R508" s="13">
        <v>44</v>
      </c>
      <c r="S508" s="13">
        <v>40</v>
      </c>
      <c r="W508" s="13">
        <v>58.05</v>
      </c>
      <c r="X508" s="13">
        <v>12.14</v>
      </c>
      <c r="AB508" s="13">
        <v>56.97</v>
      </c>
      <c r="AC508" s="13">
        <v>11.83</v>
      </c>
      <c r="AG508" s="13" t="s">
        <v>639</v>
      </c>
      <c r="BB508" s="13">
        <v>4992.2700000000004</v>
      </c>
      <c r="BC508" s="13">
        <v>4890.1400000000003</v>
      </c>
      <c r="BM508" s="13">
        <v>2060.35</v>
      </c>
      <c r="BN508" s="13">
        <v>2200.31</v>
      </c>
      <c r="BX508" s="13" t="s">
        <v>635</v>
      </c>
      <c r="BY508" s="13" t="s">
        <v>1408</v>
      </c>
      <c r="BZ508" s="13" t="s">
        <v>1409</v>
      </c>
      <c r="CA508" s="13">
        <v>2024</v>
      </c>
      <c r="CB508" s="13" t="s">
        <v>2177</v>
      </c>
      <c r="CC508" s="13" t="s">
        <v>316</v>
      </c>
      <c r="CD508" s="13">
        <v>25</v>
      </c>
      <c r="CE508" s="13">
        <v>10</v>
      </c>
      <c r="CG508" s="13" t="s">
        <v>1410</v>
      </c>
    </row>
    <row r="509" spans="1:85">
      <c r="A509" s="13" t="s">
        <v>1870</v>
      </c>
      <c r="B509" s="13" t="s">
        <v>1870</v>
      </c>
      <c r="C509" s="14" t="s">
        <v>1411</v>
      </c>
      <c r="D509" s="14" t="s">
        <v>2264</v>
      </c>
      <c r="E509" s="13" t="s">
        <v>630</v>
      </c>
      <c r="F509" s="13" t="s">
        <v>2685</v>
      </c>
      <c r="G509" s="13" t="s">
        <v>673</v>
      </c>
      <c r="H509" s="13" t="s">
        <v>2682</v>
      </c>
      <c r="J509" s="14" t="s">
        <v>2678</v>
      </c>
      <c r="K509" s="14" t="s">
        <v>4077</v>
      </c>
      <c r="L509" s="13" t="s">
        <v>2445</v>
      </c>
      <c r="M509" s="13" t="s">
        <v>2686</v>
      </c>
      <c r="N509" s="13">
        <v>28</v>
      </c>
      <c r="O509" s="2">
        <f t="shared" si="49"/>
        <v>0.63636363636363635</v>
      </c>
      <c r="P509" s="13">
        <v>24</v>
      </c>
      <c r="Q509" s="17">
        <f t="shared" si="48"/>
        <v>0.6</v>
      </c>
      <c r="R509" s="13">
        <v>44</v>
      </c>
      <c r="S509" s="13">
        <v>40</v>
      </c>
      <c r="W509" s="13">
        <v>58.05</v>
      </c>
      <c r="X509" s="13">
        <v>12.14</v>
      </c>
      <c r="AB509" s="13">
        <v>56.97</v>
      </c>
      <c r="AC509" s="13">
        <v>11.83</v>
      </c>
      <c r="AG509" s="13" t="s">
        <v>639</v>
      </c>
      <c r="BB509" s="13">
        <v>103.98</v>
      </c>
      <c r="BC509" s="13">
        <v>84.48</v>
      </c>
      <c r="BM509" s="13">
        <v>116.55</v>
      </c>
      <c r="BN509" s="13">
        <v>195.6</v>
      </c>
      <c r="BX509" s="13">
        <v>0.58299999999999996</v>
      </c>
      <c r="BY509" s="13" t="s">
        <v>1408</v>
      </c>
      <c r="BZ509" s="13" t="s">
        <v>1409</v>
      </c>
      <c r="CA509" s="13">
        <v>2024</v>
      </c>
      <c r="CB509" s="13" t="s">
        <v>2177</v>
      </c>
      <c r="CC509" s="13" t="s">
        <v>316</v>
      </c>
      <c r="CD509" s="13">
        <v>25</v>
      </c>
      <c r="CE509" s="13">
        <v>10</v>
      </c>
      <c r="CG509" s="13" t="s">
        <v>1410</v>
      </c>
    </row>
    <row r="510" spans="1:85">
      <c r="A510" s="13" t="s">
        <v>3401</v>
      </c>
      <c r="C510" s="13" t="s">
        <v>3330</v>
      </c>
      <c r="D510" s="14" t="s">
        <v>830</v>
      </c>
      <c r="E510" s="13" t="s">
        <v>630</v>
      </c>
      <c r="F510" s="13" t="s">
        <v>3848</v>
      </c>
      <c r="G510" s="13" t="s">
        <v>672</v>
      </c>
      <c r="H510" s="13" t="s">
        <v>3852</v>
      </c>
      <c r="J510" s="14" t="s">
        <v>3849</v>
      </c>
      <c r="K510" s="13" t="s">
        <v>3850</v>
      </c>
      <c r="L510" s="13" t="s">
        <v>3853</v>
      </c>
      <c r="M510" s="13" t="s">
        <v>3851</v>
      </c>
      <c r="N510" s="13">
        <v>20</v>
      </c>
      <c r="O510" s="2">
        <f t="shared" si="49"/>
        <v>0.5714285714285714</v>
      </c>
      <c r="P510" s="13">
        <v>16</v>
      </c>
      <c r="Q510" s="17">
        <f t="shared" si="48"/>
        <v>0.45714285714285713</v>
      </c>
      <c r="R510" s="13">
        <v>35</v>
      </c>
      <c r="S510" s="13">
        <v>35</v>
      </c>
      <c r="Y510" s="13">
        <v>66</v>
      </c>
      <c r="AD510" s="13">
        <v>73</v>
      </c>
      <c r="AG510" s="13" t="s">
        <v>2579</v>
      </c>
      <c r="AP510" s="13">
        <v>0.92</v>
      </c>
      <c r="AR510" s="13">
        <v>0.91</v>
      </c>
      <c r="AS510" s="13">
        <v>0.92</v>
      </c>
      <c r="BY510" s="13" t="s">
        <v>3544</v>
      </c>
      <c r="BZ510" s="13" t="s">
        <v>3545</v>
      </c>
      <c r="CA510" s="13">
        <v>2025</v>
      </c>
      <c r="CB510" s="21">
        <v>45660</v>
      </c>
      <c r="CC510" s="13" t="s">
        <v>61</v>
      </c>
      <c r="CD510" s="13">
        <v>15</v>
      </c>
      <c r="CE510" s="13">
        <v>1</v>
      </c>
      <c r="CF510" s="13">
        <v>668</v>
      </c>
      <c r="CG510" s="13" t="s">
        <v>3256</v>
      </c>
    </row>
    <row r="511" spans="1:85">
      <c r="A511" s="13" t="s">
        <v>3401</v>
      </c>
      <c r="C511" s="13" t="s">
        <v>3330</v>
      </c>
      <c r="D511" s="14" t="s">
        <v>830</v>
      </c>
      <c r="E511" s="13" t="s">
        <v>630</v>
      </c>
      <c r="F511" s="13" t="s">
        <v>3848</v>
      </c>
      <c r="G511" s="13" t="s">
        <v>672</v>
      </c>
      <c r="H511" s="13" t="s">
        <v>900</v>
      </c>
      <c r="J511" s="14" t="s">
        <v>3849</v>
      </c>
      <c r="K511" s="13" t="s">
        <v>3850</v>
      </c>
      <c r="L511" s="13" t="s">
        <v>3853</v>
      </c>
      <c r="M511" s="13" t="s">
        <v>3851</v>
      </c>
      <c r="N511" s="13">
        <v>20</v>
      </c>
      <c r="O511" s="2">
        <f t="shared" si="49"/>
        <v>0.5714285714285714</v>
      </c>
      <c r="P511" s="13">
        <v>16</v>
      </c>
      <c r="Q511" s="17">
        <f t="shared" si="48"/>
        <v>0.45714285714285713</v>
      </c>
      <c r="R511" s="13">
        <v>35</v>
      </c>
      <c r="S511" s="13">
        <v>35</v>
      </c>
      <c r="Y511" s="13">
        <v>66</v>
      </c>
      <c r="AD511" s="13">
        <v>73</v>
      </c>
      <c r="AG511" s="13" t="s">
        <v>2579</v>
      </c>
      <c r="AP511" s="13">
        <v>0.81</v>
      </c>
      <c r="AR511" s="13">
        <v>0.8</v>
      </c>
      <c r="AS511" s="13">
        <v>0.81</v>
      </c>
      <c r="BY511" s="13" t="s">
        <v>3544</v>
      </c>
      <c r="BZ511" s="13" t="s">
        <v>3545</v>
      </c>
      <c r="CA511" s="13">
        <v>2025</v>
      </c>
      <c r="CB511" s="21">
        <v>45660</v>
      </c>
      <c r="CC511" s="13" t="s">
        <v>61</v>
      </c>
      <c r="CD511" s="13">
        <v>15</v>
      </c>
      <c r="CE511" s="13">
        <v>1</v>
      </c>
      <c r="CF511" s="13">
        <v>668</v>
      </c>
      <c r="CG511" s="13" t="s">
        <v>3256</v>
      </c>
    </row>
    <row r="512" spans="1:85">
      <c r="A512" s="13" t="s">
        <v>3401</v>
      </c>
      <c r="C512" s="13" t="s">
        <v>3330</v>
      </c>
      <c r="D512" s="14" t="s">
        <v>830</v>
      </c>
      <c r="E512" s="13" t="s">
        <v>2348</v>
      </c>
      <c r="F512" s="13" t="s">
        <v>2348</v>
      </c>
      <c r="G512" s="13" t="s">
        <v>672</v>
      </c>
      <c r="H512" s="13" t="s">
        <v>823</v>
      </c>
      <c r="J512" s="14" t="s">
        <v>3849</v>
      </c>
      <c r="K512" s="13" t="s">
        <v>3850</v>
      </c>
      <c r="L512" s="13" t="s">
        <v>3861</v>
      </c>
      <c r="M512" s="13" t="s">
        <v>3862</v>
      </c>
      <c r="N512" s="13">
        <v>20</v>
      </c>
      <c r="O512" s="2">
        <f t="shared" si="49"/>
        <v>0.5714285714285714</v>
      </c>
      <c r="P512" s="13">
        <v>19</v>
      </c>
      <c r="Q512" s="17">
        <f t="shared" si="48"/>
        <v>0.48717948717948717</v>
      </c>
      <c r="R512" s="13">
        <v>35</v>
      </c>
      <c r="S512" s="13">
        <v>39</v>
      </c>
      <c r="Y512" s="13">
        <v>66</v>
      </c>
      <c r="AD512" s="13">
        <v>73</v>
      </c>
      <c r="AG512" s="13" t="s">
        <v>2579</v>
      </c>
      <c r="AP512" s="13">
        <v>0.81</v>
      </c>
      <c r="AR512" s="13">
        <v>0.8</v>
      </c>
      <c r="AS512" s="13">
        <v>0.81</v>
      </c>
      <c r="BG512" s="13">
        <v>897</v>
      </c>
      <c r="BK512" s="13">
        <v>393</v>
      </c>
      <c r="BL512" s="13">
        <v>1828</v>
      </c>
      <c r="BR512" s="13">
        <v>661</v>
      </c>
      <c r="BV512" s="13">
        <v>318</v>
      </c>
      <c r="BW512" s="13">
        <v>1445</v>
      </c>
      <c r="BY512" s="13" t="s">
        <v>3544</v>
      </c>
      <c r="BZ512" s="13" t="s">
        <v>3545</v>
      </c>
      <c r="CA512" s="13">
        <v>2025</v>
      </c>
      <c r="CB512" s="21">
        <v>45660</v>
      </c>
      <c r="CC512" s="13" t="s">
        <v>61</v>
      </c>
      <c r="CD512" s="13">
        <v>15</v>
      </c>
      <c r="CE512" s="13">
        <v>1</v>
      </c>
      <c r="CF512" s="13">
        <v>668</v>
      </c>
      <c r="CG512" s="13" t="s">
        <v>3256</v>
      </c>
    </row>
    <row r="513" spans="1:85">
      <c r="A513" s="13" t="s">
        <v>3401</v>
      </c>
      <c r="C513" s="13" t="s">
        <v>3330</v>
      </c>
      <c r="D513" s="14" t="s">
        <v>830</v>
      </c>
      <c r="E513" s="13" t="s">
        <v>2348</v>
      </c>
      <c r="F513" s="13" t="s">
        <v>2348</v>
      </c>
      <c r="G513" s="13" t="s">
        <v>672</v>
      </c>
      <c r="H513" s="13" t="s">
        <v>3858</v>
      </c>
      <c r="J513" s="14" t="s">
        <v>3849</v>
      </c>
      <c r="K513" s="13" t="s">
        <v>3850</v>
      </c>
      <c r="L513" s="13" t="s">
        <v>3861</v>
      </c>
      <c r="M513" s="13" t="s">
        <v>3862</v>
      </c>
      <c r="N513" s="13">
        <v>20</v>
      </c>
      <c r="O513" s="2">
        <f t="shared" si="49"/>
        <v>0.5714285714285714</v>
      </c>
      <c r="P513" s="13">
        <v>19</v>
      </c>
      <c r="Q513" s="17">
        <f t="shared" si="48"/>
        <v>0.48717948717948717</v>
      </c>
      <c r="R513" s="13">
        <v>35</v>
      </c>
      <c r="S513" s="13">
        <v>39</v>
      </c>
      <c r="Y513" s="13">
        <v>66</v>
      </c>
      <c r="AD513" s="13">
        <v>73</v>
      </c>
      <c r="AG513" s="13" t="s">
        <v>2579</v>
      </c>
      <c r="AP513" s="13">
        <v>0.81</v>
      </c>
      <c r="AR513" s="13">
        <v>0.8</v>
      </c>
      <c r="AS513" s="13">
        <v>0.81</v>
      </c>
      <c r="BG513" s="13">
        <v>10516</v>
      </c>
      <c r="BK513" s="13">
        <v>4627</v>
      </c>
      <c r="BL513" s="13">
        <v>20301</v>
      </c>
      <c r="BR513" s="13">
        <v>8719</v>
      </c>
      <c r="BV513" s="13">
        <v>3787</v>
      </c>
      <c r="BW513" s="13">
        <v>17438</v>
      </c>
      <c r="BY513" s="13" t="s">
        <v>3544</v>
      </c>
      <c r="BZ513" s="13" t="s">
        <v>3545</v>
      </c>
      <c r="CA513" s="13">
        <v>2025</v>
      </c>
      <c r="CB513" s="21">
        <v>45660</v>
      </c>
      <c r="CC513" s="13" t="s">
        <v>61</v>
      </c>
      <c r="CD513" s="13">
        <v>15</v>
      </c>
      <c r="CE513" s="13">
        <v>1</v>
      </c>
      <c r="CF513" s="13">
        <v>668</v>
      </c>
      <c r="CG513" s="13" t="s">
        <v>3256</v>
      </c>
    </row>
    <row r="514" spans="1:85">
      <c r="A514" s="13" t="s">
        <v>3401</v>
      </c>
      <c r="C514" s="13" t="s">
        <v>3330</v>
      </c>
      <c r="D514" s="14" t="s">
        <v>830</v>
      </c>
      <c r="E514" s="13" t="s">
        <v>2348</v>
      </c>
      <c r="F514" s="13" t="s">
        <v>2348</v>
      </c>
      <c r="G514" s="13" t="s">
        <v>672</v>
      </c>
      <c r="H514" s="13" t="s">
        <v>3859</v>
      </c>
      <c r="J514" s="14" t="s">
        <v>3849</v>
      </c>
      <c r="K514" s="13" t="s">
        <v>3850</v>
      </c>
      <c r="L514" s="13" t="s">
        <v>3861</v>
      </c>
      <c r="M514" s="13" t="s">
        <v>3862</v>
      </c>
      <c r="N514" s="13">
        <v>20</v>
      </c>
      <c r="O514" s="2">
        <f t="shared" si="49"/>
        <v>0.5714285714285714</v>
      </c>
      <c r="P514" s="13">
        <v>19</v>
      </c>
      <c r="Q514" s="17">
        <f t="shared" si="48"/>
        <v>0.48717948717948717</v>
      </c>
      <c r="R514" s="13">
        <v>35</v>
      </c>
      <c r="S514" s="13">
        <v>39</v>
      </c>
      <c r="Y514" s="13">
        <v>66</v>
      </c>
      <c r="AD514" s="13">
        <v>73</v>
      </c>
      <c r="AG514" s="13" t="s">
        <v>2579</v>
      </c>
      <c r="AP514" s="13">
        <v>0.81</v>
      </c>
      <c r="AR514" s="13">
        <v>0.8</v>
      </c>
      <c r="AS514" s="13">
        <v>0.81</v>
      </c>
      <c r="BG514" s="13">
        <v>9.2999999999999999E-2</v>
      </c>
      <c r="BK514" s="13">
        <v>2.9000000000000001E-2</v>
      </c>
      <c r="BL514" s="13">
        <v>0.11799999999999999</v>
      </c>
      <c r="BR514" s="13">
        <v>9.2999999999999999E-2</v>
      </c>
      <c r="BV514" s="13">
        <v>0.03</v>
      </c>
      <c r="BW514" s="13">
        <v>0.11600000000000001</v>
      </c>
      <c r="BY514" s="13" t="s">
        <v>3544</v>
      </c>
      <c r="BZ514" s="13" t="s">
        <v>3545</v>
      </c>
      <c r="CA514" s="13">
        <v>2025</v>
      </c>
      <c r="CB514" s="21">
        <v>45660</v>
      </c>
      <c r="CC514" s="13" t="s">
        <v>61</v>
      </c>
      <c r="CD514" s="13">
        <v>15</v>
      </c>
      <c r="CE514" s="13">
        <v>1</v>
      </c>
      <c r="CF514" s="13">
        <v>668</v>
      </c>
      <c r="CG514" s="13" t="s">
        <v>3256</v>
      </c>
    </row>
    <row r="515" spans="1:85">
      <c r="A515" s="13" t="s">
        <v>3401</v>
      </c>
      <c r="C515" s="13" t="s">
        <v>3330</v>
      </c>
      <c r="D515" s="14" t="s">
        <v>830</v>
      </c>
      <c r="E515" s="13" t="s">
        <v>2348</v>
      </c>
      <c r="F515" s="13" t="s">
        <v>2348</v>
      </c>
      <c r="G515" s="13" t="s">
        <v>672</v>
      </c>
      <c r="H515" s="13" t="s">
        <v>676</v>
      </c>
      <c r="J515" s="14" t="s">
        <v>3849</v>
      </c>
      <c r="K515" s="13" t="s">
        <v>3850</v>
      </c>
      <c r="L515" s="13" t="s">
        <v>3861</v>
      </c>
      <c r="M515" s="13" t="s">
        <v>3862</v>
      </c>
      <c r="N515" s="13">
        <v>20</v>
      </c>
      <c r="O515" s="2">
        <f t="shared" si="49"/>
        <v>0.5714285714285714</v>
      </c>
      <c r="P515" s="13">
        <v>19</v>
      </c>
      <c r="Q515" s="17">
        <f t="shared" si="48"/>
        <v>0.48717948717948717</v>
      </c>
      <c r="R515" s="13">
        <v>35</v>
      </c>
      <c r="S515" s="13">
        <v>39</v>
      </c>
      <c r="Y515" s="13">
        <v>66</v>
      </c>
      <c r="AD515" s="13">
        <v>73</v>
      </c>
      <c r="AG515" s="13" t="s">
        <v>2579</v>
      </c>
      <c r="AP515" s="13">
        <v>0.81</v>
      </c>
      <c r="AR515" s="13">
        <v>0.8</v>
      </c>
      <c r="AS515" s="13">
        <v>0.81</v>
      </c>
      <c r="BG515" s="13">
        <v>376</v>
      </c>
      <c r="BK515" s="13">
        <v>145</v>
      </c>
      <c r="BL515" s="13">
        <v>953</v>
      </c>
      <c r="BR515" s="13">
        <v>284</v>
      </c>
      <c r="BV515" s="13">
        <v>110</v>
      </c>
      <c r="BW515" s="13">
        <v>1672</v>
      </c>
      <c r="BY515" s="13" t="s">
        <v>3544</v>
      </c>
      <c r="BZ515" s="13" t="s">
        <v>3545</v>
      </c>
      <c r="CA515" s="13">
        <v>2025</v>
      </c>
      <c r="CB515" s="21">
        <v>45660</v>
      </c>
      <c r="CC515" s="13" t="s">
        <v>61</v>
      </c>
      <c r="CD515" s="13">
        <v>15</v>
      </c>
      <c r="CE515" s="13">
        <v>1</v>
      </c>
      <c r="CF515" s="13">
        <v>668</v>
      </c>
      <c r="CG515" s="13" t="s">
        <v>3256</v>
      </c>
    </row>
    <row r="516" spans="1:85">
      <c r="A516" s="13" t="s">
        <v>3401</v>
      </c>
      <c r="C516" s="13" t="s">
        <v>3330</v>
      </c>
      <c r="D516" s="14" t="s">
        <v>830</v>
      </c>
      <c r="E516" s="13" t="s">
        <v>2348</v>
      </c>
      <c r="F516" s="13" t="s">
        <v>2348</v>
      </c>
      <c r="G516" s="13" t="s">
        <v>672</v>
      </c>
      <c r="H516" s="13" t="s">
        <v>4141</v>
      </c>
      <c r="J516" s="14" t="s">
        <v>3849</v>
      </c>
      <c r="K516" s="13" t="s">
        <v>3850</v>
      </c>
      <c r="L516" s="13" t="s">
        <v>622</v>
      </c>
      <c r="M516" s="13" t="s">
        <v>4159</v>
      </c>
      <c r="N516" s="13">
        <v>20</v>
      </c>
      <c r="O516" s="2">
        <f t="shared" si="49"/>
        <v>0.5714285714285714</v>
      </c>
      <c r="P516" s="13">
        <v>19</v>
      </c>
      <c r="Q516" s="17">
        <f t="shared" si="48"/>
        <v>0.48717948717948717</v>
      </c>
      <c r="R516" s="13">
        <v>35</v>
      </c>
      <c r="S516" s="13">
        <v>39</v>
      </c>
      <c r="Y516" s="13">
        <v>66</v>
      </c>
      <c r="AD516" s="13">
        <v>73</v>
      </c>
      <c r="AG516" s="13" t="s">
        <v>2579</v>
      </c>
      <c r="AP516" s="13">
        <v>0.81</v>
      </c>
      <c r="AR516" s="13">
        <v>0.8</v>
      </c>
      <c r="AS516" s="13">
        <v>0.81</v>
      </c>
      <c r="BG516" s="13">
        <v>36</v>
      </c>
      <c r="BK516" s="13">
        <v>15</v>
      </c>
      <c r="BL516" s="13">
        <v>134</v>
      </c>
      <c r="BR516" s="13">
        <v>40</v>
      </c>
      <c r="BV516" s="13">
        <v>16</v>
      </c>
      <c r="BW516" s="13">
        <v>253</v>
      </c>
      <c r="BY516" s="13" t="s">
        <v>3544</v>
      </c>
      <c r="BZ516" s="13" t="s">
        <v>3545</v>
      </c>
      <c r="CA516" s="13">
        <v>2025</v>
      </c>
      <c r="CB516" s="21">
        <v>45660</v>
      </c>
      <c r="CC516" s="13" t="s">
        <v>61</v>
      </c>
      <c r="CD516" s="13">
        <v>15</v>
      </c>
      <c r="CE516" s="13">
        <v>1</v>
      </c>
      <c r="CF516" s="13">
        <v>668</v>
      </c>
      <c r="CG516" s="13" t="s">
        <v>3256</v>
      </c>
    </row>
    <row r="517" spans="1:85">
      <c r="A517" s="13" t="s">
        <v>3401</v>
      </c>
      <c r="C517" s="13" t="s">
        <v>3330</v>
      </c>
      <c r="D517" s="14" t="s">
        <v>830</v>
      </c>
      <c r="E517" s="13" t="s">
        <v>2348</v>
      </c>
      <c r="F517" s="13" t="s">
        <v>2348</v>
      </c>
      <c r="G517" s="13" t="s">
        <v>672</v>
      </c>
      <c r="H517" s="13" t="s">
        <v>904</v>
      </c>
      <c r="J517" s="14" t="s">
        <v>3849</v>
      </c>
      <c r="K517" s="13" t="s">
        <v>3850</v>
      </c>
      <c r="L517" s="13" t="s">
        <v>3860</v>
      </c>
      <c r="M517" s="13" t="s">
        <v>3862</v>
      </c>
      <c r="N517" s="13">
        <v>20</v>
      </c>
      <c r="O517" s="2">
        <f t="shared" si="49"/>
        <v>0.5714285714285714</v>
      </c>
      <c r="P517" s="13">
        <v>19</v>
      </c>
      <c r="Q517" s="17">
        <f t="shared" si="48"/>
        <v>0.48717948717948717</v>
      </c>
      <c r="R517" s="13">
        <v>35</v>
      </c>
      <c r="S517" s="13">
        <v>39</v>
      </c>
      <c r="Y517" s="13">
        <v>66</v>
      </c>
      <c r="AD517" s="13">
        <v>73</v>
      </c>
      <c r="AG517" s="13" t="s">
        <v>2579</v>
      </c>
      <c r="AP517" s="13">
        <v>0.81</v>
      </c>
      <c r="AR517" s="13">
        <v>0.8</v>
      </c>
      <c r="AS517" s="13">
        <v>0.81</v>
      </c>
      <c r="BG517" s="13">
        <v>6.4</v>
      </c>
      <c r="BK517" s="13">
        <v>2.8</v>
      </c>
      <c r="BL517" s="13">
        <v>18.2</v>
      </c>
      <c r="BR517" s="13">
        <v>5.8</v>
      </c>
      <c r="BV517" s="13">
        <v>2.9</v>
      </c>
      <c r="BW517" s="13">
        <v>24.6</v>
      </c>
      <c r="BY517" s="13" t="s">
        <v>3544</v>
      </c>
      <c r="BZ517" s="13" t="s">
        <v>3545</v>
      </c>
      <c r="CA517" s="13">
        <v>2025</v>
      </c>
      <c r="CB517" s="21">
        <v>45660</v>
      </c>
      <c r="CC517" s="13" t="s">
        <v>61</v>
      </c>
      <c r="CD517" s="13">
        <v>15</v>
      </c>
      <c r="CE517" s="13">
        <v>1</v>
      </c>
      <c r="CF517" s="13">
        <v>668</v>
      </c>
      <c r="CG517" s="13" t="s">
        <v>3256</v>
      </c>
    </row>
    <row r="518" spans="1:85">
      <c r="A518" s="13" t="s">
        <v>3402</v>
      </c>
      <c r="C518" s="13" t="s">
        <v>3331</v>
      </c>
      <c r="D518" s="14" t="s">
        <v>2038</v>
      </c>
      <c r="E518" s="13" t="s">
        <v>657</v>
      </c>
      <c r="F518" s="13" t="s">
        <v>3863</v>
      </c>
      <c r="G518" s="13" t="s">
        <v>672</v>
      </c>
      <c r="H518" s="13" t="s">
        <v>1054</v>
      </c>
      <c r="J518" s="14" t="s">
        <v>855</v>
      </c>
      <c r="K518" s="13" t="s">
        <v>3864</v>
      </c>
      <c r="L518" s="13" t="s">
        <v>3865</v>
      </c>
      <c r="M518" s="13" t="s">
        <v>3866</v>
      </c>
      <c r="N518" s="13">
        <v>36</v>
      </c>
      <c r="O518" s="2">
        <f t="shared" si="49"/>
        <v>0.5625</v>
      </c>
      <c r="P518" s="13">
        <f>0.56*25</f>
        <v>14.000000000000002</v>
      </c>
      <c r="Q518" s="17">
        <f t="shared" si="48"/>
        <v>0.56000000000000005</v>
      </c>
      <c r="R518" s="13">
        <v>64</v>
      </c>
      <c r="S518" s="13">
        <v>25</v>
      </c>
      <c r="AB518" s="13">
        <v>62.6</v>
      </c>
      <c r="AC518" s="13">
        <v>8.5</v>
      </c>
      <c r="AP518" s="13">
        <v>0.88</v>
      </c>
      <c r="AR518" s="13">
        <v>0.78</v>
      </c>
      <c r="AS518" s="13">
        <v>0.97</v>
      </c>
      <c r="BY518" s="13" t="s">
        <v>3546</v>
      </c>
      <c r="BZ518" s="13" t="s">
        <v>3547</v>
      </c>
      <c r="CA518" s="13">
        <v>2024</v>
      </c>
      <c r="CC518" s="13" t="s">
        <v>416</v>
      </c>
      <c r="CD518" s="13">
        <v>15</v>
      </c>
      <c r="CF518" s="13">
        <v>1418320</v>
      </c>
      <c r="CG518" s="13" t="s">
        <v>3257</v>
      </c>
    </row>
    <row r="519" spans="1:85">
      <c r="A519" s="13" t="s">
        <v>3402</v>
      </c>
      <c r="C519" s="13" t="s">
        <v>3331</v>
      </c>
      <c r="D519" s="14" t="s">
        <v>2038</v>
      </c>
      <c r="E519" s="13" t="s">
        <v>657</v>
      </c>
      <c r="F519" s="13" t="s">
        <v>3863</v>
      </c>
      <c r="G519" s="13" t="s">
        <v>672</v>
      </c>
      <c r="H519" s="13" t="s">
        <v>758</v>
      </c>
      <c r="J519" s="14" t="s">
        <v>855</v>
      </c>
      <c r="K519" s="13" t="s">
        <v>3864</v>
      </c>
      <c r="L519" s="13" t="s">
        <v>3865</v>
      </c>
      <c r="M519" s="13" t="s">
        <v>3866</v>
      </c>
      <c r="N519" s="13">
        <v>36</v>
      </c>
      <c r="O519" s="2">
        <f t="shared" si="49"/>
        <v>0.5625</v>
      </c>
      <c r="P519" s="13">
        <f>0.56*25</f>
        <v>14.000000000000002</v>
      </c>
      <c r="Q519" s="17">
        <f t="shared" si="48"/>
        <v>0.56000000000000005</v>
      </c>
      <c r="R519" s="13">
        <v>64</v>
      </c>
      <c r="S519" s="13">
        <v>25</v>
      </c>
      <c r="AB519" s="13">
        <v>62.6</v>
      </c>
      <c r="AC519" s="13">
        <v>8.5</v>
      </c>
      <c r="AP519" s="13">
        <v>0.81</v>
      </c>
      <c r="AR519" s="13">
        <v>0.7</v>
      </c>
      <c r="AS519" s="13">
        <v>0.94</v>
      </c>
      <c r="BY519" s="13" t="s">
        <v>3546</v>
      </c>
      <c r="BZ519" s="13" t="s">
        <v>3547</v>
      </c>
      <c r="CA519" s="13">
        <v>2024</v>
      </c>
      <c r="CC519" s="13" t="s">
        <v>416</v>
      </c>
      <c r="CD519" s="13">
        <v>15</v>
      </c>
      <c r="CF519" s="13">
        <v>1418320</v>
      </c>
      <c r="CG519" s="13" t="s">
        <v>3257</v>
      </c>
    </row>
    <row r="520" spans="1:85">
      <c r="A520" s="13" t="s">
        <v>3402</v>
      </c>
      <c r="C520" s="13" t="s">
        <v>3331</v>
      </c>
      <c r="D520" s="14" t="s">
        <v>2038</v>
      </c>
      <c r="E520" s="13" t="s">
        <v>657</v>
      </c>
      <c r="F520" s="13" t="s">
        <v>3863</v>
      </c>
      <c r="G520" s="13" t="s">
        <v>672</v>
      </c>
      <c r="H520" s="13" t="s">
        <v>3868</v>
      </c>
      <c r="J520" s="14" t="s">
        <v>855</v>
      </c>
      <c r="K520" s="13" t="s">
        <v>3864</v>
      </c>
      <c r="L520" s="13" t="s">
        <v>3865</v>
      </c>
      <c r="M520" s="13" t="s">
        <v>3866</v>
      </c>
      <c r="N520" s="13">
        <v>36</v>
      </c>
      <c r="O520" s="2">
        <f t="shared" si="49"/>
        <v>0.5625</v>
      </c>
      <c r="P520" s="13">
        <f>0.56*25</f>
        <v>14.000000000000002</v>
      </c>
      <c r="Q520" s="17">
        <f t="shared" si="48"/>
        <v>0.56000000000000005</v>
      </c>
      <c r="R520" s="13">
        <v>64</v>
      </c>
      <c r="S520" s="13">
        <v>25</v>
      </c>
      <c r="AB520" s="13">
        <v>62.6</v>
      </c>
      <c r="AC520" s="13">
        <v>8.5</v>
      </c>
      <c r="AP520" s="13">
        <v>0.79</v>
      </c>
      <c r="AR520" s="13">
        <v>0.66</v>
      </c>
      <c r="AS520" s="13">
        <v>0.91</v>
      </c>
      <c r="BY520" s="13" t="s">
        <v>3546</v>
      </c>
      <c r="BZ520" s="13" t="s">
        <v>3547</v>
      </c>
      <c r="CA520" s="13">
        <v>2024</v>
      </c>
      <c r="CC520" s="13" t="s">
        <v>416</v>
      </c>
      <c r="CD520" s="13">
        <v>15</v>
      </c>
      <c r="CF520" s="13">
        <v>1418320</v>
      </c>
      <c r="CG520" s="13" t="s">
        <v>3257</v>
      </c>
    </row>
    <row r="521" spans="1:85">
      <c r="A521" s="13" t="s">
        <v>3402</v>
      </c>
      <c r="C521" s="13" t="s">
        <v>3331</v>
      </c>
      <c r="D521" s="14" t="s">
        <v>2038</v>
      </c>
      <c r="E521" s="13" t="s">
        <v>657</v>
      </c>
      <c r="F521" s="13" t="s">
        <v>3863</v>
      </c>
      <c r="G521" s="13" t="s">
        <v>672</v>
      </c>
      <c r="H521" s="13" t="s">
        <v>3869</v>
      </c>
      <c r="J521" s="14" t="s">
        <v>855</v>
      </c>
      <c r="K521" s="13" t="s">
        <v>3864</v>
      </c>
      <c r="L521" s="13" t="s">
        <v>3865</v>
      </c>
      <c r="M521" s="13" t="s">
        <v>3866</v>
      </c>
      <c r="N521" s="13">
        <v>36</v>
      </c>
      <c r="O521" s="2">
        <f t="shared" si="49"/>
        <v>0.5625</v>
      </c>
      <c r="P521" s="13">
        <f>0.56*25</f>
        <v>14.000000000000002</v>
      </c>
      <c r="Q521" s="17">
        <f t="shared" si="48"/>
        <v>0.56000000000000005</v>
      </c>
      <c r="R521" s="13">
        <v>64</v>
      </c>
      <c r="S521" s="13">
        <v>25</v>
      </c>
      <c r="AB521" s="13">
        <v>62.6</v>
      </c>
      <c r="AC521" s="13">
        <v>8.5</v>
      </c>
      <c r="AP521" s="13">
        <v>0.74</v>
      </c>
      <c r="AR521" s="13">
        <v>0.6</v>
      </c>
      <c r="AS521" s="13">
        <v>0.88</v>
      </c>
      <c r="BY521" s="13" t="s">
        <v>3546</v>
      </c>
      <c r="BZ521" s="13" t="s">
        <v>3547</v>
      </c>
      <c r="CA521" s="13">
        <v>2024</v>
      </c>
      <c r="CC521" s="13" t="s">
        <v>416</v>
      </c>
      <c r="CD521" s="13">
        <v>15</v>
      </c>
      <c r="CF521" s="13">
        <v>1418320</v>
      </c>
      <c r="CG521" s="13" t="s">
        <v>3257</v>
      </c>
    </row>
    <row r="522" spans="1:85">
      <c r="A522" s="13" t="s">
        <v>3402</v>
      </c>
      <c r="C522" s="13" t="s">
        <v>3331</v>
      </c>
      <c r="D522" s="14" t="s">
        <v>2038</v>
      </c>
      <c r="E522" s="13" t="s">
        <v>657</v>
      </c>
      <c r="F522" s="13" t="s">
        <v>3863</v>
      </c>
      <c r="G522" s="13" t="s">
        <v>672</v>
      </c>
      <c r="H522" s="13" t="s">
        <v>1004</v>
      </c>
      <c r="J522" s="14" t="s">
        <v>855</v>
      </c>
      <c r="K522" s="13" t="s">
        <v>3864</v>
      </c>
      <c r="L522" s="13" t="s">
        <v>3865</v>
      </c>
      <c r="M522" s="13" t="s">
        <v>3866</v>
      </c>
      <c r="N522" s="13">
        <v>36</v>
      </c>
      <c r="O522" s="2">
        <f t="shared" si="49"/>
        <v>0.5625</v>
      </c>
      <c r="P522" s="13">
        <f>0.56*25</f>
        <v>14.000000000000002</v>
      </c>
      <c r="Q522" s="17">
        <f t="shared" si="48"/>
        <v>0.56000000000000005</v>
      </c>
      <c r="R522" s="13">
        <v>64</v>
      </c>
      <c r="S522" s="13">
        <v>25</v>
      </c>
      <c r="AB522" s="13">
        <v>62.6</v>
      </c>
      <c r="AC522" s="13">
        <v>8.5</v>
      </c>
      <c r="AP522" s="13">
        <v>0.73</v>
      </c>
      <c r="AR522" s="13">
        <v>0.57999999999999996</v>
      </c>
      <c r="AS522" s="13">
        <v>0.87</v>
      </c>
      <c r="BY522" s="13" t="s">
        <v>3546</v>
      </c>
      <c r="BZ522" s="13" t="s">
        <v>3547</v>
      </c>
      <c r="CA522" s="13">
        <v>2024</v>
      </c>
      <c r="CC522" s="13" t="s">
        <v>416</v>
      </c>
      <c r="CD522" s="13">
        <v>15</v>
      </c>
      <c r="CF522" s="13">
        <v>1418320</v>
      </c>
      <c r="CG522" s="13" t="s">
        <v>3257</v>
      </c>
    </row>
    <row r="523" spans="1:85">
      <c r="A523" s="13" t="s">
        <v>1877</v>
      </c>
      <c r="B523" s="13" t="s">
        <v>1877</v>
      </c>
      <c r="C523" s="14" t="s">
        <v>1438</v>
      </c>
      <c r="D523" s="14" t="s">
        <v>898</v>
      </c>
      <c r="E523" s="13" t="s">
        <v>630</v>
      </c>
      <c r="F523" s="13" t="s">
        <v>2714</v>
      </c>
      <c r="G523" s="13" t="s">
        <v>673</v>
      </c>
      <c r="H523" s="13" t="s">
        <v>2716</v>
      </c>
      <c r="J523" s="14" t="s">
        <v>703</v>
      </c>
      <c r="K523" s="14" t="s">
        <v>4080</v>
      </c>
      <c r="L523" s="13" t="s">
        <v>2715</v>
      </c>
      <c r="R523" s="13">
        <v>100</v>
      </c>
      <c r="S523" s="13">
        <v>34</v>
      </c>
      <c r="V523" s="13">
        <v>6</v>
      </c>
      <c r="W523" s="13">
        <v>67</v>
      </c>
      <c r="AB523" s="13">
        <v>70</v>
      </c>
      <c r="AG523" s="13" t="s">
        <v>639</v>
      </c>
      <c r="BG523" s="13">
        <v>7.77</v>
      </c>
      <c r="BI523" s="13">
        <v>2.0299999999999998</v>
      </c>
      <c r="BJ523" s="13">
        <v>14.03</v>
      </c>
      <c r="BR523" s="13">
        <v>18.45</v>
      </c>
      <c r="BT523" s="13">
        <v>11.33</v>
      </c>
      <c r="BU523" s="13">
        <v>18.45</v>
      </c>
      <c r="BX523" s="13" t="s">
        <v>691</v>
      </c>
      <c r="BY523" s="13" t="s">
        <v>1434</v>
      </c>
      <c r="BZ523" s="13" t="s">
        <v>1435</v>
      </c>
      <c r="CA523" s="13">
        <v>2024</v>
      </c>
      <c r="CB523" s="13" t="s">
        <v>53</v>
      </c>
      <c r="CC523" s="13" t="s">
        <v>13</v>
      </c>
      <c r="CD523" s="13">
        <v>271</v>
      </c>
      <c r="CE523" s="13">
        <v>7</v>
      </c>
      <c r="CF523" s="13" t="s">
        <v>1436</v>
      </c>
      <c r="CG523" s="13" t="s">
        <v>1437</v>
      </c>
    </row>
    <row r="524" spans="1:85">
      <c r="A524" s="13" t="s">
        <v>1877</v>
      </c>
      <c r="B524" s="13" t="s">
        <v>1877</v>
      </c>
      <c r="C524" s="14" t="s">
        <v>1438</v>
      </c>
      <c r="D524" s="14" t="s">
        <v>898</v>
      </c>
      <c r="E524" s="13" t="s">
        <v>630</v>
      </c>
      <c r="F524" s="13" t="s">
        <v>2714</v>
      </c>
      <c r="G524" s="13" t="s">
        <v>673</v>
      </c>
      <c r="H524" s="13" t="s">
        <v>2556</v>
      </c>
      <c r="J524" s="14" t="s">
        <v>703</v>
      </c>
      <c r="K524" s="14" t="s">
        <v>4080</v>
      </c>
      <c r="L524" s="13" t="s">
        <v>2715</v>
      </c>
      <c r="R524" s="13">
        <v>100</v>
      </c>
      <c r="S524" s="13">
        <v>34</v>
      </c>
      <c r="V524" s="13">
        <v>6</v>
      </c>
      <c r="W524" s="13">
        <v>67</v>
      </c>
      <c r="AB524" s="13">
        <v>70</v>
      </c>
      <c r="AG524" s="13" t="s">
        <v>639</v>
      </c>
      <c r="BG524" s="13">
        <v>1.36</v>
      </c>
      <c r="BI524" s="13">
        <v>0.62</v>
      </c>
      <c r="BJ524" s="13">
        <v>2.66</v>
      </c>
      <c r="BR524" s="13">
        <v>3.69</v>
      </c>
      <c r="BT524" s="13">
        <v>1.0974999999999999</v>
      </c>
      <c r="BU524" s="13">
        <v>3.69</v>
      </c>
      <c r="BX524" s="13">
        <v>1.2E-2</v>
      </c>
      <c r="BY524" s="13" t="s">
        <v>1434</v>
      </c>
      <c r="BZ524" s="13" t="s">
        <v>1435</v>
      </c>
      <c r="CA524" s="13">
        <v>2024</v>
      </c>
      <c r="CB524" s="13" t="s">
        <v>53</v>
      </c>
      <c r="CC524" s="13" t="s">
        <v>13</v>
      </c>
      <c r="CD524" s="13">
        <v>271</v>
      </c>
      <c r="CE524" s="13">
        <v>7</v>
      </c>
      <c r="CF524" s="13" t="s">
        <v>1436</v>
      </c>
      <c r="CG524" s="13" t="s">
        <v>1437</v>
      </c>
    </row>
    <row r="525" spans="1:85">
      <c r="A525" s="13" t="s">
        <v>1877</v>
      </c>
      <c r="B525" s="13" t="s">
        <v>1877</v>
      </c>
      <c r="C525" s="14" t="s">
        <v>1438</v>
      </c>
      <c r="D525" s="14" t="s">
        <v>898</v>
      </c>
      <c r="E525" s="13" t="s">
        <v>630</v>
      </c>
      <c r="F525" s="13" t="s">
        <v>2714</v>
      </c>
      <c r="G525" s="13" t="s">
        <v>673</v>
      </c>
      <c r="H525" s="13" t="s">
        <v>2717</v>
      </c>
      <c r="J525" s="14" t="s">
        <v>703</v>
      </c>
      <c r="K525" s="14" t="s">
        <v>4080</v>
      </c>
      <c r="L525" s="13" t="s">
        <v>2715</v>
      </c>
      <c r="R525" s="13">
        <v>100</v>
      </c>
      <c r="S525" s="13">
        <v>34</v>
      </c>
      <c r="V525" s="13">
        <v>6</v>
      </c>
      <c r="W525" s="13">
        <v>67</v>
      </c>
      <c r="AB525" s="13">
        <v>70</v>
      </c>
      <c r="AG525" s="13" t="s">
        <v>639</v>
      </c>
      <c r="BG525" s="13">
        <v>1.47</v>
      </c>
      <c r="BI525" s="13">
        <v>0.61</v>
      </c>
      <c r="BJ525" s="13">
        <v>3.45</v>
      </c>
      <c r="BR525" s="13">
        <v>3.88</v>
      </c>
      <c r="BT525" s="13">
        <v>3.29</v>
      </c>
      <c r="BU525" s="13">
        <v>3.88</v>
      </c>
      <c r="BX525" s="13" t="s">
        <v>691</v>
      </c>
      <c r="BY525" s="13" t="s">
        <v>1434</v>
      </c>
      <c r="BZ525" s="13" t="s">
        <v>1435</v>
      </c>
      <c r="CA525" s="13">
        <v>2024</v>
      </c>
      <c r="CB525" s="13" t="s">
        <v>53</v>
      </c>
      <c r="CC525" s="13" t="s">
        <v>13</v>
      </c>
      <c r="CD525" s="13">
        <v>271</v>
      </c>
      <c r="CE525" s="13">
        <v>7</v>
      </c>
      <c r="CF525" s="13" t="s">
        <v>1436</v>
      </c>
      <c r="CG525" s="13" t="s">
        <v>1437</v>
      </c>
    </row>
    <row r="526" spans="1:85">
      <c r="A526" s="13" t="s">
        <v>1877</v>
      </c>
      <c r="B526" s="13" t="s">
        <v>1877</v>
      </c>
      <c r="C526" s="14" t="s">
        <v>1438</v>
      </c>
      <c r="D526" s="14" t="s">
        <v>898</v>
      </c>
      <c r="E526" s="13" t="s">
        <v>630</v>
      </c>
      <c r="F526" s="13" t="s">
        <v>2714</v>
      </c>
      <c r="G526" s="13" t="s">
        <v>673</v>
      </c>
      <c r="H526" s="13" t="s">
        <v>2718</v>
      </c>
      <c r="J526" s="14" t="s">
        <v>703</v>
      </c>
      <c r="K526" s="14" t="s">
        <v>4080</v>
      </c>
      <c r="L526" s="13" t="s">
        <v>2715</v>
      </c>
      <c r="R526" s="13">
        <v>100</v>
      </c>
      <c r="S526" s="13">
        <v>34</v>
      </c>
      <c r="V526" s="13">
        <v>6</v>
      </c>
      <c r="W526" s="13">
        <v>67</v>
      </c>
      <c r="AB526" s="13">
        <v>70</v>
      </c>
      <c r="AG526" s="13" t="s">
        <v>639</v>
      </c>
      <c r="BG526" s="13">
        <v>0.88</v>
      </c>
      <c r="BI526" s="13">
        <v>0.54</v>
      </c>
      <c r="BJ526" s="13">
        <v>2.02</v>
      </c>
      <c r="BR526" s="13">
        <v>0.32</v>
      </c>
      <c r="BT526" s="13">
        <v>0.26</v>
      </c>
      <c r="BU526" s="13">
        <v>0.32</v>
      </c>
      <c r="BX526" s="13" t="s">
        <v>691</v>
      </c>
      <c r="BY526" s="13" t="s">
        <v>1434</v>
      </c>
      <c r="BZ526" s="13" t="s">
        <v>1435</v>
      </c>
      <c r="CA526" s="13">
        <v>2024</v>
      </c>
      <c r="CB526" s="13" t="s">
        <v>53</v>
      </c>
      <c r="CC526" s="13" t="s">
        <v>13</v>
      </c>
      <c r="CD526" s="13">
        <v>271</v>
      </c>
      <c r="CE526" s="13">
        <v>7</v>
      </c>
      <c r="CF526" s="13" t="s">
        <v>1436</v>
      </c>
      <c r="CG526" s="13" t="s">
        <v>1437</v>
      </c>
    </row>
    <row r="527" spans="1:85">
      <c r="A527" s="13" t="s">
        <v>1877</v>
      </c>
      <c r="B527" s="13" t="s">
        <v>1877</v>
      </c>
      <c r="C527" s="14" t="s">
        <v>1438</v>
      </c>
      <c r="D527" s="14" t="s">
        <v>898</v>
      </c>
      <c r="E527" s="13" t="s">
        <v>630</v>
      </c>
      <c r="F527" s="13" t="s">
        <v>2714</v>
      </c>
      <c r="G527" s="13" t="s">
        <v>673</v>
      </c>
      <c r="H527" s="13" t="s">
        <v>2719</v>
      </c>
      <c r="J527" s="14" t="s">
        <v>703</v>
      </c>
      <c r="K527" s="14" t="s">
        <v>4080</v>
      </c>
      <c r="L527" s="13" t="s">
        <v>2715</v>
      </c>
      <c r="R527" s="13">
        <v>100</v>
      </c>
      <c r="S527" s="13">
        <v>34</v>
      </c>
      <c r="V527" s="13">
        <v>6</v>
      </c>
      <c r="W527" s="13">
        <v>67</v>
      </c>
      <c r="AB527" s="13">
        <v>70</v>
      </c>
      <c r="AG527" s="13" t="s">
        <v>639</v>
      </c>
      <c r="BG527" s="13">
        <v>1.69</v>
      </c>
      <c r="BI527" s="13">
        <v>0.53</v>
      </c>
      <c r="BJ527" s="13">
        <v>4.74</v>
      </c>
      <c r="BR527" s="13">
        <v>0.69499999999999995</v>
      </c>
      <c r="BT527" s="13">
        <v>0.32</v>
      </c>
      <c r="BU527" s="13">
        <v>0.69499999999999995</v>
      </c>
      <c r="BX527" s="13">
        <v>1.0999999999999999E-2</v>
      </c>
      <c r="BY527" s="13" t="s">
        <v>1434</v>
      </c>
      <c r="BZ527" s="13" t="s">
        <v>1435</v>
      </c>
      <c r="CA527" s="13">
        <v>2024</v>
      </c>
      <c r="CB527" s="13" t="s">
        <v>53</v>
      </c>
      <c r="CC527" s="13" t="s">
        <v>13</v>
      </c>
      <c r="CD527" s="13">
        <v>271</v>
      </c>
      <c r="CE527" s="13">
        <v>7</v>
      </c>
      <c r="CF527" s="13" t="s">
        <v>1436</v>
      </c>
      <c r="CG527" s="13" t="s">
        <v>1437</v>
      </c>
    </row>
    <row r="528" spans="1:85">
      <c r="A528" s="13" t="s">
        <v>1877</v>
      </c>
      <c r="B528" s="13" t="s">
        <v>1877</v>
      </c>
      <c r="C528" s="14" t="s">
        <v>1438</v>
      </c>
      <c r="D528" s="14" t="s">
        <v>898</v>
      </c>
      <c r="E528" s="13" t="s">
        <v>630</v>
      </c>
      <c r="F528" s="13" t="s">
        <v>2714</v>
      </c>
      <c r="G528" s="13" t="s">
        <v>673</v>
      </c>
      <c r="H528" s="13" t="s">
        <v>2724</v>
      </c>
      <c r="J528" s="14" t="s">
        <v>703</v>
      </c>
      <c r="K528" s="14" t="s">
        <v>4080</v>
      </c>
      <c r="L528" s="13" t="s">
        <v>2715</v>
      </c>
      <c r="R528" s="13">
        <v>100</v>
      </c>
      <c r="S528" s="13">
        <v>34</v>
      </c>
      <c r="V528" s="13">
        <v>6</v>
      </c>
      <c r="W528" s="13">
        <v>67</v>
      </c>
      <c r="AB528" s="13">
        <v>70</v>
      </c>
      <c r="AG528" s="13" t="s">
        <v>639</v>
      </c>
      <c r="BG528" s="13">
        <v>0.36</v>
      </c>
      <c r="BI528" s="13">
        <v>0.36</v>
      </c>
      <c r="BJ528" s="13">
        <v>1.56</v>
      </c>
      <c r="BR528" s="13">
        <v>5.27</v>
      </c>
      <c r="BT528" s="13">
        <v>1.48</v>
      </c>
      <c r="BU528" s="13">
        <v>5.27</v>
      </c>
      <c r="BX528" s="13" t="s">
        <v>691</v>
      </c>
      <c r="BY528" s="13" t="s">
        <v>1434</v>
      </c>
      <c r="BZ528" s="13" t="s">
        <v>1435</v>
      </c>
      <c r="CA528" s="13">
        <v>2024</v>
      </c>
      <c r="CB528" s="13" t="s">
        <v>53</v>
      </c>
      <c r="CC528" s="13" t="s">
        <v>13</v>
      </c>
      <c r="CD528" s="13">
        <v>271</v>
      </c>
      <c r="CE528" s="13">
        <v>7</v>
      </c>
      <c r="CF528" s="13" t="s">
        <v>1436</v>
      </c>
      <c r="CG528" s="13" t="s">
        <v>1437</v>
      </c>
    </row>
    <row r="529" spans="1:85">
      <c r="A529" s="13" t="s">
        <v>1877</v>
      </c>
      <c r="B529" s="13" t="s">
        <v>1877</v>
      </c>
      <c r="C529" s="14" t="s">
        <v>1438</v>
      </c>
      <c r="D529" s="14" t="s">
        <v>898</v>
      </c>
      <c r="E529" s="13" t="s">
        <v>630</v>
      </c>
      <c r="F529" s="13" t="s">
        <v>2714</v>
      </c>
      <c r="G529" s="13" t="s">
        <v>673</v>
      </c>
      <c r="H529" s="13" t="s">
        <v>2720</v>
      </c>
      <c r="J529" s="14" t="s">
        <v>703</v>
      </c>
      <c r="K529" s="14" t="s">
        <v>4080</v>
      </c>
      <c r="L529" s="13" t="s">
        <v>2715</v>
      </c>
      <c r="R529" s="13">
        <v>100</v>
      </c>
      <c r="S529" s="13">
        <v>34</v>
      </c>
      <c r="V529" s="13">
        <v>6</v>
      </c>
      <c r="W529" s="13">
        <v>67</v>
      </c>
      <c r="AB529" s="13">
        <v>70</v>
      </c>
      <c r="AG529" s="13" t="s">
        <v>639</v>
      </c>
      <c r="BG529" s="13">
        <v>0.48</v>
      </c>
      <c r="BI529" s="13">
        <v>0.48</v>
      </c>
      <c r="BJ529" s="13">
        <v>1.57</v>
      </c>
      <c r="BR529" s="13">
        <v>9.24</v>
      </c>
      <c r="BT529" s="13">
        <v>6.915</v>
      </c>
      <c r="BU529" s="13">
        <v>9.24</v>
      </c>
      <c r="BX529" s="13" t="s">
        <v>691</v>
      </c>
      <c r="BY529" s="13" t="s">
        <v>1434</v>
      </c>
      <c r="BZ529" s="13" t="s">
        <v>1435</v>
      </c>
      <c r="CA529" s="13">
        <v>2024</v>
      </c>
      <c r="CB529" s="13" t="s">
        <v>53</v>
      </c>
      <c r="CC529" s="13" t="s">
        <v>13</v>
      </c>
      <c r="CD529" s="13">
        <v>271</v>
      </c>
      <c r="CE529" s="13">
        <v>7</v>
      </c>
      <c r="CF529" s="13" t="s">
        <v>1436</v>
      </c>
      <c r="CG529" s="13" t="s">
        <v>1437</v>
      </c>
    </row>
    <row r="530" spans="1:85">
      <c r="A530" s="13" t="s">
        <v>1877</v>
      </c>
      <c r="B530" s="13" t="s">
        <v>1877</v>
      </c>
      <c r="C530" s="14" t="s">
        <v>1438</v>
      </c>
      <c r="D530" s="14" t="s">
        <v>898</v>
      </c>
      <c r="E530" s="13" t="s">
        <v>630</v>
      </c>
      <c r="F530" s="13" t="s">
        <v>2714</v>
      </c>
      <c r="G530" s="13" t="s">
        <v>673</v>
      </c>
      <c r="H530" s="13" t="s">
        <v>2721</v>
      </c>
      <c r="J530" s="14" t="s">
        <v>703</v>
      </c>
      <c r="K530" s="14" t="s">
        <v>4080</v>
      </c>
      <c r="L530" s="13" t="s">
        <v>2715</v>
      </c>
      <c r="R530" s="13">
        <v>100</v>
      </c>
      <c r="S530" s="13">
        <v>34</v>
      </c>
      <c r="V530" s="13">
        <v>6</v>
      </c>
      <c r="W530" s="13">
        <v>67</v>
      </c>
      <c r="AB530" s="13">
        <v>70</v>
      </c>
      <c r="AG530" s="13" t="s">
        <v>639</v>
      </c>
      <c r="BG530" s="13">
        <v>2.5099999999999998</v>
      </c>
      <c r="BI530" s="13">
        <v>2.5099999999999998</v>
      </c>
      <c r="BJ530" s="13">
        <v>3.3</v>
      </c>
      <c r="BR530" s="13">
        <v>5.57</v>
      </c>
      <c r="BT530" s="13">
        <v>1.63</v>
      </c>
      <c r="BU530" s="13">
        <v>5.57</v>
      </c>
      <c r="BX530" s="13">
        <v>0.77410000000000001</v>
      </c>
      <c r="BY530" s="13" t="s">
        <v>1434</v>
      </c>
      <c r="BZ530" s="13" t="s">
        <v>1435</v>
      </c>
      <c r="CA530" s="13">
        <v>2024</v>
      </c>
      <c r="CB530" s="13" t="s">
        <v>53</v>
      </c>
      <c r="CC530" s="13" t="s">
        <v>13</v>
      </c>
      <c r="CD530" s="13">
        <v>271</v>
      </c>
      <c r="CE530" s="13">
        <v>7</v>
      </c>
      <c r="CF530" s="13" t="s">
        <v>1436</v>
      </c>
      <c r="CG530" s="13" t="s">
        <v>1437</v>
      </c>
    </row>
    <row r="531" spans="1:85">
      <c r="A531" s="13" t="s">
        <v>1877</v>
      </c>
      <c r="B531" s="13" t="s">
        <v>1877</v>
      </c>
      <c r="C531" s="14" t="s">
        <v>1438</v>
      </c>
      <c r="D531" s="14" t="s">
        <v>898</v>
      </c>
      <c r="E531" s="13" t="s">
        <v>630</v>
      </c>
      <c r="F531" s="13" t="s">
        <v>2714</v>
      </c>
      <c r="G531" s="13" t="s">
        <v>673</v>
      </c>
      <c r="H531" s="13" t="s">
        <v>2382</v>
      </c>
      <c r="J531" s="14" t="s">
        <v>703</v>
      </c>
      <c r="K531" s="14" t="s">
        <v>4080</v>
      </c>
      <c r="L531" s="13" t="s">
        <v>2715</v>
      </c>
      <c r="R531" s="13">
        <v>100</v>
      </c>
      <c r="S531" s="13">
        <v>34</v>
      </c>
      <c r="V531" s="13">
        <v>6</v>
      </c>
      <c r="W531" s="13">
        <v>67</v>
      </c>
      <c r="AB531" s="13">
        <v>70</v>
      </c>
      <c r="AG531" s="13" t="s">
        <v>639</v>
      </c>
      <c r="BG531" s="13">
        <v>0.4</v>
      </c>
      <c r="BI531" s="13">
        <v>0.4</v>
      </c>
      <c r="BJ531" s="13">
        <v>3.44</v>
      </c>
      <c r="BR531" s="13">
        <v>5.53</v>
      </c>
      <c r="BT531" s="13">
        <v>3.6425000000000001</v>
      </c>
      <c r="BU531" s="13">
        <v>5.53</v>
      </c>
      <c r="BX531" s="13" t="s">
        <v>691</v>
      </c>
      <c r="BY531" s="13" t="s">
        <v>1434</v>
      </c>
      <c r="BZ531" s="13" t="s">
        <v>1435</v>
      </c>
      <c r="CA531" s="13">
        <v>2024</v>
      </c>
      <c r="CB531" s="13" t="s">
        <v>53</v>
      </c>
      <c r="CC531" s="13" t="s">
        <v>13</v>
      </c>
      <c r="CD531" s="13">
        <v>271</v>
      </c>
      <c r="CE531" s="13">
        <v>7</v>
      </c>
      <c r="CF531" s="13" t="s">
        <v>1436</v>
      </c>
      <c r="CG531" s="13" t="s">
        <v>1437</v>
      </c>
    </row>
    <row r="532" spans="1:85">
      <c r="A532" s="13" t="s">
        <v>1877</v>
      </c>
      <c r="B532" s="13" t="s">
        <v>1877</v>
      </c>
      <c r="C532" s="14" t="s">
        <v>1438</v>
      </c>
      <c r="D532" s="14" t="s">
        <v>898</v>
      </c>
      <c r="E532" s="13" t="s">
        <v>630</v>
      </c>
      <c r="F532" s="13" t="s">
        <v>2714</v>
      </c>
      <c r="G532" s="13" t="s">
        <v>673</v>
      </c>
      <c r="H532" s="13" t="s">
        <v>2722</v>
      </c>
      <c r="J532" s="14" t="s">
        <v>703</v>
      </c>
      <c r="K532" s="14" t="s">
        <v>4080</v>
      </c>
      <c r="L532" s="13" t="s">
        <v>2715</v>
      </c>
      <c r="R532" s="13">
        <v>100</v>
      </c>
      <c r="S532" s="13">
        <v>34</v>
      </c>
      <c r="V532" s="13">
        <v>6</v>
      </c>
      <c r="W532" s="13">
        <v>67</v>
      </c>
      <c r="AB532" s="13">
        <v>70</v>
      </c>
      <c r="AG532" s="13" t="s">
        <v>639</v>
      </c>
      <c r="BG532" s="13">
        <v>10.85</v>
      </c>
      <c r="BI532" s="13">
        <v>5.87</v>
      </c>
      <c r="BJ532" s="13">
        <v>17.79</v>
      </c>
      <c r="BR532" s="13">
        <v>1.38</v>
      </c>
      <c r="BT532" s="13">
        <v>1.38</v>
      </c>
      <c r="BU532" s="13">
        <v>1.38</v>
      </c>
      <c r="BX532" s="13" t="s">
        <v>691</v>
      </c>
      <c r="BY532" s="13" t="s">
        <v>1434</v>
      </c>
      <c r="BZ532" s="13" t="s">
        <v>1435</v>
      </c>
      <c r="CA532" s="13">
        <v>2024</v>
      </c>
      <c r="CB532" s="13" t="s">
        <v>53</v>
      </c>
      <c r="CC532" s="13" t="s">
        <v>13</v>
      </c>
      <c r="CD532" s="13">
        <v>271</v>
      </c>
      <c r="CE532" s="13">
        <v>7</v>
      </c>
      <c r="CF532" s="13" t="s">
        <v>1436</v>
      </c>
      <c r="CG532" s="13" t="s">
        <v>1437</v>
      </c>
    </row>
    <row r="533" spans="1:85">
      <c r="A533" s="13" t="s">
        <v>1877</v>
      </c>
      <c r="B533" s="13" t="s">
        <v>1877</v>
      </c>
      <c r="C533" s="14" t="s">
        <v>1438</v>
      </c>
      <c r="D533" s="14" t="s">
        <v>898</v>
      </c>
      <c r="E533" s="13" t="s">
        <v>630</v>
      </c>
      <c r="F533" s="13" t="s">
        <v>2714</v>
      </c>
      <c r="G533" s="13" t="s">
        <v>673</v>
      </c>
      <c r="H533" s="13" t="s">
        <v>767</v>
      </c>
      <c r="J533" s="14" t="s">
        <v>703</v>
      </c>
      <c r="K533" s="14" t="s">
        <v>4080</v>
      </c>
      <c r="L533" s="13" t="s">
        <v>2715</v>
      </c>
      <c r="R533" s="13">
        <v>100</v>
      </c>
      <c r="S533" s="13">
        <v>34</v>
      </c>
      <c r="V533" s="13">
        <v>6</v>
      </c>
      <c r="W533" s="13">
        <v>67</v>
      </c>
      <c r="AB533" s="13">
        <v>70</v>
      </c>
      <c r="AG533" s="13" t="s">
        <v>639</v>
      </c>
      <c r="BG533" s="13">
        <v>340.8</v>
      </c>
      <c r="BI533" s="13">
        <v>208.26</v>
      </c>
      <c r="BJ533" s="13">
        <v>444.78</v>
      </c>
      <c r="BR533" s="13">
        <v>679.73</v>
      </c>
      <c r="BT533" s="13">
        <v>571.52499999999998</v>
      </c>
      <c r="BU533" s="13">
        <v>679.73</v>
      </c>
      <c r="BX533" s="13" t="s">
        <v>691</v>
      </c>
      <c r="BY533" s="13" t="s">
        <v>1434</v>
      </c>
      <c r="BZ533" s="13" t="s">
        <v>1435</v>
      </c>
      <c r="CA533" s="13">
        <v>2024</v>
      </c>
      <c r="CB533" s="13" t="s">
        <v>53</v>
      </c>
      <c r="CC533" s="13" t="s">
        <v>13</v>
      </c>
      <c r="CD533" s="13">
        <v>271</v>
      </c>
      <c r="CE533" s="13">
        <v>7</v>
      </c>
      <c r="CF533" s="13" t="s">
        <v>1436</v>
      </c>
      <c r="CG533" s="13" t="s">
        <v>1437</v>
      </c>
    </row>
    <row r="534" spans="1:85">
      <c r="A534" s="13" t="s">
        <v>1877</v>
      </c>
      <c r="B534" s="13" t="s">
        <v>1877</v>
      </c>
      <c r="C534" s="14" t="s">
        <v>1438</v>
      </c>
      <c r="D534" s="14" t="s">
        <v>898</v>
      </c>
      <c r="E534" s="13" t="s">
        <v>630</v>
      </c>
      <c r="F534" s="13" t="s">
        <v>2714</v>
      </c>
      <c r="G534" s="13" t="s">
        <v>673</v>
      </c>
      <c r="H534" s="13" t="s">
        <v>2725</v>
      </c>
      <c r="J534" s="14" t="s">
        <v>703</v>
      </c>
      <c r="K534" s="14" t="s">
        <v>4080</v>
      </c>
      <c r="L534" s="13" t="s">
        <v>2715</v>
      </c>
      <c r="R534" s="13">
        <v>100</v>
      </c>
      <c r="S534" s="13">
        <v>34</v>
      </c>
      <c r="V534" s="13">
        <v>6</v>
      </c>
      <c r="W534" s="13">
        <v>67</v>
      </c>
      <c r="AB534" s="13">
        <v>70</v>
      </c>
      <c r="AG534" s="13" t="s">
        <v>639</v>
      </c>
      <c r="BG534" s="13">
        <v>3.57</v>
      </c>
      <c r="BI534" s="13">
        <v>1.61</v>
      </c>
      <c r="BJ534" s="13">
        <v>5.9</v>
      </c>
      <c r="BR534" s="13">
        <v>15.41</v>
      </c>
      <c r="BT534" s="13">
        <v>9.67</v>
      </c>
      <c r="BU534" s="13">
        <v>15.41</v>
      </c>
      <c r="BX534" s="13" t="s">
        <v>691</v>
      </c>
      <c r="BY534" s="13" t="s">
        <v>1434</v>
      </c>
      <c r="BZ534" s="13" t="s">
        <v>1435</v>
      </c>
      <c r="CA534" s="13">
        <v>2024</v>
      </c>
      <c r="CB534" s="13" t="s">
        <v>53</v>
      </c>
      <c r="CC534" s="13" t="s">
        <v>13</v>
      </c>
      <c r="CD534" s="13">
        <v>271</v>
      </c>
      <c r="CE534" s="13">
        <v>7</v>
      </c>
      <c r="CF534" s="13" t="s">
        <v>1436</v>
      </c>
      <c r="CG534" s="13" t="s">
        <v>1437</v>
      </c>
    </row>
    <row r="535" spans="1:85">
      <c r="A535" s="13" t="s">
        <v>1877</v>
      </c>
      <c r="B535" s="13" t="s">
        <v>1877</v>
      </c>
      <c r="C535" s="14" t="s">
        <v>1438</v>
      </c>
      <c r="D535" s="14" t="s">
        <v>898</v>
      </c>
      <c r="E535" s="13" t="s">
        <v>630</v>
      </c>
      <c r="F535" s="13" t="s">
        <v>2714</v>
      </c>
      <c r="G535" s="13" t="s">
        <v>673</v>
      </c>
      <c r="H535" s="13" t="s">
        <v>2726</v>
      </c>
      <c r="J535" s="14" t="s">
        <v>703</v>
      </c>
      <c r="K535" s="14" t="s">
        <v>4080</v>
      </c>
      <c r="L535" s="13" t="s">
        <v>2715</v>
      </c>
      <c r="R535" s="13">
        <v>100</v>
      </c>
      <c r="S535" s="13">
        <v>34</v>
      </c>
      <c r="V535" s="13">
        <v>6</v>
      </c>
      <c r="W535" s="13">
        <v>67</v>
      </c>
      <c r="AB535" s="13">
        <v>70</v>
      </c>
      <c r="AG535" s="13" t="s">
        <v>639</v>
      </c>
      <c r="BG535" s="13">
        <v>9.5399999999999991</v>
      </c>
      <c r="BI535" s="13">
        <v>3.29</v>
      </c>
      <c r="BJ535" s="13">
        <v>14.68</v>
      </c>
      <c r="BR535" s="13">
        <v>17.04</v>
      </c>
      <c r="BT535" s="13">
        <v>8.6850000000000005</v>
      </c>
      <c r="BU535" s="13">
        <v>17.04</v>
      </c>
      <c r="BX535" s="13">
        <v>3.0000000000000001E-3</v>
      </c>
      <c r="BY535" s="13" t="s">
        <v>1434</v>
      </c>
      <c r="BZ535" s="13" t="s">
        <v>1435</v>
      </c>
      <c r="CA535" s="13">
        <v>2024</v>
      </c>
      <c r="CB535" s="13" t="s">
        <v>53</v>
      </c>
      <c r="CC535" s="13" t="s">
        <v>13</v>
      </c>
      <c r="CD535" s="13">
        <v>271</v>
      </c>
      <c r="CE535" s="13">
        <v>7</v>
      </c>
      <c r="CF535" s="13" t="s">
        <v>1436</v>
      </c>
      <c r="CG535" s="13" t="s">
        <v>1437</v>
      </c>
    </row>
    <row r="536" spans="1:85">
      <c r="A536" s="13" t="s">
        <v>1877</v>
      </c>
      <c r="B536" s="13" t="s">
        <v>1877</v>
      </c>
      <c r="C536" s="14" t="s">
        <v>1438</v>
      </c>
      <c r="D536" s="14" t="s">
        <v>898</v>
      </c>
      <c r="E536" s="13" t="s">
        <v>630</v>
      </c>
      <c r="F536" s="13" t="s">
        <v>2714</v>
      </c>
      <c r="G536" s="13" t="s">
        <v>673</v>
      </c>
      <c r="H536" s="13" t="s">
        <v>2723</v>
      </c>
      <c r="J536" s="14" t="s">
        <v>703</v>
      </c>
      <c r="K536" s="14" t="s">
        <v>4080</v>
      </c>
      <c r="L536" s="13" t="s">
        <v>2715</v>
      </c>
      <c r="R536" s="13">
        <v>100</v>
      </c>
      <c r="S536" s="13">
        <v>34</v>
      </c>
      <c r="V536" s="13">
        <v>6</v>
      </c>
      <c r="W536" s="13">
        <v>67</v>
      </c>
      <c r="AB536" s="13">
        <v>70</v>
      </c>
      <c r="AG536" s="13" t="s">
        <v>639</v>
      </c>
      <c r="BG536" s="13">
        <v>43.76</v>
      </c>
      <c r="BI536" s="13">
        <v>4.12</v>
      </c>
      <c r="BJ536" s="13">
        <v>97.95</v>
      </c>
      <c r="BR536" s="13">
        <v>469.46899999999999</v>
      </c>
      <c r="BT536" s="13">
        <v>206.245</v>
      </c>
      <c r="BU536" s="13">
        <v>469.46899999999999</v>
      </c>
      <c r="BX536" s="13" t="s">
        <v>691</v>
      </c>
      <c r="BY536" s="13" t="s">
        <v>1434</v>
      </c>
      <c r="BZ536" s="13" t="s">
        <v>1435</v>
      </c>
      <c r="CA536" s="13">
        <v>2024</v>
      </c>
      <c r="CB536" s="13" t="s">
        <v>53</v>
      </c>
      <c r="CC536" s="13" t="s">
        <v>13</v>
      </c>
      <c r="CD536" s="13">
        <v>271</v>
      </c>
      <c r="CE536" s="13">
        <v>7</v>
      </c>
      <c r="CF536" s="13" t="s">
        <v>1436</v>
      </c>
      <c r="CG536" s="13" t="s">
        <v>1437</v>
      </c>
    </row>
    <row r="537" spans="1:85">
      <c r="A537" s="13" t="s">
        <v>1877</v>
      </c>
      <c r="B537" s="13" t="s">
        <v>1877</v>
      </c>
      <c r="C537" s="14" t="s">
        <v>1438</v>
      </c>
      <c r="D537" s="14" t="s">
        <v>898</v>
      </c>
      <c r="E537" s="13" t="s">
        <v>630</v>
      </c>
      <c r="F537" s="13" t="s">
        <v>2714</v>
      </c>
      <c r="G537" s="13" t="s">
        <v>673</v>
      </c>
      <c r="H537" s="13" t="s">
        <v>2728</v>
      </c>
      <c r="J537" s="14" t="s">
        <v>703</v>
      </c>
      <c r="K537" s="14" t="s">
        <v>4080</v>
      </c>
      <c r="L537" s="13" t="s">
        <v>1966</v>
      </c>
      <c r="M537" s="13" t="s">
        <v>2727</v>
      </c>
      <c r="R537" s="13">
        <v>100</v>
      </c>
      <c r="S537" s="13">
        <v>34</v>
      </c>
      <c r="V537" s="13">
        <v>6</v>
      </c>
      <c r="W537" s="13">
        <v>67</v>
      </c>
      <c r="AB537" s="13">
        <v>70</v>
      </c>
      <c r="AG537" s="13" t="s">
        <v>639</v>
      </c>
      <c r="BG537" s="13">
        <v>951.36</v>
      </c>
      <c r="BI537" s="13">
        <v>660.9</v>
      </c>
      <c r="BJ537" s="13">
        <v>1286.7</v>
      </c>
      <c r="BR537" s="13">
        <v>595.9</v>
      </c>
      <c r="BT537" s="13">
        <v>415.4</v>
      </c>
      <c r="BU537" s="13">
        <v>736.1</v>
      </c>
      <c r="BX537" s="13" t="s">
        <v>691</v>
      </c>
      <c r="BY537" s="13" t="s">
        <v>1434</v>
      </c>
      <c r="BZ537" s="13" t="s">
        <v>1435</v>
      </c>
      <c r="CA537" s="13">
        <v>2024</v>
      </c>
      <c r="CB537" s="13" t="s">
        <v>53</v>
      </c>
      <c r="CC537" s="13" t="s">
        <v>13</v>
      </c>
      <c r="CD537" s="13">
        <v>271</v>
      </c>
      <c r="CE537" s="13">
        <v>7</v>
      </c>
      <c r="CF537" s="13" t="s">
        <v>1436</v>
      </c>
      <c r="CG537" s="13" t="s">
        <v>1437</v>
      </c>
    </row>
    <row r="538" spans="1:85">
      <c r="A538" s="13" t="s">
        <v>1877</v>
      </c>
      <c r="B538" s="13" t="s">
        <v>1877</v>
      </c>
      <c r="C538" s="14" t="s">
        <v>1438</v>
      </c>
      <c r="D538" s="14" t="s">
        <v>898</v>
      </c>
      <c r="E538" s="13" t="s">
        <v>630</v>
      </c>
      <c r="F538" s="13" t="s">
        <v>2714</v>
      </c>
      <c r="G538" s="13" t="s">
        <v>673</v>
      </c>
      <c r="H538" s="13" t="s">
        <v>2729</v>
      </c>
      <c r="J538" s="14" t="s">
        <v>703</v>
      </c>
      <c r="K538" s="14" t="s">
        <v>4080</v>
      </c>
      <c r="L538" s="13" t="s">
        <v>1966</v>
      </c>
      <c r="M538" s="13" t="s">
        <v>2727</v>
      </c>
      <c r="R538" s="13">
        <v>100</v>
      </c>
      <c r="S538" s="13">
        <v>34</v>
      </c>
      <c r="V538" s="13">
        <v>6</v>
      </c>
      <c r="W538" s="13">
        <v>67</v>
      </c>
      <c r="AB538" s="13">
        <v>70</v>
      </c>
      <c r="AG538" s="13" t="s">
        <v>639</v>
      </c>
      <c r="BG538" s="13">
        <v>110.8</v>
      </c>
      <c r="BI538" s="13">
        <v>85.6</v>
      </c>
      <c r="BJ538" s="13">
        <v>839.8</v>
      </c>
      <c r="BR538" s="13">
        <v>263.2</v>
      </c>
      <c r="BT538" s="13">
        <v>220.3</v>
      </c>
      <c r="BU538" s="13">
        <v>598.20000000000005</v>
      </c>
      <c r="BX538" s="13">
        <v>1.9E-2</v>
      </c>
      <c r="BY538" s="13" t="s">
        <v>1434</v>
      </c>
      <c r="BZ538" s="13" t="s">
        <v>1435</v>
      </c>
      <c r="CA538" s="13">
        <v>2024</v>
      </c>
      <c r="CB538" s="13" t="s">
        <v>53</v>
      </c>
      <c r="CC538" s="13" t="s">
        <v>13</v>
      </c>
      <c r="CD538" s="13">
        <v>271</v>
      </c>
      <c r="CE538" s="13">
        <v>7</v>
      </c>
      <c r="CF538" s="13" t="s">
        <v>1436</v>
      </c>
      <c r="CG538" s="13" t="s">
        <v>1437</v>
      </c>
    </row>
    <row r="539" spans="1:85">
      <c r="A539" s="13" t="s">
        <v>1877</v>
      </c>
      <c r="B539" s="13" t="s">
        <v>1877</v>
      </c>
      <c r="C539" s="14" t="s">
        <v>1438</v>
      </c>
      <c r="D539" s="14" t="s">
        <v>898</v>
      </c>
      <c r="E539" s="13" t="s">
        <v>630</v>
      </c>
      <c r="F539" s="13" t="s">
        <v>2714</v>
      </c>
      <c r="G539" s="13" t="s">
        <v>673</v>
      </c>
      <c r="H539" s="13" t="s">
        <v>2730</v>
      </c>
      <c r="J539" s="14" t="s">
        <v>703</v>
      </c>
      <c r="K539" s="14" t="s">
        <v>4080</v>
      </c>
      <c r="L539" s="13" t="s">
        <v>1966</v>
      </c>
      <c r="M539" s="13" t="s">
        <v>2727</v>
      </c>
      <c r="R539" s="13">
        <v>100</v>
      </c>
      <c r="S539" s="13">
        <v>34</v>
      </c>
      <c r="V539" s="13">
        <v>6</v>
      </c>
      <c r="W539" s="13">
        <v>67</v>
      </c>
      <c r="AB539" s="13">
        <v>70</v>
      </c>
      <c r="AG539" s="13" t="s">
        <v>639</v>
      </c>
      <c r="BG539" s="13">
        <v>20.8</v>
      </c>
      <c r="BI539" s="13">
        <v>14.6</v>
      </c>
      <c r="BJ539" s="13">
        <v>26.7</v>
      </c>
      <c r="BR539" s="13">
        <v>14.7</v>
      </c>
      <c r="BT539" s="13">
        <v>9.4</v>
      </c>
      <c r="BU539" s="13">
        <v>18.7</v>
      </c>
      <c r="BX539" s="13" t="s">
        <v>691</v>
      </c>
      <c r="BY539" s="13" t="s">
        <v>1434</v>
      </c>
      <c r="BZ539" s="13" t="s">
        <v>1435</v>
      </c>
      <c r="CA539" s="13">
        <v>2024</v>
      </c>
      <c r="CB539" s="13" t="s">
        <v>53</v>
      </c>
      <c r="CC539" s="13" t="s">
        <v>13</v>
      </c>
      <c r="CD539" s="13">
        <v>271</v>
      </c>
      <c r="CE539" s="13">
        <v>7</v>
      </c>
      <c r="CF539" s="13" t="s">
        <v>1436</v>
      </c>
      <c r="CG539" s="13" t="s">
        <v>1437</v>
      </c>
    </row>
    <row r="540" spans="1:85">
      <c r="A540" s="13" t="s">
        <v>1877</v>
      </c>
      <c r="B540" s="13" t="s">
        <v>1877</v>
      </c>
      <c r="C540" s="14" t="s">
        <v>1438</v>
      </c>
      <c r="D540" s="14" t="s">
        <v>898</v>
      </c>
      <c r="E540" s="13" t="s">
        <v>630</v>
      </c>
      <c r="F540" s="13" t="s">
        <v>2714</v>
      </c>
      <c r="G540" s="13" t="s">
        <v>673</v>
      </c>
      <c r="H540" s="13" t="s">
        <v>2731</v>
      </c>
      <c r="J540" s="14" t="s">
        <v>703</v>
      </c>
      <c r="K540" s="14" t="s">
        <v>4080</v>
      </c>
      <c r="L540" s="13" t="s">
        <v>1966</v>
      </c>
      <c r="M540" s="13" t="s">
        <v>2727</v>
      </c>
      <c r="R540" s="13">
        <v>100</v>
      </c>
      <c r="S540" s="13">
        <v>34</v>
      </c>
      <c r="V540" s="13">
        <v>6</v>
      </c>
      <c r="W540" s="13">
        <v>67</v>
      </c>
      <c r="AB540" s="13">
        <v>70</v>
      </c>
      <c r="AG540" s="13" t="s">
        <v>639</v>
      </c>
      <c r="BG540" s="13">
        <v>711.2</v>
      </c>
      <c r="BI540" s="13">
        <v>492.8</v>
      </c>
      <c r="BJ540" s="13">
        <v>880.7</v>
      </c>
      <c r="BR540" s="13">
        <v>330</v>
      </c>
      <c r="BT540" s="13">
        <v>175.1</v>
      </c>
      <c r="BU540" s="13">
        <v>417.5</v>
      </c>
      <c r="BX540" s="13" t="s">
        <v>691</v>
      </c>
      <c r="BY540" s="13" t="s">
        <v>1434</v>
      </c>
      <c r="BZ540" s="13" t="s">
        <v>1435</v>
      </c>
      <c r="CA540" s="13">
        <v>2024</v>
      </c>
      <c r="CB540" s="13" t="s">
        <v>53</v>
      </c>
      <c r="CC540" s="13" t="s">
        <v>13</v>
      </c>
      <c r="CD540" s="13">
        <v>271</v>
      </c>
      <c r="CE540" s="13">
        <v>7</v>
      </c>
      <c r="CF540" s="13" t="s">
        <v>1436</v>
      </c>
      <c r="CG540" s="13" t="s">
        <v>1437</v>
      </c>
    </row>
    <row r="541" spans="1:85">
      <c r="A541" s="13" t="s">
        <v>1877</v>
      </c>
      <c r="B541" s="13" t="s">
        <v>1877</v>
      </c>
      <c r="C541" s="14" t="s">
        <v>1438</v>
      </c>
      <c r="D541" s="14" t="s">
        <v>898</v>
      </c>
      <c r="E541" s="13" t="s">
        <v>630</v>
      </c>
      <c r="F541" s="13" t="s">
        <v>2714</v>
      </c>
      <c r="G541" s="13" t="s">
        <v>673</v>
      </c>
      <c r="H541" s="13" t="s">
        <v>2732</v>
      </c>
      <c r="J541" s="14" t="s">
        <v>703</v>
      </c>
      <c r="K541" s="14" t="s">
        <v>4080</v>
      </c>
      <c r="L541" s="13" t="s">
        <v>1966</v>
      </c>
      <c r="M541" s="13" t="s">
        <v>2727</v>
      </c>
      <c r="R541" s="13">
        <v>100</v>
      </c>
      <c r="S541" s="13">
        <v>34</v>
      </c>
      <c r="V541" s="13">
        <v>6</v>
      </c>
      <c r="W541" s="13">
        <v>67</v>
      </c>
      <c r="AB541" s="13">
        <v>70</v>
      </c>
      <c r="AG541" s="13" t="s">
        <v>639</v>
      </c>
      <c r="BG541" s="13">
        <v>71.849999999999994</v>
      </c>
      <c r="BI541" s="13">
        <v>71.849999999999994</v>
      </c>
      <c r="BJ541" s="13">
        <v>336.673</v>
      </c>
      <c r="BR541" s="13">
        <v>191.5</v>
      </c>
      <c r="BT541" s="13">
        <v>141.71</v>
      </c>
      <c r="BU541" s="13">
        <v>227.71</v>
      </c>
      <c r="BX541" s="13">
        <v>2.7E-2</v>
      </c>
      <c r="BY541" s="13" t="s">
        <v>1434</v>
      </c>
      <c r="BZ541" s="13" t="s">
        <v>1435</v>
      </c>
      <c r="CA541" s="13">
        <v>2024</v>
      </c>
      <c r="CB541" s="13" t="s">
        <v>53</v>
      </c>
      <c r="CC541" s="13" t="s">
        <v>13</v>
      </c>
      <c r="CD541" s="13">
        <v>271</v>
      </c>
      <c r="CE541" s="13">
        <v>7</v>
      </c>
      <c r="CF541" s="13" t="s">
        <v>1436</v>
      </c>
      <c r="CG541" s="13" t="s">
        <v>1437</v>
      </c>
    </row>
    <row r="542" spans="1:85">
      <c r="A542" s="13" t="s">
        <v>1877</v>
      </c>
      <c r="B542" s="13" t="s">
        <v>1877</v>
      </c>
      <c r="C542" s="14" t="s">
        <v>1438</v>
      </c>
      <c r="D542" s="14" t="s">
        <v>898</v>
      </c>
      <c r="E542" s="13" t="s">
        <v>630</v>
      </c>
      <c r="F542" s="13" t="s">
        <v>2714</v>
      </c>
      <c r="G542" s="13" t="s">
        <v>673</v>
      </c>
      <c r="H542" s="13" t="s">
        <v>2733</v>
      </c>
      <c r="J542" s="14" t="s">
        <v>703</v>
      </c>
      <c r="K542" s="14" t="s">
        <v>4080</v>
      </c>
      <c r="L542" s="13" t="s">
        <v>1966</v>
      </c>
      <c r="M542" s="13" t="s">
        <v>2727</v>
      </c>
      <c r="R542" s="13">
        <v>100</v>
      </c>
      <c r="S542" s="13">
        <v>34</v>
      </c>
      <c r="V542" s="13">
        <v>6</v>
      </c>
      <c r="W542" s="13">
        <v>67</v>
      </c>
      <c r="AB542" s="13">
        <v>70</v>
      </c>
      <c r="AG542" s="13" t="s">
        <v>639</v>
      </c>
      <c r="BG542" s="13">
        <v>4.37</v>
      </c>
      <c r="BI542" s="13">
        <v>4.2699999999999996</v>
      </c>
      <c r="BJ542" s="13">
        <v>6.55</v>
      </c>
      <c r="BR542" s="13">
        <v>16.690000000000001</v>
      </c>
      <c r="BT542" s="13">
        <v>12.5</v>
      </c>
      <c r="BU542" s="13">
        <v>21.45</v>
      </c>
      <c r="BX542" s="13" t="s">
        <v>691</v>
      </c>
      <c r="BY542" s="13" t="s">
        <v>1434</v>
      </c>
      <c r="BZ542" s="13" t="s">
        <v>1435</v>
      </c>
      <c r="CA542" s="13">
        <v>2024</v>
      </c>
      <c r="CB542" s="13" t="s">
        <v>53</v>
      </c>
      <c r="CC542" s="13" t="s">
        <v>13</v>
      </c>
      <c r="CD542" s="13">
        <v>271</v>
      </c>
      <c r="CE542" s="13">
        <v>7</v>
      </c>
      <c r="CF542" s="13" t="s">
        <v>1436</v>
      </c>
      <c r="CG542" s="13" t="s">
        <v>1437</v>
      </c>
    </row>
    <row r="543" spans="1:85">
      <c r="A543" s="13" t="s">
        <v>1877</v>
      </c>
      <c r="B543" s="13" t="s">
        <v>1877</v>
      </c>
      <c r="C543" s="14" t="s">
        <v>1438</v>
      </c>
      <c r="D543" s="14" t="s">
        <v>898</v>
      </c>
      <c r="E543" s="13" t="s">
        <v>630</v>
      </c>
      <c r="F543" s="13" t="s">
        <v>2714</v>
      </c>
      <c r="G543" s="13" t="s">
        <v>673</v>
      </c>
      <c r="H543" s="13" t="s">
        <v>2734</v>
      </c>
      <c r="J543" s="14" t="s">
        <v>703</v>
      </c>
      <c r="K543" s="14" t="s">
        <v>4080</v>
      </c>
      <c r="L543" s="13" t="s">
        <v>1966</v>
      </c>
      <c r="M543" s="13" t="s">
        <v>2727</v>
      </c>
      <c r="R543" s="13">
        <v>100</v>
      </c>
      <c r="S543" s="13">
        <v>34</v>
      </c>
      <c r="V543" s="13">
        <v>6</v>
      </c>
      <c r="W543" s="13">
        <v>67</v>
      </c>
      <c r="AB543" s="13">
        <v>70</v>
      </c>
      <c r="AG543" s="13" t="s">
        <v>639</v>
      </c>
      <c r="BG543" s="13">
        <v>6.6</v>
      </c>
      <c r="BI543" s="13">
        <v>3.3</v>
      </c>
      <c r="BJ543" s="13">
        <v>17.25</v>
      </c>
      <c r="BR543" s="13">
        <v>5.51</v>
      </c>
      <c r="BT543" s="13">
        <v>3.18</v>
      </c>
      <c r="BU543" s="13">
        <v>6.75</v>
      </c>
      <c r="BX543" s="13">
        <v>1.4E-2</v>
      </c>
      <c r="BY543" s="13" t="s">
        <v>1434</v>
      </c>
      <c r="BZ543" s="13" t="s">
        <v>1435</v>
      </c>
      <c r="CA543" s="13">
        <v>2024</v>
      </c>
      <c r="CB543" s="13" t="s">
        <v>53</v>
      </c>
      <c r="CC543" s="13" t="s">
        <v>13</v>
      </c>
      <c r="CD543" s="13">
        <v>271</v>
      </c>
      <c r="CE543" s="13">
        <v>7</v>
      </c>
      <c r="CF543" s="13" t="s">
        <v>1436</v>
      </c>
      <c r="CG543" s="13" t="s">
        <v>1437</v>
      </c>
    </row>
    <row r="544" spans="1:85">
      <c r="A544" s="13" t="s">
        <v>1877</v>
      </c>
      <c r="B544" s="13" t="s">
        <v>1877</v>
      </c>
      <c r="C544" s="14" t="s">
        <v>1438</v>
      </c>
      <c r="D544" s="14" t="s">
        <v>898</v>
      </c>
      <c r="E544" s="13" t="s">
        <v>630</v>
      </c>
      <c r="F544" s="13" t="s">
        <v>2714</v>
      </c>
      <c r="G544" s="13" t="s">
        <v>673</v>
      </c>
      <c r="H544" s="13" t="s">
        <v>2735</v>
      </c>
      <c r="J544" s="14" t="s">
        <v>703</v>
      </c>
      <c r="K544" s="14" t="s">
        <v>4080</v>
      </c>
      <c r="L544" s="13" t="s">
        <v>1966</v>
      </c>
      <c r="M544" s="13" t="s">
        <v>2727</v>
      </c>
      <c r="R544" s="13">
        <v>100</v>
      </c>
      <c r="S544" s="13">
        <v>34</v>
      </c>
      <c r="V544" s="13">
        <v>6</v>
      </c>
      <c r="W544" s="13">
        <v>67</v>
      </c>
      <c r="AB544" s="13">
        <v>70</v>
      </c>
      <c r="AG544" s="13" t="s">
        <v>639</v>
      </c>
      <c r="BG544" s="13">
        <v>2</v>
      </c>
      <c r="BI544" s="13">
        <v>1.67</v>
      </c>
      <c r="BJ544" s="13">
        <v>3.34</v>
      </c>
      <c r="BR544" s="13">
        <v>12.3</v>
      </c>
      <c r="BT544" s="13">
        <v>8.42</v>
      </c>
      <c r="BU544" s="13">
        <v>18.18</v>
      </c>
      <c r="BX544" s="13" t="s">
        <v>691</v>
      </c>
      <c r="BY544" s="13" t="s">
        <v>1434</v>
      </c>
      <c r="BZ544" s="13" t="s">
        <v>1435</v>
      </c>
      <c r="CA544" s="13">
        <v>2024</v>
      </c>
      <c r="CB544" s="13" t="s">
        <v>53</v>
      </c>
      <c r="CC544" s="13" t="s">
        <v>13</v>
      </c>
      <c r="CD544" s="13">
        <v>271</v>
      </c>
      <c r="CE544" s="13">
        <v>7</v>
      </c>
      <c r="CF544" s="13" t="s">
        <v>1436</v>
      </c>
      <c r="CG544" s="13" t="s">
        <v>1437</v>
      </c>
    </row>
    <row r="545" spans="1:85">
      <c r="A545" s="13" t="s">
        <v>1877</v>
      </c>
      <c r="B545" s="13" t="s">
        <v>1877</v>
      </c>
      <c r="C545" s="14" t="s">
        <v>1438</v>
      </c>
      <c r="D545" s="14" t="s">
        <v>898</v>
      </c>
      <c r="E545" s="13" t="s">
        <v>630</v>
      </c>
      <c r="F545" s="13" t="s">
        <v>2714</v>
      </c>
      <c r="G545" s="13" t="s">
        <v>673</v>
      </c>
      <c r="H545" s="13" t="s">
        <v>2736</v>
      </c>
      <c r="J545" s="14" t="s">
        <v>703</v>
      </c>
      <c r="K545" s="14" t="s">
        <v>4080</v>
      </c>
      <c r="L545" s="13" t="s">
        <v>1966</v>
      </c>
      <c r="M545" s="13" t="s">
        <v>2727</v>
      </c>
      <c r="R545" s="13">
        <v>100</v>
      </c>
      <c r="S545" s="13">
        <v>34</v>
      </c>
      <c r="V545" s="13">
        <v>6</v>
      </c>
      <c r="W545" s="13">
        <v>67</v>
      </c>
      <c r="AB545" s="13">
        <v>70</v>
      </c>
      <c r="AG545" s="13" t="s">
        <v>639</v>
      </c>
      <c r="BG545" s="13">
        <v>1.65</v>
      </c>
      <c r="BI545" s="13">
        <v>1.65</v>
      </c>
      <c r="BJ545" s="13">
        <v>3.3</v>
      </c>
      <c r="BR545" s="13">
        <v>15.78</v>
      </c>
      <c r="BT545" s="13">
        <v>10.37</v>
      </c>
      <c r="BU545" s="13">
        <v>21.12</v>
      </c>
      <c r="BX545" s="13" t="s">
        <v>691</v>
      </c>
      <c r="BY545" s="13" t="s">
        <v>1434</v>
      </c>
      <c r="BZ545" s="13" t="s">
        <v>1435</v>
      </c>
      <c r="CA545" s="13">
        <v>2024</v>
      </c>
      <c r="CB545" s="13" t="s">
        <v>53</v>
      </c>
      <c r="CC545" s="13" t="s">
        <v>13</v>
      </c>
      <c r="CD545" s="13">
        <v>271</v>
      </c>
      <c r="CE545" s="13">
        <v>7</v>
      </c>
      <c r="CF545" s="13" t="s">
        <v>1436</v>
      </c>
      <c r="CG545" s="13" t="s">
        <v>1437</v>
      </c>
    </row>
    <row r="546" spans="1:85">
      <c r="A546" s="13" t="s">
        <v>1877</v>
      </c>
      <c r="B546" s="13" t="s">
        <v>1877</v>
      </c>
      <c r="C546" s="14" t="s">
        <v>1438</v>
      </c>
      <c r="D546" s="14" t="s">
        <v>898</v>
      </c>
      <c r="E546" s="13" t="s">
        <v>630</v>
      </c>
      <c r="F546" s="13" t="s">
        <v>2714</v>
      </c>
      <c r="G546" s="13" t="s">
        <v>673</v>
      </c>
      <c r="H546" s="13" t="s">
        <v>2737</v>
      </c>
      <c r="J546" s="14" t="s">
        <v>703</v>
      </c>
      <c r="K546" s="14" t="s">
        <v>4080</v>
      </c>
      <c r="L546" s="13" t="s">
        <v>1966</v>
      </c>
      <c r="M546" s="13" t="s">
        <v>2727</v>
      </c>
      <c r="R546" s="13">
        <v>100</v>
      </c>
      <c r="S546" s="13">
        <v>34</v>
      </c>
      <c r="V546" s="13">
        <v>6</v>
      </c>
      <c r="W546" s="13">
        <v>67</v>
      </c>
      <c r="AB546" s="13">
        <v>70</v>
      </c>
      <c r="AG546" s="13" t="s">
        <v>639</v>
      </c>
      <c r="BG546" s="13">
        <v>1.88</v>
      </c>
      <c r="BI546" s="13">
        <v>1.71</v>
      </c>
      <c r="BJ546" s="13">
        <v>1.88</v>
      </c>
      <c r="BR546" s="13">
        <v>8.92</v>
      </c>
      <c r="BT546" s="13">
        <v>5.88</v>
      </c>
      <c r="BU546" s="13">
        <v>12.94</v>
      </c>
      <c r="BX546" s="13" t="s">
        <v>691</v>
      </c>
      <c r="BY546" s="13" t="s">
        <v>1434</v>
      </c>
      <c r="BZ546" s="13" t="s">
        <v>1435</v>
      </c>
      <c r="CA546" s="13">
        <v>2024</v>
      </c>
      <c r="CB546" s="13" t="s">
        <v>53</v>
      </c>
      <c r="CC546" s="13" t="s">
        <v>13</v>
      </c>
      <c r="CD546" s="13">
        <v>271</v>
      </c>
      <c r="CE546" s="13">
        <v>7</v>
      </c>
      <c r="CF546" s="13" t="s">
        <v>1436</v>
      </c>
      <c r="CG546" s="13" t="s">
        <v>1437</v>
      </c>
    </row>
    <row r="547" spans="1:85">
      <c r="A547" s="13" t="s">
        <v>1877</v>
      </c>
      <c r="B547" s="13" t="s">
        <v>1877</v>
      </c>
      <c r="C547" s="14" t="s">
        <v>1438</v>
      </c>
      <c r="D547" s="14" t="s">
        <v>898</v>
      </c>
      <c r="E547" s="13" t="s">
        <v>630</v>
      </c>
      <c r="F547" s="13" t="s">
        <v>2714</v>
      </c>
      <c r="G547" s="13" t="s">
        <v>673</v>
      </c>
      <c r="H547" s="13" t="s">
        <v>2738</v>
      </c>
      <c r="J547" s="14" t="s">
        <v>703</v>
      </c>
      <c r="K547" s="14" t="s">
        <v>4080</v>
      </c>
      <c r="L547" s="13" t="s">
        <v>1966</v>
      </c>
      <c r="M547" s="13" t="s">
        <v>2727</v>
      </c>
      <c r="R547" s="13">
        <v>100</v>
      </c>
      <c r="S547" s="13">
        <v>34</v>
      </c>
      <c r="V547" s="13">
        <v>6</v>
      </c>
      <c r="W547" s="13">
        <v>67</v>
      </c>
      <c r="AB547" s="13">
        <v>70</v>
      </c>
      <c r="AG547" s="13" t="s">
        <v>639</v>
      </c>
      <c r="BG547" s="13">
        <v>0.34</v>
      </c>
      <c r="BI547" s="13">
        <v>0.17</v>
      </c>
      <c r="BJ547" s="13">
        <v>0.59</v>
      </c>
      <c r="BR547" s="13">
        <v>0.64</v>
      </c>
      <c r="BT547" s="13">
        <v>0.34</v>
      </c>
      <c r="BU547" s="13">
        <v>0.85</v>
      </c>
      <c r="BX547" s="13" t="s">
        <v>691</v>
      </c>
      <c r="BY547" s="13" t="s">
        <v>1434</v>
      </c>
      <c r="BZ547" s="13" t="s">
        <v>1435</v>
      </c>
      <c r="CA547" s="13">
        <v>2024</v>
      </c>
      <c r="CB547" s="13" t="s">
        <v>53</v>
      </c>
      <c r="CC547" s="13" t="s">
        <v>13</v>
      </c>
      <c r="CD547" s="13">
        <v>271</v>
      </c>
      <c r="CE547" s="13">
        <v>7</v>
      </c>
      <c r="CF547" s="13" t="s">
        <v>1436</v>
      </c>
      <c r="CG547" s="13" t="s">
        <v>1437</v>
      </c>
    </row>
    <row r="548" spans="1:85">
      <c r="A548" s="13" t="s">
        <v>1877</v>
      </c>
      <c r="B548" s="13" t="s">
        <v>1877</v>
      </c>
      <c r="C548" s="14" t="s">
        <v>1438</v>
      </c>
      <c r="D548" s="14" t="s">
        <v>898</v>
      </c>
      <c r="E548" s="13" t="s">
        <v>630</v>
      </c>
      <c r="F548" s="13" t="s">
        <v>2714</v>
      </c>
      <c r="G548" s="13" t="s">
        <v>673</v>
      </c>
      <c r="H548" s="13" t="s">
        <v>2739</v>
      </c>
      <c r="J548" s="14" t="s">
        <v>703</v>
      </c>
      <c r="K548" s="14" t="s">
        <v>4080</v>
      </c>
      <c r="L548" s="13" t="s">
        <v>1966</v>
      </c>
      <c r="M548" s="13" t="s">
        <v>2727</v>
      </c>
      <c r="R548" s="13">
        <v>100</v>
      </c>
      <c r="S548" s="13">
        <v>34</v>
      </c>
      <c r="V548" s="13">
        <v>6</v>
      </c>
      <c r="W548" s="13">
        <v>67</v>
      </c>
      <c r="AB548" s="13">
        <v>70</v>
      </c>
      <c r="AG548" s="13" t="s">
        <v>639</v>
      </c>
      <c r="BG548" s="13">
        <v>0.43</v>
      </c>
      <c r="BI548" s="13">
        <v>0.43</v>
      </c>
      <c r="BJ548" s="13">
        <v>0.43</v>
      </c>
      <c r="BR548" s="13">
        <v>1.9</v>
      </c>
      <c r="BT548" s="13">
        <v>1.36</v>
      </c>
      <c r="BU548" s="13">
        <v>2.79</v>
      </c>
      <c r="BX548" s="13" t="s">
        <v>691</v>
      </c>
      <c r="BY548" s="13" t="s">
        <v>1434</v>
      </c>
      <c r="BZ548" s="13" t="s">
        <v>1435</v>
      </c>
      <c r="CA548" s="13">
        <v>2024</v>
      </c>
      <c r="CB548" s="13" t="s">
        <v>53</v>
      </c>
      <c r="CC548" s="13" t="s">
        <v>13</v>
      </c>
      <c r="CD548" s="13">
        <v>271</v>
      </c>
      <c r="CE548" s="13">
        <v>7</v>
      </c>
      <c r="CF548" s="13" t="s">
        <v>1436</v>
      </c>
      <c r="CG548" s="13" t="s">
        <v>1437</v>
      </c>
    </row>
    <row r="549" spans="1:85">
      <c r="A549" s="13" t="s">
        <v>1877</v>
      </c>
      <c r="B549" s="13" t="s">
        <v>1877</v>
      </c>
      <c r="C549" s="14" t="s">
        <v>1438</v>
      </c>
      <c r="D549" s="14" t="s">
        <v>898</v>
      </c>
      <c r="E549" s="13" t="s">
        <v>630</v>
      </c>
      <c r="F549" s="13" t="s">
        <v>2714</v>
      </c>
      <c r="G549" s="13" t="s">
        <v>673</v>
      </c>
      <c r="H549" s="13" t="s">
        <v>2740</v>
      </c>
      <c r="J549" s="14" t="s">
        <v>703</v>
      </c>
      <c r="K549" s="14" t="s">
        <v>4080</v>
      </c>
      <c r="L549" s="13" t="s">
        <v>1966</v>
      </c>
      <c r="M549" s="13" t="s">
        <v>2727</v>
      </c>
      <c r="R549" s="13">
        <v>100</v>
      </c>
      <c r="S549" s="13">
        <v>34</v>
      </c>
      <c r="V549" s="13">
        <v>6</v>
      </c>
      <c r="W549" s="13">
        <v>67</v>
      </c>
      <c r="AB549" s="13">
        <v>70</v>
      </c>
      <c r="AG549" s="13" t="s">
        <v>639</v>
      </c>
      <c r="BG549" s="13">
        <v>0.3</v>
      </c>
      <c r="BI549" s="13">
        <v>0.15</v>
      </c>
      <c r="BJ549" s="13">
        <v>0.45</v>
      </c>
      <c r="BR549" s="13">
        <v>1.03</v>
      </c>
      <c r="BT549" s="13">
        <v>0.45</v>
      </c>
      <c r="BU549" s="13">
        <v>3.04</v>
      </c>
      <c r="BX549" s="13" t="s">
        <v>691</v>
      </c>
      <c r="BY549" s="13" t="s">
        <v>1434</v>
      </c>
      <c r="BZ549" s="13" t="s">
        <v>1435</v>
      </c>
      <c r="CA549" s="13">
        <v>2024</v>
      </c>
      <c r="CB549" s="13" t="s">
        <v>53</v>
      </c>
      <c r="CC549" s="13" t="s">
        <v>13</v>
      </c>
      <c r="CD549" s="13">
        <v>271</v>
      </c>
      <c r="CE549" s="13">
        <v>7</v>
      </c>
      <c r="CF549" s="13" t="s">
        <v>1436</v>
      </c>
      <c r="CG549" s="13" t="s">
        <v>1437</v>
      </c>
    </row>
    <row r="550" spans="1:85">
      <c r="A550" s="13" t="s">
        <v>1877</v>
      </c>
      <c r="B550" s="13" t="s">
        <v>1877</v>
      </c>
      <c r="C550" s="14" t="s">
        <v>1438</v>
      </c>
      <c r="D550" s="14" t="s">
        <v>898</v>
      </c>
      <c r="E550" s="13" t="s">
        <v>630</v>
      </c>
      <c r="F550" s="13" t="s">
        <v>2714</v>
      </c>
      <c r="G550" s="13" t="s">
        <v>673</v>
      </c>
      <c r="H550" s="13" t="s">
        <v>2741</v>
      </c>
      <c r="J550" s="14" t="s">
        <v>703</v>
      </c>
      <c r="K550" s="14" t="s">
        <v>4080</v>
      </c>
      <c r="L550" s="13" t="s">
        <v>1966</v>
      </c>
      <c r="M550" s="13" t="s">
        <v>2727</v>
      </c>
      <c r="R550" s="13">
        <v>100</v>
      </c>
      <c r="S550" s="13">
        <v>34</v>
      </c>
      <c r="V550" s="13">
        <v>6</v>
      </c>
      <c r="W550" s="13">
        <v>67</v>
      </c>
      <c r="AB550" s="13">
        <v>70</v>
      </c>
      <c r="AG550" s="13" t="s">
        <v>639</v>
      </c>
      <c r="BG550" s="13">
        <v>0.33</v>
      </c>
      <c r="BI550" s="13">
        <v>0.28000000000000003</v>
      </c>
      <c r="BJ550" s="13">
        <v>0.82</v>
      </c>
      <c r="BR550" s="13">
        <v>0.24</v>
      </c>
      <c r="BT550" s="13">
        <v>0.05</v>
      </c>
      <c r="BU550" s="13">
        <v>0.55000000000000004</v>
      </c>
      <c r="BX550" s="13" t="s">
        <v>691</v>
      </c>
      <c r="BY550" s="13" t="s">
        <v>1434</v>
      </c>
      <c r="BZ550" s="13" t="s">
        <v>1435</v>
      </c>
      <c r="CA550" s="13">
        <v>2024</v>
      </c>
      <c r="CB550" s="13" t="s">
        <v>53</v>
      </c>
      <c r="CC550" s="13" t="s">
        <v>13</v>
      </c>
      <c r="CD550" s="13">
        <v>271</v>
      </c>
      <c r="CE550" s="13">
        <v>7</v>
      </c>
      <c r="CF550" s="13" t="s">
        <v>1436</v>
      </c>
      <c r="CG550" s="13" t="s">
        <v>1437</v>
      </c>
    </row>
    <row r="551" spans="1:85">
      <c r="A551" s="13" t="s">
        <v>1877</v>
      </c>
      <c r="B551" s="13" t="s">
        <v>1877</v>
      </c>
      <c r="C551" s="14" t="s">
        <v>1438</v>
      </c>
      <c r="D551" s="14" t="s">
        <v>898</v>
      </c>
      <c r="E551" s="13" t="s">
        <v>630</v>
      </c>
      <c r="F551" s="13" t="s">
        <v>2714</v>
      </c>
      <c r="G551" s="13" t="s">
        <v>673</v>
      </c>
      <c r="H551" s="13" t="s">
        <v>2742</v>
      </c>
      <c r="J551" s="14" t="s">
        <v>703</v>
      </c>
      <c r="K551" s="14" t="s">
        <v>4080</v>
      </c>
      <c r="L551" s="13" t="s">
        <v>1966</v>
      </c>
      <c r="M551" s="13" t="s">
        <v>2727</v>
      </c>
      <c r="R551" s="13">
        <v>100</v>
      </c>
      <c r="S551" s="13">
        <v>34</v>
      </c>
      <c r="V551" s="13">
        <v>6</v>
      </c>
      <c r="W551" s="13">
        <v>67</v>
      </c>
      <c r="AB551" s="13">
        <v>70</v>
      </c>
      <c r="AG551" s="13" t="s">
        <v>639</v>
      </c>
      <c r="BG551" s="13">
        <v>3.44</v>
      </c>
      <c r="BI551" s="13">
        <v>1.72</v>
      </c>
      <c r="BJ551" s="13">
        <v>9.7200000000000006</v>
      </c>
      <c r="BR551" s="13">
        <v>3.56</v>
      </c>
      <c r="BT551" s="13">
        <v>1.3</v>
      </c>
      <c r="BU551" s="13">
        <v>8.68</v>
      </c>
      <c r="BX551" s="13">
        <v>8.1000000000000003E-2</v>
      </c>
      <c r="BY551" s="13" t="s">
        <v>1434</v>
      </c>
      <c r="BZ551" s="13" t="s">
        <v>1435</v>
      </c>
      <c r="CA551" s="13">
        <v>2024</v>
      </c>
      <c r="CB551" s="13" t="s">
        <v>53</v>
      </c>
      <c r="CC551" s="13" t="s">
        <v>13</v>
      </c>
      <c r="CD551" s="13">
        <v>271</v>
      </c>
      <c r="CE551" s="13">
        <v>7</v>
      </c>
      <c r="CF551" s="13" t="s">
        <v>1436</v>
      </c>
      <c r="CG551" s="13" t="s">
        <v>1437</v>
      </c>
    </row>
    <row r="552" spans="1:85">
      <c r="A552" s="13" t="s">
        <v>1877</v>
      </c>
      <c r="B552" s="13" t="s">
        <v>1877</v>
      </c>
      <c r="C552" s="14" t="s">
        <v>1438</v>
      </c>
      <c r="D552" s="14" t="s">
        <v>898</v>
      </c>
      <c r="E552" s="13" t="s">
        <v>630</v>
      </c>
      <c r="F552" s="13" t="s">
        <v>2714</v>
      </c>
      <c r="G552" s="13" t="s">
        <v>673</v>
      </c>
      <c r="H552" s="13" t="s">
        <v>2743</v>
      </c>
      <c r="J552" s="14" t="s">
        <v>703</v>
      </c>
      <c r="K552" s="14" t="s">
        <v>4080</v>
      </c>
      <c r="L552" s="13" t="s">
        <v>1966</v>
      </c>
      <c r="M552" s="13" t="s">
        <v>2727</v>
      </c>
      <c r="R552" s="13">
        <v>100</v>
      </c>
      <c r="S552" s="13">
        <v>34</v>
      </c>
      <c r="V552" s="13">
        <v>6</v>
      </c>
      <c r="W552" s="13">
        <v>67</v>
      </c>
      <c r="AB552" s="13">
        <v>70</v>
      </c>
      <c r="AG552" s="13" t="s">
        <v>639</v>
      </c>
      <c r="BG552" s="13">
        <v>1.43</v>
      </c>
      <c r="BI552" s="13">
        <v>1.43</v>
      </c>
      <c r="BJ552" s="13">
        <v>1.43</v>
      </c>
      <c r="BR552" s="13">
        <v>0.77</v>
      </c>
      <c r="BT552" s="13">
        <v>0.47</v>
      </c>
      <c r="BU552" s="13">
        <v>2.14</v>
      </c>
      <c r="BX552" s="13">
        <v>9.1999999999999998E-2</v>
      </c>
      <c r="BY552" s="13" t="s">
        <v>1434</v>
      </c>
      <c r="BZ552" s="13" t="s">
        <v>1435</v>
      </c>
      <c r="CA552" s="13">
        <v>2024</v>
      </c>
      <c r="CB552" s="13" t="s">
        <v>53</v>
      </c>
      <c r="CC552" s="13" t="s">
        <v>13</v>
      </c>
      <c r="CD552" s="13">
        <v>271</v>
      </c>
      <c r="CE552" s="13">
        <v>7</v>
      </c>
      <c r="CF552" s="13" t="s">
        <v>1436</v>
      </c>
      <c r="CG552" s="13" t="s">
        <v>1437</v>
      </c>
    </row>
    <row r="553" spans="1:85">
      <c r="A553" s="13" t="s">
        <v>1877</v>
      </c>
      <c r="B553" s="13" t="s">
        <v>1877</v>
      </c>
      <c r="C553" s="14" t="s">
        <v>1438</v>
      </c>
      <c r="D553" s="14" t="s">
        <v>898</v>
      </c>
      <c r="E553" s="13" t="s">
        <v>630</v>
      </c>
      <c r="F553" s="13" t="s">
        <v>2714</v>
      </c>
      <c r="G553" s="13" t="s">
        <v>673</v>
      </c>
      <c r="H553" s="13" t="s">
        <v>2744</v>
      </c>
      <c r="J553" s="14" t="s">
        <v>703</v>
      </c>
      <c r="K553" s="14" t="s">
        <v>4080</v>
      </c>
      <c r="L553" s="13" t="s">
        <v>1966</v>
      </c>
      <c r="M553" s="13" t="s">
        <v>2727</v>
      </c>
      <c r="R553" s="13">
        <v>100</v>
      </c>
      <c r="S553" s="13">
        <v>34</v>
      </c>
      <c r="V553" s="13">
        <v>6</v>
      </c>
      <c r="W553" s="13">
        <v>67</v>
      </c>
      <c r="AB553" s="13">
        <v>70</v>
      </c>
      <c r="AG553" s="13" t="s">
        <v>639</v>
      </c>
      <c r="BG553" s="13">
        <v>1.18</v>
      </c>
      <c r="BI553" s="13">
        <v>1.18</v>
      </c>
      <c r="BJ553" s="13">
        <v>1.75</v>
      </c>
      <c r="BR553" s="13">
        <v>0.41</v>
      </c>
      <c r="BT553" s="13">
        <v>0.08</v>
      </c>
      <c r="BU553" s="13">
        <v>1.0900000000000001</v>
      </c>
      <c r="BX553" s="13" t="s">
        <v>691</v>
      </c>
      <c r="BY553" s="13" t="s">
        <v>1434</v>
      </c>
      <c r="BZ553" s="13" t="s">
        <v>1435</v>
      </c>
      <c r="CA553" s="13">
        <v>2024</v>
      </c>
      <c r="CB553" s="13" t="s">
        <v>53</v>
      </c>
      <c r="CC553" s="13" t="s">
        <v>13</v>
      </c>
      <c r="CD553" s="13">
        <v>271</v>
      </c>
      <c r="CE553" s="13">
        <v>7</v>
      </c>
      <c r="CF553" s="13" t="s">
        <v>1436</v>
      </c>
      <c r="CG553" s="13" t="s">
        <v>1437</v>
      </c>
    </row>
    <row r="554" spans="1:85">
      <c r="A554" s="13" t="s">
        <v>1877</v>
      </c>
      <c r="B554" s="13" t="s">
        <v>1877</v>
      </c>
      <c r="C554" s="14" t="s">
        <v>1438</v>
      </c>
      <c r="D554" s="14" t="s">
        <v>898</v>
      </c>
      <c r="E554" s="13" t="s">
        <v>630</v>
      </c>
      <c r="F554" s="13" t="s">
        <v>2714</v>
      </c>
      <c r="G554" s="13" t="s">
        <v>673</v>
      </c>
      <c r="H554" s="13" t="s">
        <v>2745</v>
      </c>
      <c r="J554" s="14" t="s">
        <v>703</v>
      </c>
      <c r="K554" s="14" t="s">
        <v>4080</v>
      </c>
      <c r="L554" s="13" t="s">
        <v>1966</v>
      </c>
      <c r="M554" s="13" t="s">
        <v>2727</v>
      </c>
      <c r="R554" s="13">
        <v>100</v>
      </c>
      <c r="S554" s="13">
        <v>34</v>
      </c>
      <c r="V554" s="13">
        <v>6</v>
      </c>
      <c r="W554" s="13">
        <v>67</v>
      </c>
      <c r="AB554" s="13">
        <v>70</v>
      </c>
      <c r="AG554" s="13" t="s">
        <v>639</v>
      </c>
      <c r="BG554" s="13">
        <v>8.02</v>
      </c>
      <c r="BI554" s="13">
        <v>4.01</v>
      </c>
      <c r="BJ554" s="13">
        <v>12.03</v>
      </c>
      <c r="BR554" s="13">
        <v>1.65</v>
      </c>
      <c r="BT554" s="13">
        <v>1.49</v>
      </c>
      <c r="BU554" s="13">
        <v>2.02</v>
      </c>
      <c r="BX554" s="13" t="s">
        <v>691</v>
      </c>
      <c r="BY554" s="13" t="s">
        <v>1434</v>
      </c>
      <c r="BZ554" s="13" t="s">
        <v>1435</v>
      </c>
      <c r="CA554" s="13">
        <v>2024</v>
      </c>
      <c r="CB554" s="13" t="s">
        <v>53</v>
      </c>
      <c r="CC554" s="13" t="s">
        <v>13</v>
      </c>
      <c r="CD554" s="13">
        <v>271</v>
      </c>
      <c r="CE554" s="13">
        <v>7</v>
      </c>
      <c r="CF554" s="13" t="s">
        <v>1436</v>
      </c>
      <c r="CG554" s="13" t="s">
        <v>1437</v>
      </c>
    </row>
    <row r="555" spans="1:85">
      <c r="A555" s="13" t="s">
        <v>1877</v>
      </c>
      <c r="B555" s="13" t="s">
        <v>1877</v>
      </c>
      <c r="C555" s="14" t="s">
        <v>1438</v>
      </c>
      <c r="D555" s="14" t="s">
        <v>898</v>
      </c>
      <c r="E555" s="13" t="s">
        <v>630</v>
      </c>
      <c r="F555" s="13" t="s">
        <v>2714</v>
      </c>
      <c r="G555" s="13" t="s">
        <v>673</v>
      </c>
      <c r="H555" s="13" t="s">
        <v>2746</v>
      </c>
      <c r="J555" s="14" t="s">
        <v>703</v>
      </c>
      <c r="K555" s="14" t="s">
        <v>4080</v>
      </c>
      <c r="L555" s="13" t="s">
        <v>1966</v>
      </c>
      <c r="M555" s="13" t="s">
        <v>2727</v>
      </c>
      <c r="R555" s="13">
        <v>100</v>
      </c>
      <c r="S555" s="13">
        <v>34</v>
      </c>
      <c r="V555" s="13">
        <v>6</v>
      </c>
      <c r="W555" s="13">
        <v>67</v>
      </c>
      <c r="AB555" s="13">
        <v>70</v>
      </c>
      <c r="AG555" s="13" t="s">
        <v>639</v>
      </c>
      <c r="BG555" s="13">
        <v>1.29</v>
      </c>
      <c r="BI555" s="13">
        <v>1.17</v>
      </c>
      <c r="BJ555" s="13">
        <v>2.77</v>
      </c>
      <c r="BR555" s="13">
        <v>2.4500000000000002</v>
      </c>
      <c r="BT555" s="13">
        <v>1.61</v>
      </c>
      <c r="BU555" s="13">
        <v>4.49</v>
      </c>
      <c r="BX555" s="13" t="s">
        <v>691</v>
      </c>
      <c r="BY555" s="13" t="s">
        <v>1434</v>
      </c>
      <c r="BZ555" s="13" t="s">
        <v>1435</v>
      </c>
      <c r="CA555" s="13">
        <v>2024</v>
      </c>
      <c r="CB555" s="13" t="s">
        <v>53</v>
      </c>
      <c r="CC555" s="13" t="s">
        <v>13</v>
      </c>
      <c r="CD555" s="13">
        <v>271</v>
      </c>
      <c r="CE555" s="13">
        <v>7</v>
      </c>
      <c r="CF555" s="13" t="s">
        <v>1436</v>
      </c>
      <c r="CG555" s="13" t="s">
        <v>1437</v>
      </c>
    </row>
    <row r="556" spans="1:85">
      <c r="A556" s="13" t="s">
        <v>1877</v>
      </c>
      <c r="B556" s="13" t="s">
        <v>1877</v>
      </c>
      <c r="C556" s="14" t="s">
        <v>1438</v>
      </c>
      <c r="D556" s="14" t="s">
        <v>898</v>
      </c>
      <c r="E556" s="13" t="s">
        <v>630</v>
      </c>
      <c r="F556" s="13" t="s">
        <v>2714</v>
      </c>
      <c r="G556" s="13" t="s">
        <v>673</v>
      </c>
      <c r="H556" s="13" t="s">
        <v>2747</v>
      </c>
      <c r="J556" s="14" t="s">
        <v>703</v>
      </c>
      <c r="K556" s="14" t="s">
        <v>4080</v>
      </c>
      <c r="L556" s="13" t="s">
        <v>1966</v>
      </c>
      <c r="M556" s="13" t="s">
        <v>2727</v>
      </c>
      <c r="R556" s="13">
        <v>100</v>
      </c>
      <c r="S556" s="13">
        <v>34</v>
      </c>
      <c r="V556" s="13">
        <v>6</v>
      </c>
      <c r="W556" s="13">
        <v>67</v>
      </c>
      <c r="AB556" s="13">
        <v>70</v>
      </c>
      <c r="AG556" s="13" t="s">
        <v>639</v>
      </c>
      <c r="BG556" s="13">
        <v>8.2100000000000009</v>
      </c>
      <c r="BI556" s="13">
        <v>5.2</v>
      </c>
      <c r="BJ556" s="13">
        <v>13.12</v>
      </c>
      <c r="BR556" s="13">
        <v>14.73</v>
      </c>
      <c r="BT556" s="13">
        <v>8.2799999999999994</v>
      </c>
      <c r="BU556" s="13">
        <v>24.18</v>
      </c>
      <c r="BX556" s="13" t="s">
        <v>691</v>
      </c>
      <c r="BY556" s="13" t="s">
        <v>1434</v>
      </c>
      <c r="BZ556" s="13" t="s">
        <v>1435</v>
      </c>
      <c r="CA556" s="13">
        <v>2024</v>
      </c>
      <c r="CB556" s="13" t="s">
        <v>53</v>
      </c>
      <c r="CC556" s="13" t="s">
        <v>13</v>
      </c>
      <c r="CD556" s="13">
        <v>271</v>
      </c>
      <c r="CE556" s="13">
        <v>7</v>
      </c>
      <c r="CF556" s="13" t="s">
        <v>1436</v>
      </c>
      <c r="CG556" s="13" t="s">
        <v>1437</v>
      </c>
    </row>
    <row r="557" spans="1:85">
      <c r="A557" s="13" t="s">
        <v>1877</v>
      </c>
      <c r="B557" s="13" t="s">
        <v>1877</v>
      </c>
      <c r="C557" s="14" t="s">
        <v>1438</v>
      </c>
      <c r="D557" s="14" t="s">
        <v>898</v>
      </c>
      <c r="E557" s="13" t="s">
        <v>630</v>
      </c>
      <c r="F557" s="13" t="s">
        <v>2714</v>
      </c>
      <c r="G557" s="13" t="s">
        <v>673</v>
      </c>
      <c r="H557" s="13" t="s">
        <v>2748</v>
      </c>
      <c r="J557" s="14" t="s">
        <v>703</v>
      </c>
      <c r="K557" s="14" t="s">
        <v>4080</v>
      </c>
      <c r="L557" s="13" t="s">
        <v>1966</v>
      </c>
      <c r="M557" s="13" t="s">
        <v>2727</v>
      </c>
      <c r="R557" s="13">
        <v>100</v>
      </c>
      <c r="S557" s="13">
        <v>34</v>
      </c>
      <c r="V557" s="13">
        <v>6</v>
      </c>
      <c r="W557" s="13">
        <v>67</v>
      </c>
      <c r="AB557" s="13">
        <v>70</v>
      </c>
      <c r="AG557" s="13" t="s">
        <v>639</v>
      </c>
      <c r="BG557" s="13">
        <v>541.04</v>
      </c>
      <c r="BI557" s="13">
        <v>399.2</v>
      </c>
      <c r="BJ557" s="13">
        <v>880.7</v>
      </c>
      <c r="BR557" s="13">
        <v>250</v>
      </c>
      <c r="BT557" s="13">
        <v>116.25</v>
      </c>
      <c r="BU557" s="13">
        <v>317.22000000000003</v>
      </c>
      <c r="BX557" s="13" t="s">
        <v>691</v>
      </c>
      <c r="BY557" s="13" t="s">
        <v>1434</v>
      </c>
      <c r="BZ557" s="13" t="s">
        <v>1435</v>
      </c>
      <c r="CA557" s="13">
        <v>2024</v>
      </c>
      <c r="CB557" s="13" t="s">
        <v>53</v>
      </c>
      <c r="CC557" s="13" t="s">
        <v>13</v>
      </c>
      <c r="CD557" s="13">
        <v>271</v>
      </c>
      <c r="CE557" s="13">
        <v>7</v>
      </c>
      <c r="CF557" s="13" t="s">
        <v>1436</v>
      </c>
      <c r="CG557" s="13" t="s">
        <v>1437</v>
      </c>
    </row>
    <row r="558" spans="1:85">
      <c r="A558" s="13" t="s">
        <v>1877</v>
      </c>
      <c r="B558" s="13" t="s">
        <v>1877</v>
      </c>
      <c r="C558" s="14" t="s">
        <v>1438</v>
      </c>
      <c r="D558" s="14" t="s">
        <v>898</v>
      </c>
      <c r="E558" s="13" t="s">
        <v>630</v>
      </c>
      <c r="F558" s="13" t="s">
        <v>2714</v>
      </c>
      <c r="G558" s="13" t="s">
        <v>673</v>
      </c>
      <c r="H558" s="13" t="s">
        <v>2749</v>
      </c>
      <c r="J558" s="14" t="s">
        <v>703</v>
      </c>
      <c r="K558" s="14" t="s">
        <v>4080</v>
      </c>
      <c r="L558" s="13" t="s">
        <v>1966</v>
      </c>
      <c r="M558" s="13" t="s">
        <v>2727</v>
      </c>
      <c r="R558" s="13">
        <v>100</v>
      </c>
      <c r="S558" s="13">
        <v>34</v>
      </c>
      <c r="V558" s="13">
        <v>6</v>
      </c>
      <c r="W558" s="13">
        <v>67</v>
      </c>
      <c r="AB558" s="13">
        <v>70</v>
      </c>
      <c r="AG558" s="13" t="s">
        <v>639</v>
      </c>
      <c r="BG558" s="13">
        <v>67.319999999999993</v>
      </c>
      <c r="BI558" s="13">
        <v>47.36</v>
      </c>
      <c r="BJ558" s="13">
        <v>228.49</v>
      </c>
      <c r="BR558" s="13">
        <v>64.599999999999994</v>
      </c>
      <c r="BT558" s="13">
        <v>38.96</v>
      </c>
      <c r="BU558" s="13">
        <v>91.19</v>
      </c>
      <c r="BX558" s="13">
        <v>3.1E-2</v>
      </c>
      <c r="BY558" s="13" t="s">
        <v>1434</v>
      </c>
      <c r="BZ558" s="13" t="s">
        <v>1435</v>
      </c>
      <c r="CA558" s="13">
        <v>2024</v>
      </c>
      <c r="CB558" s="13" t="s">
        <v>53</v>
      </c>
      <c r="CC558" s="13" t="s">
        <v>13</v>
      </c>
      <c r="CD558" s="13">
        <v>271</v>
      </c>
      <c r="CE558" s="13">
        <v>7</v>
      </c>
      <c r="CF558" s="13" t="s">
        <v>1436</v>
      </c>
      <c r="CG558" s="13" t="s">
        <v>1437</v>
      </c>
    </row>
    <row r="559" spans="1:85">
      <c r="A559" s="13" t="s">
        <v>1878</v>
      </c>
      <c r="B559" s="13" t="s">
        <v>1878</v>
      </c>
      <c r="C559" s="14" t="s">
        <v>1442</v>
      </c>
      <c r="D559" s="14" t="s">
        <v>820</v>
      </c>
      <c r="E559" s="13" t="s">
        <v>630</v>
      </c>
      <c r="F559" s="13" t="s">
        <v>2751</v>
      </c>
      <c r="G559" s="13" t="s">
        <v>674</v>
      </c>
      <c r="H559" s="13" t="s">
        <v>2752</v>
      </c>
      <c r="J559" s="14" t="s">
        <v>2573</v>
      </c>
      <c r="K559" s="14" t="s">
        <v>4072</v>
      </c>
      <c r="L559" s="13" t="s">
        <v>585</v>
      </c>
      <c r="N559" s="13">
        <v>13</v>
      </c>
      <c r="O559" s="2">
        <f t="shared" ref="O559:O566" si="50">N559/R559</f>
        <v>0.43333333333333335</v>
      </c>
      <c r="P559" s="13">
        <v>17</v>
      </c>
      <c r="Q559" s="17">
        <f t="shared" ref="Q559:Q566" si="51">P559/S559</f>
        <v>0.33333333333333331</v>
      </c>
      <c r="R559" s="13">
        <v>30</v>
      </c>
      <c r="S559" s="13">
        <v>51</v>
      </c>
      <c r="W559" s="13">
        <v>63.4</v>
      </c>
      <c r="X559" s="13">
        <v>11.5</v>
      </c>
      <c r="AB559" s="13">
        <v>46.1</v>
      </c>
      <c r="AC559" s="13">
        <v>14.5</v>
      </c>
      <c r="AG559" s="13" t="s">
        <v>2455</v>
      </c>
      <c r="BB559" s="13">
        <v>894.3</v>
      </c>
      <c r="BC559" s="13">
        <v>648.9</v>
      </c>
      <c r="BM559" s="13">
        <v>904.5</v>
      </c>
      <c r="BN559" s="13">
        <v>478.9</v>
      </c>
      <c r="BX559" s="13">
        <v>0.51300000000000001</v>
      </c>
      <c r="BY559" s="13" t="s">
        <v>1439</v>
      </c>
      <c r="BZ559" s="13" t="s">
        <v>1440</v>
      </c>
      <c r="CA559" s="13">
        <v>2021</v>
      </c>
      <c r="CB559" s="13" t="s">
        <v>25</v>
      </c>
      <c r="CC559" s="13" t="s">
        <v>141</v>
      </c>
      <c r="CD559" s="13">
        <v>8</v>
      </c>
      <c r="CE559" s="13">
        <v>2</v>
      </c>
      <c r="CG559" s="13" t="s">
        <v>1441</v>
      </c>
    </row>
    <row r="560" spans="1:85">
      <c r="A560" s="13" t="s">
        <v>1878</v>
      </c>
      <c r="B560" s="13" t="s">
        <v>1878</v>
      </c>
      <c r="C560" s="14" t="s">
        <v>1442</v>
      </c>
      <c r="D560" s="14" t="s">
        <v>820</v>
      </c>
      <c r="E560" s="13" t="s">
        <v>630</v>
      </c>
      <c r="F560" s="13" t="s">
        <v>2751</v>
      </c>
      <c r="G560" s="13" t="s">
        <v>674</v>
      </c>
      <c r="H560" s="13" t="s">
        <v>2753</v>
      </c>
      <c r="J560" s="14" t="s">
        <v>2573</v>
      </c>
      <c r="K560" s="14" t="s">
        <v>4072</v>
      </c>
      <c r="L560" s="13" t="s">
        <v>585</v>
      </c>
      <c r="N560" s="13">
        <v>13</v>
      </c>
      <c r="O560" s="2">
        <f t="shared" si="50"/>
        <v>0.43333333333333335</v>
      </c>
      <c r="P560" s="13">
        <v>17</v>
      </c>
      <c r="Q560" s="17">
        <f t="shared" si="51"/>
        <v>0.33333333333333331</v>
      </c>
      <c r="R560" s="13">
        <v>30</v>
      </c>
      <c r="S560" s="13">
        <v>51</v>
      </c>
      <c r="W560" s="13">
        <v>63.4</v>
      </c>
      <c r="X560" s="13">
        <v>11.5</v>
      </c>
      <c r="AB560" s="13">
        <v>46.1</v>
      </c>
      <c r="AC560" s="13">
        <v>14.5</v>
      </c>
      <c r="AG560" s="13" t="s">
        <v>2455</v>
      </c>
      <c r="BB560" s="13">
        <v>604.1</v>
      </c>
      <c r="BC560" s="13">
        <v>468.1</v>
      </c>
      <c r="BM560" s="13">
        <v>934.7</v>
      </c>
      <c r="BN560" s="13">
        <v>573.1</v>
      </c>
      <c r="BX560" s="13">
        <v>0.108</v>
      </c>
      <c r="BY560" s="13" t="s">
        <v>1439</v>
      </c>
      <c r="BZ560" s="13" t="s">
        <v>1440</v>
      </c>
      <c r="CA560" s="13">
        <v>2021</v>
      </c>
      <c r="CB560" s="13" t="s">
        <v>25</v>
      </c>
      <c r="CC560" s="13" t="s">
        <v>141</v>
      </c>
      <c r="CD560" s="13">
        <v>8</v>
      </c>
      <c r="CE560" s="13">
        <v>2</v>
      </c>
      <c r="CG560" s="13" t="s">
        <v>1441</v>
      </c>
    </row>
    <row r="561" spans="1:85">
      <c r="A561" s="13" t="s">
        <v>1878</v>
      </c>
      <c r="B561" s="13" t="s">
        <v>1878</v>
      </c>
      <c r="C561" s="14" t="s">
        <v>1442</v>
      </c>
      <c r="D561" s="14" t="s">
        <v>820</v>
      </c>
      <c r="E561" s="13" t="s">
        <v>630</v>
      </c>
      <c r="F561" s="13" t="s">
        <v>2751</v>
      </c>
      <c r="G561" s="13" t="s">
        <v>674</v>
      </c>
      <c r="H561" s="13" t="s">
        <v>2754</v>
      </c>
      <c r="J561" s="14" t="s">
        <v>2573</v>
      </c>
      <c r="K561" s="14" t="s">
        <v>4072</v>
      </c>
      <c r="L561" s="13" t="s">
        <v>585</v>
      </c>
      <c r="N561" s="13">
        <v>13</v>
      </c>
      <c r="O561" s="2">
        <f t="shared" si="50"/>
        <v>0.43333333333333335</v>
      </c>
      <c r="P561" s="13">
        <v>17</v>
      </c>
      <c r="Q561" s="17">
        <f t="shared" si="51"/>
        <v>0.33333333333333331</v>
      </c>
      <c r="R561" s="13">
        <v>30</v>
      </c>
      <c r="S561" s="13">
        <v>51</v>
      </c>
      <c r="W561" s="13">
        <v>63.4</v>
      </c>
      <c r="X561" s="13">
        <v>11.5</v>
      </c>
      <c r="AB561" s="13">
        <v>46.1</v>
      </c>
      <c r="AC561" s="13">
        <v>14.5</v>
      </c>
      <c r="AG561" s="13" t="s">
        <v>2455</v>
      </c>
      <c r="BB561" s="13">
        <v>317</v>
      </c>
      <c r="BC561" s="13">
        <v>198.4</v>
      </c>
      <c r="BM561" s="13">
        <v>329.3</v>
      </c>
      <c r="BN561" s="13">
        <v>234.5</v>
      </c>
      <c r="BX561" s="13">
        <v>0.81699999999999995</v>
      </c>
      <c r="BY561" s="13" t="s">
        <v>1439</v>
      </c>
      <c r="BZ561" s="13" t="s">
        <v>1440</v>
      </c>
      <c r="CA561" s="13">
        <v>2021</v>
      </c>
      <c r="CB561" s="13" t="s">
        <v>25</v>
      </c>
      <c r="CC561" s="13" t="s">
        <v>141</v>
      </c>
      <c r="CD561" s="13">
        <v>8</v>
      </c>
      <c r="CE561" s="13">
        <v>2</v>
      </c>
      <c r="CG561" s="13" t="s">
        <v>1441</v>
      </c>
    </row>
    <row r="562" spans="1:85">
      <c r="A562" s="13" t="s">
        <v>1878</v>
      </c>
      <c r="B562" s="13" t="s">
        <v>1878</v>
      </c>
      <c r="C562" s="14" t="s">
        <v>1442</v>
      </c>
      <c r="D562" s="14" t="s">
        <v>820</v>
      </c>
      <c r="E562" s="13" t="s">
        <v>630</v>
      </c>
      <c r="F562" s="13" t="s">
        <v>2751</v>
      </c>
      <c r="G562" s="13" t="s">
        <v>674</v>
      </c>
      <c r="H562" s="13" t="s">
        <v>2755</v>
      </c>
      <c r="J562" s="14" t="s">
        <v>2573</v>
      </c>
      <c r="K562" s="14" t="s">
        <v>4072</v>
      </c>
      <c r="L562" s="13" t="s">
        <v>585</v>
      </c>
      <c r="N562" s="13">
        <v>13</v>
      </c>
      <c r="O562" s="2">
        <f t="shared" si="50"/>
        <v>0.43333333333333335</v>
      </c>
      <c r="P562" s="13">
        <v>17</v>
      </c>
      <c r="Q562" s="17">
        <f t="shared" si="51"/>
        <v>0.33333333333333331</v>
      </c>
      <c r="R562" s="13">
        <v>30</v>
      </c>
      <c r="S562" s="13">
        <v>51</v>
      </c>
      <c r="W562" s="13">
        <v>63.4</v>
      </c>
      <c r="X562" s="13">
        <v>11.5</v>
      </c>
      <c r="AB562" s="13">
        <v>46.1</v>
      </c>
      <c r="AC562" s="13">
        <v>14.5</v>
      </c>
      <c r="AG562" s="13" t="s">
        <v>2455</v>
      </c>
      <c r="BB562" s="13">
        <v>26.4</v>
      </c>
      <c r="BC562" s="13">
        <v>14.2</v>
      </c>
      <c r="BM562" s="13">
        <v>20.97</v>
      </c>
      <c r="BN562" s="13">
        <v>17.100000000000001</v>
      </c>
      <c r="BX562" s="13">
        <v>4.4999999999999998E-2</v>
      </c>
      <c r="BY562" s="13" t="s">
        <v>1439</v>
      </c>
      <c r="BZ562" s="13" t="s">
        <v>1440</v>
      </c>
      <c r="CA562" s="13">
        <v>2021</v>
      </c>
      <c r="CB562" s="13" t="s">
        <v>25</v>
      </c>
      <c r="CC562" s="13" t="s">
        <v>141</v>
      </c>
      <c r="CD562" s="13">
        <v>8</v>
      </c>
      <c r="CE562" s="13">
        <v>2</v>
      </c>
      <c r="CG562" s="13" t="s">
        <v>1441</v>
      </c>
    </row>
    <row r="563" spans="1:85">
      <c r="A563" s="13" t="s">
        <v>1878</v>
      </c>
      <c r="B563" s="13" t="s">
        <v>1878</v>
      </c>
      <c r="C563" s="14" t="s">
        <v>1442</v>
      </c>
      <c r="D563" s="14" t="s">
        <v>820</v>
      </c>
      <c r="E563" s="13" t="s">
        <v>630</v>
      </c>
      <c r="F563" s="13" t="s">
        <v>2751</v>
      </c>
      <c r="G563" s="13" t="s">
        <v>674</v>
      </c>
      <c r="H563" s="13" t="s">
        <v>2750</v>
      </c>
      <c r="J563" s="14" t="s">
        <v>2573</v>
      </c>
      <c r="K563" s="14" t="s">
        <v>4072</v>
      </c>
      <c r="L563" s="13" t="s">
        <v>585</v>
      </c>
      <c r="N563" s="13">
        <v>13</v>
      </c>
      <c r="O563" s="2">
        <f t="shared" si="50"/>
        <v>0.43333333333333335</v>
      </c>
      <c r="P563" s="13">
        <v>17</v>
      </c>
      <c r="Q563" s="17">
        <f t="shared" si="51"/>
        <v>0.33333333333333331</v>
      </c>
      <c r="R563" s="13">
        <v>30</v>
      </c>
      <c r="S563" s="13">
        <v>51</v>
      </c>
      <c r="W563" s="13">
        <v>63.4</v>
      </c>
      <c r="X563" s="13">
        <v>11.5</v>
      </c>
      <c r="AB563" s="13">
        <v>46.1</v>
      </c>
      <c r="AC563" s="13">
        <v>14.5</v>
      </c>
      <c r="AG563" s="13" t="s">
        <v>2455</v>
      </c>
      <c r="BB563" s="13">
        <v>1487</v>
      </c>
      <c r="BC563" s="13">
        <v>881</v>
      </c>
      <c r="BM563" s="13">
        <v>1910</v>
      </c>
      <c r="BN563" s="13">
        <v>1045</v>
      </c>
      <c r="BX563" s="13">
        <v>0.13100000000000001</v>
      </c>
      <c r="BY563" s="13" t="s">
        <v>1439</v>
      </c>
      <c r="BZ563" s="13" t="s">
        <v>1440</v>
      </c>
      <c r="CA563" s="13">
        <v>2021</v>
      </c>
      <c r="CB563" s="13" t="s">
        <v>25</v>
      </c>
      <c r="CC563" s="13" t="s">
        <v>141</v>
      </c>
      <c r="CD563" s="13">
        <v>8</v>
      </c>
      <c r="CE563" s="13">
        <v>2</v>
      </c>
      <c r="CG563" s="13" t="s">
        <v>1441</v>
      </c>
    </row>
    <row r="564" spans="1:85">
      <c r="A564" s="13" t="s">
        <v>1878</v>
      </c>
      <c r="B564" s="13" t="s">
        <v>1878</v>
      </c>
      <c r="C564" s="14" t="s">
        <v>1442</v>
      </c>
      <c r="D564" s="14" t="s">
        <v>820</v>
      </c>
      <c r="E564" s="13" t="s">
        <v>630</v>
      </c>
      <c r="F564" s="13" t="s">
        <v>2751</v>
      </c>
      <c r="G564" s="13" t="s">
        <v>674</v>
      </c>
      <c r="H564" s="13" t="s">
        <v>2756</v>
      </c>
      <c r="J564" s="14" t="s">
        <v>2573</v>
      </c>
      <c r="K564" s="14" t="s">
        <v>4072</v>
      </c>
      <c r="L564" s="13" t="s">
        <v>585</v>
      </c>
      <c r="N564" s="13">
        <v>13</v>
      </c>
      <c r="O564" s="2">
        <f t="shared" si="50"/>
        <v>0.43333333333333335</v>
      </c>
      <c r="P564" s="13">
        <v>17</v>
      </c>
      <c r="Q564" s="17">
        <f t="shared" si="51"/>
        <v>0.33333333333333331</v>
      </c>
      <c r="R564" s="13">
        <v>30</v>
      </c>
      <c r="S564" s="13">
        <v>51</v>
      </c>
      <c r="W564" s="13">
        <v>63.4</v>
      </c>
      <c r="X564" s="13">
        <v>11.5</v>
      </c>
      <c r="AB564" s="13">
        <v>46.1</v>
      </c>
      <c r="AC564" s="13">
        <v>14.5</v>
      </c>
      <c r="AG564" s="13" t="s">
        <v>2455</v>
      </c>
      <c r="BB564" s="13">
        <v>318.7</v>
      </c>
      <c r="BC564" s="13">
        <v>154.69999999999999</v>
      </c>
      <c r="BM564" s="13">
        <v>497.9</v>
      </c>
      <c r="BN564" s="13">
        <v>331.2</v>
      </c>
      <c r="BX564" s="13">
        <v>3.5000000000000003E-2</v>
      </c>
      <c r="BY564" s="13" t="s">
        <v>1439</v>
      </c>
      <c r="BZ564" s="13" t="s">
        <v>1440</v>
      </c>
      <c r="CA564" s="13">
        <v>2021</v>
      </c>
      <c r="CB564" s="13" t="s">
        <v>25</v>
      </c>
      <c r="CC564" s="13" t="s">
        <v>141</v>
      </c>
      <c r="CD564" s="13">
        <v>8</v>
      </c>
      <c r="CE564" s="13">
        <v>2</v>
      </c>
      <c r="CG564" s="13" t="s">
        <v>1441</v>
      </c>
    </row>
    <row r="565" spans="1:85">
      <c r="A565" s="13" t="s">
        <v>3403</v>
      </c>
      <c r="C565" s="13" t="s">
        <v>3874</v>
      </c>
      <c r="D565" s="14" t="s">
        <v>831</v>
      </c>
      <c r="E565" s="13" t="s">
        <v>630</v>
      </c>
      <c r="F565" s="13" t="s">
        <v>3870</v>
      </c>
      <c r="G565" s="13" t="s">
        <v>674</v>
      </c>
      <c r="H565" s="13" t="s">
        <v>3871</v>
      </c>
      <c r="J565" s="14" t="s">
        <v>3872</v>
      </c>
      <c r="K565" s="13" t="s">
        <v>3873</v>
      </c>
      <c r="L565" s="13" t="s">
        <v>3718</v>
      </c>
      <c r="N565" s="13">
        <v>76</v>
      </c>
      <c r="O565" s="2">
        <f t="shared" si="50"/>
        <v>0.5757575757575758</v>
      </c>
      <c r="P565" s="13">
        <v>15</v>
      </c>
      <c r="Q565" s="17">
        <f t="shared" si="51"/>
        <v>0.5</v>
      </c>
      <c r="R565" s="13">
        <v>132</v>
      </c>
      <c r="S565" s="13">
        <v>30</v>
      </c>
      <c r="T565" s="13">
        <v>0</v>
      </c>
      <c r="U565" s="15">
        <v>0</v>
      </c>
      <c r="V565" s="13">
        <v>0</v>
      </c>
      <c r="W565" s="13">
        <v>59.8</v>
      </c>
      <c r="X565" s="13">
        <v>10.5</v>
      </c>
      <c r="AB565" s="13">
        <v>59.6</v>
      </c>
      <c r="AC565" s="13">
        <v>6.4</v>
      </c>
      <c r="AG565" s="13" t="s">
        <v>3875</v>
      </c>
      <c r="AP565" s="13">
        <v>0.86</v>
      </c>
      <c r="BY565" s="13" t="s">
        <v>3548</v>
      </c>
      <c r="BZ565" s="13" t="s">
        <v>3549</v>
      </c>
      <c r="CA565" s="13">
        <v>2025</v>
      </c>
      <c r="CB565" s="21">
        <v>45694</v>
      </c>
      <c r="CC565" s="13" t="s">
        <v>195</v>
      </c>
      <c r="CG565" s="13" t="s">
        <v>3258</v>
      </c>
    </row>
    <row r="566" spans="1:85">
      <c r="A566" s="13" t="s">
        <v>3403</v>
      </c>
      <c r="C566" s="13" t="s">
        <v>3874</v>
      </c>
      <c r="D566" s="14" t="s">
        <v>831</v>
      </c>
      <c r="E566" s="13" t="s">
        <v>630</v>
      </c>
      <c r="F566" s="13" t="s">
        <v>3870</v>
      </c>
      <c r="G566" s="13" t="s">
        <v>674</v>
      </c>
      <c r="H566" s="13" t="s">
        <v>684</v>
      </c>
      <c r="I566" s="13" t="s">
        <v>3878</v>
      </c>
      <c r="J566" s="14" t="s">
        <v>3872</v>
      </c>
      <c r="K566" s="13" t="s">
        <v>3873</v>
      </c>
      <c r="L566" s="13" t="s">
        <v>3718</v>
      </c>
      <c r="N566" s="13">
        <v>76</v>
      </c>
      <c r="O566" s="2">
        <f t="shared" si="50"/>
        <v>0.5757575757575758</v>
      </c>
      <c r="P566" s="13">
        <v>15</v>
      </c>
      <c r="Q566" s="17">
        <f t="shared" si="51"/>
        <v>0.5</v>
      </c>
      <c r="R566" s="13">
        <v>132</v>
      </c>
      <c r="S566" s="13">
        <v>30</v>
      </c>
      <c r="T566" s="13">
        <v>0</v>
      </c>
      <c r="U566" s="15">
        <v>0</v>
      </c>
      <c r="V566" s="13">
        <v>0</v>
      </c>
      <c r="W566" s="13">
        <v>59.8</v>
      </c>
      <c r="X566" s="13">
        <v>10.5</v>
      </c>
      <c r="AB566" s="13">
        <v>59.6</v>
      </c>
      <c r="AC566" s="13">
        <v>6.4</v>
      </c>
      <c r="BY566" s="13" t="s">
        <v>3548</v>
      </c>
      <c r="BZ566" s="13" t="s">
        <v>3549</v>
      </c>
      <c r="CA566" s="13">
        <v>2025</v>
      </c>
      <c r="CB566" s="21">
        <v>45694</v>
      </c>
      <c r="CC566" s="13" t="s">
        <v>195</v>
      </c>
      <c r="CG566" s="13" t="s">
        <v>3258</v>
      </c>
    </row>
    <row r="567" spans="1:85">
      <c r="A567" s="13" t="s">
        <v>3403</v>
      </c>
      <c r="C567" s="13" t="s">
        <v>3874</v>
      </c>
      <c r="D567" s="14" t="s">
        <v>831</v>
      </c>
      <c r="E567" s="13" t="s">
        <v>630</v>
      </c>
      <c r="F567" s="13" t="s">
        <v>3870</v>
      </c>
      <c r="G567" s="13" t="s">
        <v>674</v>
      </c>
      <c r="H567" s="13" t="s">
        <v>675</v>
      </c>
      <c r="J567" s="14" t="s">
        <v>3872</v>
      </c>
      <c r="K567" s="13" t="s">
        <v>3873</v>
      </c>
      <c r="L567" s="13" t="s">
        <v>652</v>
      </c>
      <c r="O567" s="2">
        <v>0.57599999999999996</v>
      </c>
      <c r="R567" s="13">
        <v>125</v>
      </c>
      <c r="T567" s="13">
        <v>0</v>
      </c>
      <c r="U567" s="15">
        <v>0</v>
      </c>
      <c r="V567" s="13">
        <v>0</v>
      </c>
      <c r="W567" s="13">
        <v>59.8</v>
      </c>
      <c r="X567" s="13">
        <v>10.5</v>
      </c>
      <c r="AB567" s="13">
        <v>59.6</v>
      </c>
      <c r="AC567" s="13">
        <v>6.4</v>
      </c>
      <c r="AG567" s="13" t="s">
        <v>639</v>
      </c>
      <c r="BY567" s="13" t="s">
        <v>3548</v>
      </c>
      <c r="BZ567" s="13" t="s">
        <v>3549</v>
      </c>
      <c r="CA567" s="13">
        <v>2025</v>
      </c>
      <c r="CB567" s="21">
        <v>45694</v>
      </c>
      <c r="CC567" s="13" t="s">
        <v>195</v>
      </c>
      <c r="CG567" s="13" t="s">
        <v>3258</v>
      </c>
    </row>
    <row r="568" spans="1:85">
      <c r="A568" s="13" t="s">
        <v>3403</v>
      </c>
      <c r="C568" s="13" t="s">
        <v>3874</v>
      </c>
      <c r="D568" s="14" t="s">
        <v>831</v>
      </c>
      <c r="E568" s="13" t="s">
        <v>630</v>
      </c>
      <c r="F568" s="13" t="s">
        <v>3870</v>
      </c>
      <c r="G568" s="13" t="s">
        <v>672</v>
      </c>
      <c r="H568" s="13" t="s">
        <v>767</v>
      </c>
      <c r="J568" s="14" t="s">
        <v>3872</v>
      </c>
      <c r="K568" s="13" t="s">
        <v>3873</v>
      </c>
      <c r="L568" s="13" t="s">
        <v>2679</v>
      </c>
      <c r="M568" s="13" t="s">
        <v>3879</v>
      </c>
      <c r="O568" s="2">
        <v>0.57599999999999996</v>
      </c>
      <c r="R568" s="13">
        <v>124</v>
      </c>
      <c r="T568" s="13">
        <v>0</v>
      </c>
      <c r="U568" s="15">
        <v>0</v>
      </c>
      <c r="V568" s="13">
        <v>0</v>
      </c>
      <c r="W568" s="13">
        <v>59.8</v>
      </c>
      <c r="X568" s="13">
        <v>10.5</v>
      </c>
      <c r="AB568" s="13">
        <v>59.6</v>
      </c>
      <c r="AC568" s="13">
        <v>6.4</v>
      </c>
      <c r="AG568" s="13" t="s">
        <v>639</v>
      </c>
      <c r="BY568" s="13" t="s">
        <v>3548</v>
      </c>
      <c r="BZ568" s="13" t="s">
        <v>3549</v>
      </c>
      <c r="CA568" s="13">
        <v>2025</v>
      </c>
      <c r="CB568" s="21">
        <v>45694</v>
      </c>
      <c r="CC568" s="13" t="s">
        <v>195</v>
      </c>
      <c r="CG568" s="13" t="s">
        <v>3258</v>
      </c>
    </row>
    <row r="569" spans="1:85">
      <c r="A569" s="13" t="s">
        <v>3403</v>
      </c>
      <c r="C569" s="13" t="s">
        <v>3874</v>
      </c>
      <c r="D569" s="14" t="s">
        <v>831</v>
      </c>
      <c r="E569" s="13" t="s">
        <v>630</v>
      </c>
      <c r="F569" s="13" t="s">
        <v>3870</v>
      </c>
      <c r="G569" s="13" t="s">
        <v>672</v>
      </c>
      <c r="H569" s="13" t="s">
        <v>2726</v>
      </c>
      <c r="J569" s="14" t="s">
        <v>3872</v>
      </c>
      <c r="K569" s="13" t="s">
        <v>3873</v>
      </c>
      <c r="L569" s="13" t="s">
        <v>2679</v>
      </c>
      <c r="M569" s="13" t="s">
        <v>3879</v>
      </c>
      <c r="O569" s="2">
        <v>0.57599999999999996</v>
      </c>
      <c r="R569" s="13">
        <v>124</v>
      </c>
      <c r="T569" s="13">
        <v>0</v>
      </c>
      <c r="U569" s="15">
        <v>0</v>
      </c>
      <c r="V569" s="13">
        <v>0</v>
      </c>
      <c r="W569" s="13">
        <v>59.8</v>
      </c>
      <c r="X569" s="13">
        <v>10.5</v>
      </c>
      <c r="AB569" s="13">
        <v>59.6</v>
      </c>
      <c r="AC569" s="13">
        <v>6.4</v>
      </c>
      <c r="AG569" s="13" t="s">
        <v>639</v>
      </c>
      <c r="BY569" s="13" t="s">
        <v>3548</v>
      </c>
      <c r="BZ569" s="13" t="s">
        <v>3549</v>
      </c>
      <c r="CA569" s="13">
        <v>2025</v>
      </c>
      <c r="CB569" s="21">
        <v>45694</v>
      </c>
      <c r="CC569" s="13" t="s">
        <v>195</v>
      </c>
      <c r="CG569" s="13" t="s">
        <v>3258</v>
      </c>
    </row>
    <row r="570" spans="1:85">
      <c r="A570" s="13" t="s">
        <v>3403</v>
      </c>
      <c r="C570" s="13" t="s">
        <v>3874</v>
      </c>
      <c r="D570" s="14" t="s">
        <v>831</v>
      </c>
      <c r="E570" s="13" t="s">
        <v>630</v>
      </c>
      <c r="F570" s="13" t="s">
        <v>3870</v>
      </c>
      <c r="G570" s="13" t="s">
        <v>672</v>
      </c>
      <c r="H570" s="13" t="s">
        <v>2718</v>
      </c>
      <c r="J570" s="14" t="s">
        <v>3872</v>
      </c>
      <c r="K570" s="13" t="s">
        <v>3873</v>
      </c>
      <c r="L570" s="13" t="s">
        <v>2679</v>
      </c>
      <c r="M570" s="13" t="s">
        <v>3879</v>
      </c>
      <c r="O570" s="2">
        <v>0.57599999999999996</v>
      </c>
      <c r="R570" s="13">
        <v>124</v>
      </c>
      <c r="T570" s="13">
        <v>0</v>
      </c>
      <c r="U570" s="15">
        <v>0</v>
      </c>
      <c r="V570" s="13">
        <v>0</v>
      </c>
      <c r="W570" s="13">
        <v>59.8</v>
      </c>
      <c r="X570" s="13">
        <v>10.5</v>
      </c>
      <c r="AB570" s="13">
        <v>59.6</v>
      </c>
      <c r="AC570" s="13">
        <v>6.4</v>
      </c>
      <c r="AG570" s="13" t="s">
        <v>639</v>
      </c>
      <c r="BY570" s="13" t="s">
        <v>3548</v>
      </c>
      <c r="BZ570" s="13" t="s">
        <v>3549</v>
      </c>
      <c r="CA570" s="13">
        <v>2025</v>
      </c>
      <c r="CB570" s="21">
        <v>45694</v>
      </c>
      <c r="CC570" s="13" t="s">
        <v>195</v>
      </c>
      <c r="CG570" s="13" t="s">
        <v>3258</v>
      </c>
    </row>
    <row r="571" spans="1:85">
      <c r="A571" s="13" t="s">
        <v>3404</v>
      </c>
      <c r="C571" s="13" t="s">
        <v>3333</v>
      </c>
      <c r="D571" s="14"/>
      <c r="E571" s="14"/>
      <c r="F571" s="14"/>
      <c r="G571" s="13" t="s">
        <v>3881</v>
      </c>
      <c r="H571" s="13" t="s">
        <v>3882</v>
      </c>
      <c r="J571" s="14" t="s">
        <v>703</v>
      </c>
      <c r="K571" s="13" t="s">
        <v>3880</v>
      </c>
      <c r="BY571" s="13" t="s">
        <v>3550</v>
      </c>
      <c r="BZ571" s="13" t="s">
        <v>3551</v>
      </c>
      <c r="CA571" s="13">
        <v>2024</v>
      </c>
      <c r="CC571" s="13" t="s">
        <v>3552</v>
      </c>
      <c r="CD571" s="13">
        <v>147</v>
      </c>
      <c r="CE571" s="13">
        <v>5</v>
      </c>
      <c r="CF571" s="13" t="s">
        <v>3553</v>
      </c>
      <c r="CG571" s="13" t="s">
        <v>3259</v>
      </c>
    </row>
    <row r="572" spans="1:85">
      <c r="A572" s="13" t="s">
        <v>3405</v>
      </c>
      <c r="C572" s="13" t="s">
        <v>3334</v>
      </c>
      <c r="D572" s="14" t="s">
        <v>830</v>
      </c>
      <c r="E572" s="13" t="s">
        <v>630</v>
      </c>
      <c r="F572" s="13" t="s">
        <v>3888</v>
      </c>
      <c r="G572" s="13" t="s">
        <v>674</v>
      </c>
      <c r="H572" s="13" t="s">
        <v>3890</v>
      </c>
      <c r="J572" s="14" t="s">
        <v>703</v>
      </c>
      <c r="K572" s="13" t="s">
        <v>3889</v>
      </c>
      <c r="L572" s="13" t="s">
        <v>585</v>
      </c>
      <c r="N572" s="13">
        <v>25</v>
      </c>
      <c r="O572" s="2">
        <f>N572/R572</f>
        <v>0.54347826086956519</v>
      </c>
      <c r="R572" s="13">
        <v>46</v>
      </c>
      <c r="S572" s="13">
        <v>46</v>
      </c>
      <c r="AP572" s="13">
        <v>0.69</v>
      </c>
      <c r="BY572" s="13" t="s">
        <v>3554</v>
      </c>
      <c r="BZ572" s="13" t="s">
        <v>3555</v>
      </c>
      <c r="CA572" s="13">
        <v>2025</v>
      </c>
      <c r="CB572" s="13" t="s">
        <v>188</v>
      </c>
      <c r="CC572" s="13" t="s">
        <v>3556</v>
      </c>
      <c r="CD572" s="13">
        <v>93</v>
      </c>
      <c r="CF572" s="13">
        <v>102780</v>
      </c>
      <c r="CG572" s="13" t="s">
        <v>3260</v>
      </c>
    </row>
    <row r="573" spans="1:85">
      <c r="A573" s="13" t="s">
        <v>3406</v>
      </c>
      <c r="C573" s="13" t="s">
        <v>3335</v>
      </c>
      <c r="D573" s="16" t="s">
        <v>4179</v>
      </c>
      <c r="E573" s="14"/>
      <c r="F573" s="14"/>
      <c r="G573" s="13" t="s">
        <v>725</v>
      </c>
      <c r="H573" s="13" t="s">
        <v>3884</v>
      </c>
      <c r="J573" s="14"/>
      <c r="K573" s="14"/>
      <c r="BY573" s="13" t="s">
        <v>3557</v>
      </c>
      <c r="BZ573" s="13" t="s">
        <v>3558</v>
      </c>
      <c r="CA573" s="13">
        <v>2024</v>
      </c>
      <c r="CB573" s="21">
        <v>45996</v>
      </c>
      <c r="CC573" s="13" t="s">
        <v>64</v>
      </c>
      <c r="CF573" s="21">
        <v>45676</v>
      </c>
      <c r="CG573" s="13" t="s">
        <v>3261</v>
      </c>
    </row>
    <row r="574" spans="1:85">
      <c r="A574" s="13" t="s">
        <v>3407</v>
      </c>
      <c r="C574" s="13" t="s">
        <v>3883</v>
      </c>
      <c r="D574" s="16" t="s">
        <v>4179</v>
      </c>
      <c r="E574" s="14"/>
      <c r="F574" s="14"/>
      <c r="G574" s="13" t="s">
        <v>725</v>
      </c>
      <c r="H574" s="13" t="s">
        <v>2595</v>
      </c>
      <c r="J574" s="14"/>
      <c r="K574" s="14"/>
      <c r="BY574" s="13" t="s">
        <v>3559</v>
      </c>
      <c r="BZ574" s="13" t="s">
        <v>3558</v>
      </c>
      <c r="CA574" s="13">
        <v>2024</v>
      </c>
      <c r="CB574" s="13" t="s">
        <v>119</v>
      </c>
      <c r="CC574" s="13" t="s">
        <v>64</v>
      </c>
      <c r="CD574" s="13">
        <v>25</v>
      </c>
      <c r="CE574" s="21">
        <v>45783</v>
      </c>
      <c r="CF574" s="13" t="s">
        <v>3560</v>
      </c>
      <c r="CG574" s="13" t="s">
        <v>3262</v>
      </c>
    </row>
    <row r="575" spans="1:85">
      <c r="A575" s="13" t="s">
        <v>1721</v>
      </c>
      <c r="B575" s="13" t="s">
        <v>1879</v>
      </c>
      <c r="C575" s="13" t="s">
        <v>379</v>
      </c>
      <c r="D575" s="13" t="s">
        <v>2038</v>
      </c>
      <c r="E575" s="13" t="s">
        <v>924</v>
      </c>
      <c r="F575" s="13" t="s">
        <v>925</v>
      </c>
      <c r="G575" s="13" t="s">
        <v>672</v>
      </c>
      <c r="H575" s="13" t="s">
        <v>926</v>
      </c>
      <c r="J575" s="13" t="s">
        <v>855</v>
      </c>
      <c r="K575" s="13" t="s">
        <v>4091</v>
      </c>
      <c r="L575" s="13" t="s">
        <v>927</v>
      </c>
      <c r="N575" s="13">
        <v>31</v>
      </c>
      <c r="O575" s="2">
        <f t="shared" ref="O575:O606" si="52">N575/R575</f>
        <v>0.70454545454545459</v>
      </c>
      <c r="P575" s="13">
        <v>5</v>
      </c>
      <c r="Q575" s="17">
        <f t="shared" ref="Q575:Q617" si="53">P575/S575</f>
        <v>0.5</v>
      </c>
      <c r="R575" s="13">
        <v>44</v>
      </c>
      <c r="S575" s="13">
        <v>10</v>
      </c>
      <c r="W575" s="13">
        <v>63</v>
      </c>
      <c r="X575" s="13">
        <v>13.3</v>
      </c>
      <c r="AB575" s="13">
        <v>71.099999999999994</v>
      </c>
      <c r="AC575" s="13">
        <v>3.8</v>
      </c>
      <c r="AG575" s="13" t="s">
        <v>928</v>
      </c>
      <c r="BB575" s="13">
        <v>3635</v>
      </c>
      <c r="BC575" s="13">
        <v>5465</v>
      </c>
      <c r="BM575" s="13">
        <v>716</v>
      </c>
      <c r="BN575" s="13">
        <v>411</v>
      </c>
      <c r="BX575" s="13" t="s">
        <v>760</v>
      </c>
      <c r="BY575" s="13" t="s">
        <v>375</v>
      </c>
      <c r="BZ575" s="13" t="s">
        <v>376</v>
      </c>
      <c r="CA575" s="13">
        <v>2021</v>
      </c>
      <c r="CB575" s="21">
        <v>45473</v>
      </c>
      <c r="CC575" s="13" t="s">
        <v>377</v>
      </c>
      <c r="CD575" s="13">
        <v>21</v>
      </c>
      <c r="CE575" s="13">
        <v>1</v>
      </c>
      <c r="CF575" s="13">
        <v>255</v>
      </c>
      <c r="CG575" s="13" t="s">
        <v>378</v>
      </c>
    </row>
    <row r="576" spans="1:85">
      <c r="A576" s="13" t="s">
        <v>1880</v>
      </c>
      <c r="B576" s="13" t="s">
        <v>1880</v>
      </c>
      <c r="C576" s="14" t="s">
        <v>4132</v>
      </c>
      <c r="D576" s="14" t="s">
        <v>2757</v>
      </c>
      <c r="E576" s="13" t="s">
        <v>630</v>
      </c>
      <c r="F576" s="14" t="s">
        <v>2758</v>
      </c>
      <c r="G576" s="13" t="s">
        <v>672</v>
      </c>
      <c r="H576" s="13" t="s">
        <v>680</v>
      </c>
      <c r="J576" s="14" t="s">
        <v>669</v>
      </c>
      <c r="K576" s="14" t="s">
        <v>2780</v>
      </c>
      <c r="L576" s="13" t="s">
        <v>585</v>
      </c>
      <c r="N576" s="13">
        <v>13</v>
      </c>
      <c r="O576" s="2">
        <f t="shared" si="52"/>
        <v>0.56521739130434778</v>
      </c>
      <c r="P576" s="13">
        <v>19</v>
      </c>
      <c r="Q576" s="17">
        <f t="shared" si="53"/>
        <v>0.52777777777777779</v>
      </c>
      <c r="R576" s="13">
        <v>23</v>
      </c>
      <c r="S576" s="13">
        <v>36</v>
      </c>
      <c r="T576" s="13">
        <v>23</v>
      </c>
      <c r="V576" s="13">
        <v>23</v>
      </c>
      <c r="Y576" s="13">
        <v>55.6</v>
      </c>
      <c r="Z576" s="13">
        <v>49.8</v>
      </c>
      <c r="AA576" s="13">
        <v>68.7</v>
      </c>
      <c r="AD576" s="13">
        <v>39.1</v>
      </c>
      <c r="AE576" s="13">
        <v>29.2</v>
      </c>
      <c r="AF576" s="13">
        <v>49.6</v>
      </c>
      <c r="AG576" s="13" t="s">
        <v>639</v>
      </c>
      <c r="BG576" s="13">
        <v>13168</v>
      </c>
      <c r="BI576" s="13">
        <v>5356</v>
      </c>
      <c r="BJ576" s="13">
        <v>38734</v>
      </c>
      <c r="BR576" s="28">
        <v>1433</v>
      </c>
      <c r="BT576" s="13">
        <v>746</v>
      </c>
      <c r="BU576" s="13">
        <v>2278</v>
      </c>
      <c r="BY576" s="13" t="s">
        <v>1443</v>
      </c>
      <c r="BZ576" s="13" t="s">
        <v>1444</v>
      </c>
      <c r="CA576" s="13">
        <v>2019</v>
      </c>
      <c r="CB576" s="13" t="s">
        <v>73</v>
      </c>
      <c r="CC576" s="13" t="s">
        <v>1445</v>
      </c>
      <c r="CD576" s="13">
        <v>90</v>
      </c>
      <c r="CE576" s="13">
        <v>1</v>
      </c>
      <c r="CF576" s="13" t="s">
        <v>2171</v>
      </c>
      <c r="CG576" s="13" t="s">
        <v>1446</v>
      </c>
    </row>
    <row r="577" spans="1:85">
      <c r="A577" s="13" t="s">
        <v>1880</v>
      </c>
      <c r="B577" s="13" t="s">
        <v>1880</v>
      </c>
      <c r="C577" s="14" t="s">
        <v>4132</v>
      </c>
      <c r="D577" s="14" t="s">
        <v>2757</v>
      </c>
      <c r="E577" s="13" t="s">
        <v>630</v>
      </c>
      <c r="F577" s="14" t="s">
        <v>2758</v>
      </c>
      <c r="G577" s="13" t="s">
        <v>673</v>
      </c>
      <c r="H577" s="13" t="s">
        <v>680</v>
      </c>
      <c r="J577" s="14" t="s">
        <v>669</v>
      </c>
      <c r="K577" s="14" t="s">
        <v>2780</v>
      </c>
      <c r="L577" s="13" t="s">
        <v>585</v>
      </c>
      <c r="N577" s="13">
        <v>13</v>
      </c>
      <c r="O577" s="2">
        <f t="shared" si="52"/>
        <v>0.56521739130434778</v>
      </c>
      <c r="P577" s="13">
        <v>19</v>
      </c>
      <c r="Q577" s="17">
        <f t="shared" si="53"/>
        <v>0.52777777777777779</v>
      </c>
      <c r="R577" s="13">
        <v>23</v>
      </c>
      <c r="S577" s="13">
        <v>36</v>
      </c>
      <c r="T577" s="13">
        <v>23</v>
      </c>
      <c r="V577" s="13">
        <v>23</v>
      </c>
      <c r="Y577" s="13">
        <v>55.6</v>
      </c>
      <c r="Z577" s="13">
        <v>49.8</v>
      </c>
      <c r="AA577" s="13">
        <v>68.7</v>
      </c>
      <c r="AD577" s="13">
        <v>39.1</v>
      </c>
      <c r="AE577" s="13">
        <v>29.2</v>
      </c>
      <c r="AF577" s="13">
        <v>49.6</v>
      </c>
      <c r="AG577" s="13" t="s">
        <v>639</v>
      </c>
      <c r="BG577" s="13">
        <v>51850</v>
      </c>
      <c r="BI577" s="13">
        <v>21950</v>
      </c>
      <c r="BJ577" s="13">
        <v>60575</v>
      </c>
      <c r="BR577" s="28">
        <v>17750</v>
      </c>
      <c r="BT577" s="13">
        <v>11850</v>
      </c>
      <c r="BU577" s="13">
        <v>30950</v>
      </c>
      <c r="BY577" s="13" t="s">
        <v>1443</v>
      </c>
      <c r="BZ577" s="13" t="s">
        <v>1444</v>
      </c>
      <c r="CA577" s="13">
        <v>2019</v>
      </c>
      <c r="CB577" s="13" t="s">
        <v>73</v>
      </c>
      <c r="CC577" s="13" t="s">
        <v>1445</v>
      </c>
      <c r="CD577" s="13">
        <v>90</v>
      </c>
      <c r="CE577" s="13">
        <v>1</v>
      </c>
      <c r="CF577" s="13" t="s">
        <v>2171</v>
      </c>
      <c r="CG577" s="13" t="s">
        <v>1446</v>
      </c>
    </row>
    <row r="578" spans="1:85">
      <c r="A578" s="13" t="s">
        <v>1880</v>
      </c>
      <c r="B578" s="13" t="s">
        <v>1880</v>
      </c>
      <c r="C578" s="14" t="s">
        <v>4132</v>
      </c>
      <c r="D578" s="14" t="s">
        <v>2757</v>
      </c>
      <c r="E578" s="13" t="s">
        <v>630</v>
      </c>
      <c r="F578" s="14" t="s">
        <v>2758</v>
      </c>
      <c r="G578" s="13" t="s">
        <v>672</v>
      </c>
      <c r="H578" s="13" t="s">
        <v>675</v>
      </c>
      <c r="J578" s="14" t="s">
        <v>669</v>
      </c>
      <c r="K578" s="14" t="s">
        <v>2780</v>
      </c>
      <c r="L578" s="13" t="s">
        <v>585</v>
      </c>
      <c r="N578" s="13">
        <v>13</v>
      </c>
      <c r="O578" s="2">
        <f t="shared" si="52"/>
        <v>0.56521739130434778</v>
      </c>
      <c r="P578" s="13">
        <v>19</v>
      </c>
      <c r="Q578" s="17">
        <f t="shared" si="53"/>
        <v>0.52777777777777779</v>
      </c>
      <c r="R578" s="13">
        <v>23</v>
      </c>
      <c r="S578" s="13">
        <v>36</v>
      </c>
      <c r="T578" s="13">
        <v>23</v>
      </c>
      <c r="V578" s="13">
        <v>23</v>
      </c>
      <c r="Y578" s="13">
        <v>55.6</v>
      </c>
      <c r="Z578" s="13">
        <v>49.8</v>
      </c>
      <c r="AA578" s="13">
        <v>68.7</v>
      </c>
      <c r="AD578" s="13">
        <v>39.1</v>
      </c>
      <c r="AE578" s="13">
        <v>29.2</v>
      </c>
      <c r="AF578" s="13">
        <v>49.6</v>
      </c>
      <c r="AG578" s="13" t="s">
        <v>639</v>
      </c>
      <c r="BG578" s="13">
        <v>5240</v>
      </c>
      <c r="BI578" s="13">
        <v>2807</v>
      </c>
      <c r="BJ578" s="13">
        <v>12870</v>
      </c>
      <c r="BR578" s="28">
        <v>202</v>
      </c>
      <c r="BT578" s="13">
        <v>141</v>
      </c>
      <c r="BU578" s="13">
        <v>283</v>
      </c>
      <c r="BY578" s="13" t="s">
        <v>1443</v>
      </c>
      <c r="BZ578" s="13" t="s">
        <v>1444</v>
      </c>
      <c r="CA578" s="13">
        <v>2019</v>
      </c>
      <c r="CB578" s="13" t="s">
        <v>73</v>
      </c>
      <c r="CC578" s="13" t="s">
        <v>1445</v>
      </c>
      <c r="CD578" s="13">
        <v>90</v>
      </c>
      <c r="CE578" s="13">
        <v>1</v>
      </c>
      <c r="CF578" s="13" t="s">
        <v>2171</v>
      </c>
      <c r="CG578" s="13" t="s">
        <v>1446</v>
      </c>
    </row>
    <row r="579" spans="1:85">
      <c r="A579" s="13" t="s">
        <v>1880</v>
      </c>
      <c r="B579" s="13" t="s">
        <v>1880</v>
      </c>
      <c r="C579" s="14" t="s">
        <v>4132</v>
      </c>
      <c r="D579" s="14" t="s">
        <v>2757</v>
      </c>
      <c r="E579" s="13" t="s">
        <v>630</v>
      </c>
      <c r="F579" s="14" t="s">
        <v>2758</v>
      </c>
      <c r="G579" s="13" t="s">
        <v>672</v>
      </c>
      <c r="H579" s="13" t="s">
        <v>686</v>
      </c>
      <c r="J579" s="14" t="s">
        <v>669</v>
      </c>
      <c r="K579" s="14" t="s">
        <v>2780</v>
      </c>
      <c r="L579" s="13" t="s">
        <v>585</v>
      </c>
      <c r="N579" s="13">
        <v>13</v>
      </c>
      <c r="O579" s="2">
        <f t="shared" si="52"/>
        <v>0.56521739130434778</v>
      </c>
      <c r="P579" s="13">
        <v>19</v>
      </c>
      <c r="Q579" s="17">
        <f t="shared" si="53"/>
        <v>0.52777777777777779</v>
      </c>
      <c r="R579" s="13">
        <v>23</v>
      </c>
      <c r="S579" s="13">
        <v>36</v>
      </c>
      <c r="T579" s="13">
        <v>23</v>
      </c>
      <c r="V579" s="13">
        <v>23</v>
      </c>
      <c r="Y579" s="13">
        <v>55.6</v>
      </c>
      <c r="Z579" s="13">
        <v>49.8</v>
      </c>
      <c r="AA579" s="13">
        <v>68.7</v>
      </c>
      <c r="AD579" s="13">
        <v>39.1</v>
      </c>
      <c r="AE579" s="13">
        <v>29.2</v>
      </c>
      <c r="AF579" s="13">
        <v>49.6</v>
      </c>
      <c r="AG579" s="13" t="s">
        <v>639</v>
      </c>
      <c r="BG579" s="13">
        <v>2143</v>
      </c>
      <c r="BI579" s="13">
        <v>1362</v>
      </c>
      <c r="BJ579" s="13">
        <v>5101</v>
      </c>
      <c r="BR579" s="28">
        <v>188</v>
      </c>
      <c r="BT579" s="13">
        <v>188</v>
      </c>
      <c r="BU579" s="13">
        <v>188</v>
      </c>
      <c r="BY579" s="13" t="s">
        <v>1443</v>
      </c>
      <c r="BZ579" s="13" t="s">
        <v>1444</v>
      </c>
      <c r="CA579" s="13">
        <v>2019</v>
      </c>
      <c r="CB579" s="13" t="s">
        <v>73</v>
      </c>
      <c r="CC579" s="13" t="s">
        <v>1445</v>
      </c>
      <c r="CD579" s="13">
        <v>90</v>
      </c>
      <c r="CE579" s="13">
        <v>1</v>
      </c>
      <c r="CF579" s="13" t="s">
        <v>2171</v>
      </c>
      <c r="CG579" s="13" t="s">
        <v>1446</v>
      </c>
    </row>
    <row r="580" spans="1:85">
      <c r="A580" s="13" t="s">
        <v>1880</v>
      </c>
      <c r="B580" s="13" t="s">
        <v>1880</v>
      </c>
      <c r="C580" s="14" t="s">
        <v>4132</v>
      </c>
      <c r="D580" s="14" t="s">
        <v>2757</v>
      </c>
      <c r="E580" s="13" t="s">
        <v>630</v>
      </c>
      <c r="F580" s="14" t="s">
        <v>2758</v>
      </c>
      <c r="G580" s="13" t="s">
        <v>672</v>
      </c>
      <c r="H580" s="13" t="s">
        <v>679</v>
      </c>
      <c r="J580" s="14" t="s">
        <v>669</v>
      </c>
      <c r="K580" s="14" t="s">
        <v>2780</v>
      </c>
      <c r="L580" s="13" t="s">
        <v>585</v>
      </c>
      <c r="N580" s="13">
        <v>13</v>
      </c>
      <c r="O580" s="2">
        <f t="shared" si="52"/>
        <v>0.56521739130434778</v>
      </c>
      <c r="P580" s="13">
        <v>19</v>
      </c>
      <c r="Q580" s="17">
        <f t="shared" si="53"/>
        <v>0.52777777777777779</v>
      </c>
      <c r="R580" s="13">
        <v>23</v>
      </c>
      <c r="S580" s="13">
        <v>36</v>
      </c>
      <c r="T580" s="13">
        <v>23</v>
      </c>
      <c r="V580" s="13">
        <v>23</v>
      </c>
      <c r="Y580" s="13">
        <v>55.6</v>
      </c>
      <c r="Z580" s="13">
        <v>49.8</v>
      </c>
      <c r="AA580" s="13">
        <v>68.7</v>
      </c>
      <c r="AD580" s="13">
        <v>39.1</v>
      </c>
      <c r="AE580" s="13">
        <v>29.2</v>
      </c>
      <c r="AF580" s="13">
        <v>49.6</v>
      </c>
      <c r="AG580" s="13" t="s">
        <v>641</v>
      </c>
      <c r="BG580" s="13">
        <v>220</v>
      </c>
      <c r="BI580" s="13">
        <v>155</v>
      </c>
      <c r="BJ580" s="13">
        <v>409</v>
      </c>
      <c r="BR580" s="28">
        <v>141</v>
      </c>
      <c r="BT580" s="13">
        <v>126</v>
      </c>
      <c r="BU580" s="13">
        <v>180</v>
      </c>
      <c r="BY580" s="13" t="s">
        <v>1443</v>
      </c>
      <c r="BZ580" s="13" t="s">
        <v>1444</v>
      </c>
      <c r="CA580" s="13">
        <v>2019</v>
      </c>
      <c r="CB580" s="13" t="s">
        <v>73</v>
      </c>
      <c r="CC580" s="13" t="s">
        <v>1445</v>
      </c>
      <c r="CD580" s="13">
        <v>90</v>
      </c>
      <c r="CE580" s="13">
        <v>1</v>
      </c>
      <c r="CF580" s="13" t="s">
        <v>2171</v>
      </c>
      <c r="CG580" s="13" t="s">
        <v>1446</v>
      </c>
    </row>
    <row r="581" spans="1:85">
      <c r="A581" s="13" t="s">
        <v>1880</v>
      </c>
      <c r="B581" s="13" t="s">
        <v>1880</v>
      </c>
      <c r="C581" s="14" t="s">
        <v>4132</v>
      </c>
      <c r="D581" s="14" t="s">
        <v>2757</v>
      </c>
      <c r="E581" s="13" t="s">
        <v>630</v>
      </c>
      <c r="F581" s="14" t="s">
        <v>2758</v>
      </c>
      <c r="G581" s="13" t="s">
        <v>673</v>
      </c>
      <c r="H581" s="13" t="s">
        <v>679</v>
      </c>
      <c r="J581" s="14" t="s">
        <v>669</v>
      </c>
      <c r="K581" s="14" t="s">
        <v>2780</v>
      </c>
      <c r="L581" s="13" t="s">
        <v>585</v>
      </c>
      <c r="N581" s="13">
        <v>13</v>
      </c>
      <c r="O581" s="2">
        <f t="shared" si="52"/>
        <v>0.56521739130434778</v>
      </c>
      <c r="P581" s="13">
        <v>19</v>
      </c>
      <c r="Q581" s="17">
        <f t="shared" si="53"/>
        <v>0.52777777777777779</v>
      </c>
      <c r="R581" s="13">
        <v>23</v>
      </c>
      <c r="S581" s="13">
        <v>36</v>
      </c>
      <c r="T581" s="13">
        <v>23</v>
      </c>
      <c r="V581" s="13">
        <v>23</v>
      </c>
      <c r="Y581" s="13">
        <v>55.6</v>
      </c>
      <c r="Z581" s="13">
        <v>49.8</v>
      </c>
      <c r="AA581" s="13">
        <v>68.7</v>
      </c>
      <c r="AD581" s="13">
        <v>39.1</v>
      </c>
      <c r="AE581" s="13">
        <v>29.2</v>
      </c>
      <c r="AF581" s="13">
        <v>49.6</v>
      </c>
      <c r="AG581" s="13" t="s">
        <v>641</v>
      </c>
      <c r="BG581" s="13">
        <v>62</v>
      </c>
      <c r="BI581" s="13">
        <v>41.3</v>
      </c>
      <c r="BJ581" s="13">
        <v>136</v>
      </c>
      <c r="BR581" s="28">
        <v>55</v>
      </c>
      <c r="BT581" s="13">
        <v>43.5</v>
      </c>
      <c r="BU581" s="13">
        <v>68.5</v>
      </c>
      <c r="BY581" s="13" t="s">
        <v>1443</v>
      </c>
      <c r="BZ581" s="13" t="s">
        <v>1444</v>
      </c>
      <c r="CA581" s="13">
        <v>2019</v>
      </c>
      <c r="CB581" s="13" t="s">
        <v>73</v>
      </c>
      <c r="CC581" s="13" t="s">
        <v>1445</v>
      </c>
      <c r="CD581" s="13">
        <v>90</v>
      </c>
      <c r="CE581" s="13">
        <v>1</v>
      </c>
      <c r="CF581" s="13" t="s">
        <v>2171</v>
      </c>
      <c r="CG581" s="13" t="s">
        <v>1446</v>
      </c>
    </row>
    <row r="582" spans="1:85">
      <c r="A582" s="13" t="s">
        <v>1880</v>
      </c>
      <c r="B582" s="13" t="s">
        <v>1880</v>
      </c>
      <c r="C582" s="14" t="s">
        <v>4132</v>
      </c>
      <c r="D582" s="14" t="s">
        <v>2757</v>
      </c>
      <c r="E582" s="13" t="s">
        <v>630</v>
      </c>
      <c r="F582" s="14" t="s">
        <v>2758</v>
      </c>
      <c r="G582" s="13" t="s">
        <v>672</v>
      </c>
      <c r="H582" s="13" t="s">
        <v>758</v>
      </c>
      <c r="J582" s="14" t="s">
        <v>669</v>
      </c>
      <c r="K582" s="14" t="s">
        <v>2780</v>
      </c>
      <c r="L582" s="13" t="s">
        <v>585</v>
      </c>
      <c r="N582" s="13">
        <v>13</v>
      </c>
      <c r="O582" s="2">
        <f t="shared" si="52"/>
        <v>0.56521739130434778</v>
      </c>
      <c r="P582" s="13">
        <v>19</v>
      </c>
      <c r="Q582" s="17">
        <f t="shared" si="53"/>
        <v>0.52777777777777779</v>
      </c>
      <c r="R582" s="13">
        <v>23</v>
      </c>
      <c r="S582" s="13">
        <v>36</v>
      </c>
      <c r="T582" s="13">
        <v>23</v>
      </c>
      <c r="V582" s="13">
        <v>23</v>
      </c>
      <c r="Y582" s="13">
        <v>55.6</v>
      </c>
      <c r="Z582" s="13">
        <v>49.8</v>
      </c>
      <c r="AA582" s="13">
        <v>68.7</v>
      </c>
      <c r="AD582" s="13">
        <v>39.1</v>
      </c>
      <c r="AE582" s="13">
        <v>29.2</v>
      </c>
      <c r="AF582" s="13">
        <v>49.6</v>
      </c>
      <c r="AG582" s="13" t="s">
        <v>639</v>
      </c>
      <c r="BG582" s="13">
        <v>593</v>
      </c>
      <c r="BI582" s="13">
        <v>353</v>
      </c>
      <c r="BJ582" s="13">
        <v>806</v>
      </c>
      <c r="BR582" s="28">
        <v>404</v>
      </c>
      <c r="BT582" s="13">
        <v>358</v>
      </c>
      <c r="BU582" s="13">
        <v>596</v>
      </c>
      <c r="BY582" s="13" t="s">
        <v>1443</v>
      </c>
      <c r="BZ582" s="13" t="s">
        <v>1444</v>
      </c>
      <c r="CA582" s="13">
        <v>2019</v>
      </c>
      <c r="CB582" s="13" t="s">
        <v>73</v>
      </c>
      <c r="CC582" s="13" t="s">
        <v>1445</v>
      </c>
      <c r="CD582" s="13">
        <v>90</v>
      </c>
      <c r="CE582" s="13">
        <v>1</v>
      </c>
      <c r="CF582" s="13" t="s">
        <v>2171</v>
      </c>
      <c r="CG582" s="13" t="s">
        <v>1446</v>
      </c>
    </row>
    <row r="583" spans="1:85">
      <c r="A583" s="13" t="s">
        <v>1880</v>
      </c>
      <c r="B583" s="13" t="s">
        <v>1880</v>
      </c>
      <c r="C583" s="14" t="s">
        <v>4132</v>
      </c>
      <c r="D583" s="14" t="s">
        <v>2757</v>
      </c>
      <c r="E583" s="13" t="s">
        <v>630</v>
      </c>
      <c r="F583" s="14" t="s">
        <v>2758</v>
      </c>
      <c r="G583" s="13" t="s">
        <v>673</v>
      </c>
      <c r="H583" s="13" t="s">
        <v>758</v>
      </c>
      <c r="J583" s="14" t="s">
        <v>669</v>
      </c>
      <c r="K583" s="14" t="s">
        <v>2780</v>
      </c>
      <c r="L583" s="13" t="s">
        <v>585</v>
      </c>
      <c r="N583" s="13">
        <v>13</v>
      </c>
      <c r="O583" s="2">
        <f t="shared" si="52"/>
        <v>0.56521739130434778</v>
      </c>
      <c r="P583" s="13">
        <v>19</v>
      </c>
      <c r="Q583" s="17">
        <f t="shared" si="53"/>
        <v>0.52777777777777779</v>
      </c>
      <c r="R583" s="13">
        <v>23</v>
      </c>
      <c r="S583" s="13">
        <v>36</v>
      </c>
      <c r="T583" s="13">
        <v>23</v>
      </c>
      <c r="V583" s="13">
        <v>23</v>
      </c>
      <c r="Y583" s="13">
        <v>55.6</v>
      </c>
      <c r="Z583" s="13">
        <v>49.8</v>
      </c>
      <c r="AA583" s="13">
        <v>68.7</v>
      </c>
      <c r="AD583" s="13">
        <v>39.1</v>
      </c>
      <c r="AE583" s="13">
        <v>29.2</v>
      </c>
      <c r="AF583" s="13">
        <v>49.6</v>
      </c>
      <c r="AG583" s="13" t="s">
        <v>639</v>
      </c>
      <c r="BG583" s="13">
        <v>93.8</v>
      </c>
      <c r="BI583" s="13">
        <v>65.8</v>
      </c>
      <c r="BJ583" s="13">
        <v>162</v>
      </c>
      <c r="BR583" s="28">
        <v>111</v>
      </c>
      <c r="BT583" s="13">
        <v>88.8</v>
      </c>
      <c r="BU583" s="13">
        <v>121</v>
      </c>
      <c r="BY583" s="13" t="s">
        <v>1443</v>
      </c>
      <c r="BZ583" s="13" t="s">
        <v>1444</v>
      </c>
      <c r="CA583" s="13">
        <v>2019</v>
      </c>
      <c r="CB583" s="13" t="s">
        <v>73</v>
      </c>
      <c r="CC583" s="13" t="s">
        <v>1445</v>
      </c>
      <c r="CD583" s="13">
        <v>90</v>
      </c>
      <c r="CE583" s="13">
        <v>1</v>
      </c>
      <c r="CF583" s="13" t="s">
        <v>2171</v>
      </c>
      <c r="CG583" s="13" t="s">
        <v>1446</v>
      </c>
    </row>
    <row r="584" spans="1:85">
      <c r="A584" s="13" t="s">
        <v>1880</v>
      </c>
      <c r="B584" s="13" t="s">
        <v>1880</v>
      </c>
      <c r="C584" s="14" t="s">
        <v>4132</v>
      </c>
      <c r="D584" s="14" t="s">
        <v>2757</v>
      </c>
      <c r="E584" s="13" t="s">
        <v>3212</v>
      </c>
      <c r="F584" s="14" t="s">
        <v>2758</v>
      </c>
      <c r="G584" s="13" t="s">
        <v>672</v>
      </c>
      <c r="H584" s="13" t="s">
        <v>680</v>
      </c>
      <c r="J584" s="14" t="s">
        <v>669</v>
      </c>
      <c r="K584" s="27" t="s">
        <v>2780</v>
      </c>
      <c r="L584" s="13" t="s">
        <v>585</v>
      </c>
      <c r="N584" s="13">
        <v>13</v>
      </c>
      <c r="O584" s="2">
        <f t="shared" si="52"/>
        <v>0.56521739130434778</v>
      </c>
      <c r="P584" s="13">
        <v>8</v>
      </c>
      <c r="Q584" s="17">
        <f t="shared" si="53"/>
        <v>0.30769230769230771</v>
      </c>
      <c r="R584" s="13">
        <v>23</v>
      </c>
      <c r="S584" s="13">
        <v>26</v>
      </c>
      <c r="T584" s="13">
        <v>23</v>
      </c>
      <c r="V584" s="13">
        <v>23</v>
      </c>
      <c r="Y584" s="13">
        <v>55.6</v>
      </c>
      <c r="Z584" s="13">
        <v>49.8</v>
      </c>
      <c r="AA584" s="13">
        <v>68.7</v>
      </c>
      <c r="AD584" s="13">
        <v>42.9</v>
      </c>
      <c r="AE584" s="13">
        <v>30.7</v>
      </c>
      <c r="AF584" s="13">
        <v>51</v>
      </c>
      <c r="AG584" s="13" t="s">
        <v>639</v>
      </c>
      <c r="BG584" s="13">
        <v>13168</v>
      </c>
      <c r="BI584" s="13">
        <v>5356</v>
      </c>
      <c r="BJ584" s="13">
        <v>38734</v>
      </c>
      <c r="BR584" s="13">
        <v>2075</v>
      </c>
      <c r="BT584" s="13">
        <v>1020</v>
      </c>
      <c r="BU584" s="13">
        <v>3060</v>
      </c>
      <c r="BY584" s="13" t="s">
        <v>1443</v>
      </c>
      <c r="BZ584" s="13" t="s">
        <v>1444</v>
      </c>
      <c r="CA584" s="13">
        <v>2019</v>
      </c>
      <c r="CB584" s="13" t="s">
        <v>73</v>
      </c>
      <c r="CC584" s="13" t="s">
        <v>1445</v>
      </c>
      <c r="CD584" s="13">
        <v>90</v>
      </c>
      <c r="CE584" s="13">
        <v>1</v>
      </c>
      <c r="CF584" s="13" t="s">
        <v>2171</v>
      </c>
      <c r="CG584" s="13" t="s">
        <v>1446</v>
      </c>
    </row>
    <row r="585" spans="1:85">
      <c r="A585" s="13" t="s">
        <v>1880</v>
      </c>
      <c r="B585" s="13" t="s">
        <v>1880</v>
      </c>
      <c r="C585" s="14" t="s">
        <v>4132</v>
      </c>
      <c r="D585" s="14" t="s">
        <v>2757</v>
      </c>
      <c r="E585" s="13" t="s">
        <v>3212</v>
      </c>
      <c r="F585" s="14" t="s">
        <v>2758</v>
      </c>
      <c r="G585" s="13" t="s">
        <v>673</v>
      </c>
      <c r="H585" s="13" t="s">
        <v>680</v>
      </c>
      <c r="J585" s="14" t="s">
        <v>669</v>
      </c>
      <c r="K585" s="27" t="s">
        <v>2780</v>
      </c>
      <c r="L585" s="13" t="s">
        <v>585</v>
      </c>
      <c r="N585" s="13">
        <v>13</v>
      </c>
      <c r="O585" s="2">
        <f t="shared" si="52"/>
        <v>0.56521739130434778</v>
      </c>
      <c r="P585" s="13">
        <v>8</v>
      </c>
      <c r="Q585" s="17">
        <f t="shared" si="53"/>
        <v>0.30769230769230771</v>
      </c>
      <c r="R585" s="13">
        <v>23</v>
      </c>
      <c r="S585" s="13">
        <v>26</v>
      </c>
      <c r="T585" s="13">
        <v>23</v>
      </c>
      <c r="V585" s="13">
        <v>23</v>
      </c>
      <c r="Y585" s="13">
        <v>55.6</v>
      </c>
      <c r="Z585" s="13">
        <v>49.8</v>
      </c>
      <c r="AA585" s="13">
        <v>68.7</v>
      </c>
      <c r="AD585" s="13">
        <v>42.9</v>
      </c>
      <c r="AE585" s="13">
        <v>30.7</v>
      </c>
      <c r="AF585" s="13">
        <v>51</v>
      </c>
      <c r="AG585" s="13" t="s">
        <v>639</v>
      </c>
      <c r="BG585" s="13">
        <v>51850</v>
      </c>
      <c r="BI585" s="13">
        <v>21950</v>
      </c>
      <c r="BJ585" s="13">
        <v>60575</v>
      </c>
      <c r="BR585" s="13">
        <v>20975</v>
      </c>
      <c r="BT585" s="13">
        <v>12325</v>
      </c>
      <c r="BU585" s="13">
        <v>30288</v>
      </c>
      <c r="BY585" s="13" t="s">
        <v>1443</v>
      </c>
      <c r="BZ585" s="13" t="s">
        <v>1444</v>
      </c>
      <c r="CA585" s="13">
        <v>2019</v>
      </c>
      <c r="CB585" s="13" t="s">
        <v>73</v>
      </c>
      <c r="CC585" s="13" t="s">
        <v>1445</v>
      </c>
      <c r="CD585" s="13">
        <v>90</v>
      </c>
      <c r="CE585" s="13">
        <v>1</v>
      </c>
      <c r="CF585" s="13" t="s">
        <v>2171</v>
      </c>
      <c r="CG585" s="13" t="s">
        <v>1446</v>
      </c>
    </row>
    <row r="586" spans="1:85">
      <c r="A586" s="13" t="s">
        <v>1880</v>
      </c>
      <c r="B586" s="13" t="s">
        <v>1880</v>
      </c>
      <c r="C586" s="14" t="s">
        <v>4132</v>
      </c>
      <c r="D586" s="14" t="s">
        <v>2757</v>
      </c>
      <c r="E586" s="13" t="s">
        <v>3212</v>
      </c>
      <c r="F586" s="14" t="s">
        <v>2758</v>
      </c>
      <c r="G586" s="13" t="s">
        <v>672</v>
      </c>
      <c r="H586" s="13" t="s">
        <v>675</v>
      </c>
      <c r="J586" s="14" t="s">
        <v>669</v>
      </c>
      <c r="K586" s="27" t="s">
        <v>2780</v>
      </c>
      <c r="L586" s="13" t="s">
        <v>585</v>
      </c>
      <c r="N586" s="13">
        <v>13</v>
      </c>
      <c r="O586" s="2">
        <f t="shared" si="52"/>
        <v>0.56521739130434778</v>
      </c>
      <c r="P586" s="13">
        <v>8</v>
      </c>
      <c r="Q586" s="17">
        <f t="shared" si="53"/>
        <v>0.30769230769230771</v>
      </c>
      <c r="R586" s="13">
        <v>23</v>
      </c>
      <c r="S586" s="13">
        <v>26</v>
      </c>
      <c r="T586" s="13">
        <v>23</v>
      </c>
      <c r="V586" s="13">
        <v>23</v>
      </c>
      <c r="Y586" s="13">
        <v>55.6</v>
      </c>
      <c r="Z586" s="13">
        <v>49.8</v>
      </c>
      <c r="AA586" s="13">
        <v>68.7</v>
      </c>
      <c r="AD586" s="13">
        <v>42.9</v>
      </c>
      <c r="AE586" s="13">
        <v>30.7</v>
      </c>
      <c r="AF586" s="13">
        <v>51</v>
      </c>
      <c r="AG586" s="13" t="s">
        <v>639</v>
      </c>
      <c r="BG586" s="13">
        <v>5240</v>
      </c>
      <c r="BI586" s="13">
        <v>2807</v>
      </c>
      <c r="BJ586" s="13">
        <v>12870</v>
      </c>
      <c r="BR586" s="13">
        <v>210</v>
      </c>
      <c r="BT586" s="13">
        <v>97</v>
      </c>
      <c r="BU586" s="13">
        <v>281</v>
      </c>
      <c r="BY586" s="13" t="s">
        <v>1443</v>
      </c>
      <c r="BZ586" s="13" t="s">
        <v>1444</v>
      </c>
      <c r="CA586" s="13">
        <v>2019</v>
      </c>
      <c r="CB586" s="13" t="s">
        <v>73</v>
      </c>
      <c r="CC586" s="13" t="s">
        <v>1445</v>
      </c>
      <c r="CD586" s="13">
        <v>90</v>
      </c>
      <c r="CE586" s="13">
        <v>1</v>
      </c>
      <c r="CF586" s="13" t="s">
        <v>2171</v>
      </c>
      <c r="CG586" s="13" t="s">
        <v>1446</v>
      </c>
    </row>
    <row r="587" spans="1:85">
      <c r="A587" s="13" t="s">
        <v>1880</v>
      </c>
      <c r="B587" s="13" t="s">
        <v>1880</v>
      </c>
      <c r="C587" s="14" t="s">
        <v>4132</v>
      </c>
      <c r="D587" s="14" t="s">
        <v>2757</v>
      </c>
      <c r="E587" s="13" t="s">
        <v>3212</v>
      </c>
      <c r="F587" s="14" t="s">
        <v>2758</v>
      </c>
      <c r="G587" s="13" t="s">
        <v>672</v>
      </c>
      <c r="H587" s="13" t="s">
        <v>686</v>
      </c>
      <c r="J587" s="14" t="s">
        <v>669</v>
      </c>
      <c r="K587" s="27" t="s">
        <v>2780</v>
      </c>
      <c r="L587" s="13" t="s">
        <v>585</v>
      </c>
      <c r="N587" s="13">
        <v>13</v>
      </c>
      <c r="O587" s="2">
        <f t="shared" si="52"/>
        <v>0.56521739130434778</v>
      </c>
      <c r="P587" s="13">
        <v>8</v>
      </c>
      <c r="Q587" s="17">
        <f t="shared" si="53"/>
        <v>0.30769230769230771</v>
      </c>
      <c r="R587" s="13">
        <v>23</v>
      </c>
      <c r="S587" s="13">
        <v>26</v>
      </c>
      <c r="T587" s="13">
        <v>23</v>
      </c>
      <c r="V587" s="13">
        <v>23</v>
      </c>
      <c r="Y587" s="13">
        <v>55.6</v>
      </c>
      <c r="Z587" s="13">
        <v>49.8</v>
      </c>
      <c r="AA587" s="13">
        <v>68.7</v>
      </c>
      <c r="AD587" s="13">
        <v>42.9</v>
      </c>
      <c r="AE587" s="13">
        <v>30.7</v>
      </c>
      <c r="AF587" s="13">
        <v>51</v>
      </c>
      <c r="AG587" s="13" t="s">
        <v>639</v>
      </c>
      <c r="BG587" s="13">
        <v>2143</v>
      </c>
      <c r="BI587" s="13">
        <v>1362</v>
      </c>
      <c r="BJ587" s="13">
        <v>5101</v>
      </c>
      <c r="BR587" s="13">
        <v>188</v>
      </c>
      <c r="BT587" s="13">
        <v>188</v>
      </c>
      <c r="BU587" s="13">
        <v>188</v>
      </c>
      <c r="BY587" s="13" t="s">
        <v>1443</v>
      </c>
      <c r="BZ587" s="13" t="s">
        <v>1444</v>
      </c>
      <c r="CA587" s="13">
        <v>2019</v>
      </c>
      <c r="CB587" s="13" t="s">
        <v>73</v>
      </c>
      <c r="CC587" s="13" t="s">
        <v>1445</v>
      </c>
      <c r="CD587" s="13">
        <v>90</v>
      </c>
      <c r="CE587" s="13">
        <v>1</v>
      </c>
      <c r="CF587" s="13" t="s">
        <v>2171</v>
      </c>
      <c r="CG587" s="13" t="s">
        <v>1446</v>
      </c>
    </row>
    <row r="588" spans="1:85">
      <c r="A588" s="13" t="s">
        <v>1880</v>
      </c>
      <c r="B588" s="13" t="s">
        <v>1880</v>
      </c>
      <c r="C588" s="14" t="s">
        <v>4132</v>
      </c>
      <c r="D588" s="14" t="s">
        <v>2757</v>
      </c>
      <c r="E588" s="13" t="s">
        <v>3212</v>
      </c>
      <c r="F588" s="14" t="s">
        <v>2758</v>
      </c>
      <c r="G588" s="13" t="s">
        <v>672</v>
      </c>
      <c r="H588" s="13" t="s">
        <v>679</v>
      </c>
      <c r="J588" s="14" t="s">
        <v>669</v>
      </c>
      <c r="K588" s="27" t="s">
        <v>2780</v>
      </c>
      <c r="L588" s="13" t="s">
        <v>585</v>
      </c>
      <c r="N588" s="13">
        <v>13</v>
      </c>
      <c r="O588" s="2">
        <f t="shared" si="52"/>
        <v>0.56521739130434778</v>
      </c>
      <c r="P588" s="13">
        <v>8</v>
      </c>
      <c r="Q588" s="17">
        <f t="shared" si="53"/>
        <v>0.30769230769230771</v>
      </c>
      <c r="R588" s="13">
        <v>23</v>
      </c>
      <c r="S588" s="13">
        <v>26</v>
      </c>
      <c r="T588" s="13">
        <v>23</v>
      </c>
      <c r="V588" s="13">
        <v>23</v>
      </c>
      <c r="Y588" s="13">
        <v>55.6</v>
      </c>
      <c r="Z588" s="13">
        <v>49.8</v>
      </c>
      <c r="AA588" s="13">
        <v>68.7</v>
      </c>
      <c r="AD588" s="13">
        <v>42.9</v>
      </c>
      <c r="AE588" s="13">
        <v>30.7</v>
      </c>
      <c r="AF588" s="13">
        <v>51</v>
      </c>
      <c r="AG588" s="13" t="s">
        <v>641</v>
      </c>
      <c r="BG588" s="13">
        <v>220</v>
      </c>
      <c r="BI588" s="13">
        <v>155</v>
      </c>
      <c r="BJ588" s="13">
        <v>409</v>
      </c>
      <c r="BR588" s="13">
        <v>153</v>
      </c>
      <c r="BT588" s="13">
        <v>108</v>
      </c>
      <c r="BU588" s="13">
        <v>165</v>
      </c>
      <c r="BY588" s="13" t="s">
        <v>1443</v>
      </c>
      <c r="BZ588" s="13" t="s">
        <v>1444</v>
      </c>
      <c r="CA588" s="13">
        <v>2019</v>
      </c>
      <c r="CB588" s="13" t="s">
        <v>73</v>
      </c>
      <c r="CC588" s="13" t="s">
        <v>1445</v>
      </c>
      <c r="CD588" s="13">
        <v>90</v>
      </c>
      <c r="CE588" s="13">
        <v>1</v>
      </c>
      <c r="CF588" s="13" t="s">
        <v>2171</v>
      </c>
      <c r="CG588" s="13" t="s">
        <v>1446</v>
      </c>
    </row>
    <row r="589" spans="1:85">
      <c r="A589" s="13" t="s">
        <v>1880</v>
      </c>
      <c r="B589" s="13" t="s">
        <v>1880</v>
      </c>
      <c r="C589" s="14" t="s">
        <v>4132</v>
      </c>
      <c r="D589" s="14" t="s">
        <v>2757</v>
      </c>
      <c r="E589" s="13" t="s">
        <v>3212</v>
      </c>
      <c r="F589" s="14" t="s">
        <v>2758</v>
      </c>
      <c r="G589" s="13" t="s">
        <v>673</v>
      </c>
      <c r="H589" s="13" t="s">
        <v>679</v>
      </c>
      <c r="J589" s="14" t="s">
        <v>669</v>
      </c>
      <c r="K589" s="27" t="s">
        <v>2780</v>
      </c>
      <c r="L589" s="13" t="s">
        <v>585</v>
      </c>
      <c r="N589" s="13">
        <v>13</v>
      </c>
      <c r="O589" s="2">
        <f t="shared" si="52"/>
        <v>0.56521739130434778</v>
      </c>
      <c r="P589" s="13">
        <v>8</v>
      </c>
      <c r="Q589" s="17">
        <f t="shared" si="53"/>
        <v>0.30769230769230771</v>
      </c>
      <c r="R589" s="13">
        <v>23</v>
      </c>
      <c r="S589" s="13">
        <v>26</v>
      </c>
      <c r="T589" s="13">
        <v>23</v>
      </c>
      <c r="V589" s="13">
        <v>23</v>
      </c>
      <c r="Y589" s="13">
        <v>55.6</v>
      </c>
      <c r="Z589" s="13">
        <v>49.8</v>
      </c>
      <c r="AA589" s="13">
        <v>68.7</v>
      </c>
      <c r="AD589" s="13">
        <v>42.9</v>
      </c>
      <c r="AE589" s="13">
        <v>30.7</v>
      </c>
      <c r="AF589" s="13">
        <v>51</v>
      </c>
      <c r="AG589" s="13" t="s">
        <v>641</v>
      </c>
      <c r="BG589" s="13">
        <v>62</v>
      </c>
      <c r="BI589" s="13">
        <v>41.3</v>
      </c>
      <c r="BJ589" s="13">
        <v>136</v>
      </c>
      <c r="BR589" s="13">
        <v>54.5</v>
      </c>
      <c r="BT589" s="13">
        <v>44</v>
      </c>
      <c r="BU589" s="13">
        <v>60</v>
      </c>
      <c r="BY589" s="13" t="s">
        <v>1443</v>
      </c>
      <c r="BZ589" s="13" t="s">
        <v>1444</v>
      </c>
      <c r="CA589" s="13">
        <v>2019</v>
      </c>
      <c r="CB589" s="13" t="s">
        <v>73</v>
      </c>
      <c r="CC589" s="13" t="s">
        <v>1445</v>
      </c>
      <c r="CD589" s="13">
        <v>90</v>
      </c>
      <c r="CE589" s="13">
        <v>1</v>
      </c>
      <c r="CF589" s="13" t="s">
        <v>2171</v>
      </c>
      <c r="CG589" s="13" t="s">
        <v>1446</v>
      </c>
    </row>
    <row r="590" spans="1:85">
      <c r="A590" s="13" t="s">
        <v>1880</v>
      </c>
      <c r="B590" s="13" t="s">
        <v>1880</v>
      </c>
      <c r="C590" s="14" t="s">
        <v>4132</v>
      </c>
      <c r="D590" s="14" t="s">
        <v>2757</v>
      </c>
      <c r="E590" s="13" t="s">
        <v>3212</v>
      </c>
      <c r="F590" s="14" t="s">
        <v>2758</v>
      </c>
      <c r="G590" s="13" t="s">
        <v>672</v>
      </c>
      <c r="H590" s="13" t="s">
        <v>758</v>
      </c>
      <c r="J590" s="14" t="s">
        <v>669</v>
      </c>
      <c r="K590" s="27" t="s">
        <v>2780</v>
      </c>
      <c r="L590" s="13" t="s">
        <v>585</v>
      </c>
      <c r="N590" s="13">
        <v>13</v>
      </c>
      <c r="O590" s="2">
        <f t="shared" si="52"/>
        <v>0.56521739130434778</v>
      </c>
      <c r="P590" s="13">
        <v>8</v>
      </c>
      <c r="Q590" s="17">
        <f t="shared" si="53"/>
        <v>0.30769230769230771</v>
      </c>
      <c r="R590" s="13">
        <v>23</v>
      </c>
      <c r="S590" s="13">
        <v>26</v>
      </c>
      <c r="T590" s="13">
        <v>23</v>
      </c>
      <c r="V590" s="13">
        <v>23</v>
      </c>
      <c r="Y590" s="13">
        <v>55.6</v>
      </c>
      <c r="Z590" s="13">
        <v>49.8</v>
      </c>
      <c r="AA590" s="13">
        <v>68.7</v>
      </c>
      <c r="AD590" s="13">
        <v>42.9</v>
      </c>
      <c r="AE590" s="13">
        <v>30.7</v>
      </c>
      <c r="AF590" s="13">
        <v>51</v>
      </c>
      <c r="AG590" s="13" t="s">
        <v>639</v>
      </c>
      <c r="BG590" s="13">
        <v>593</v>
      </c>
      <c r="BI590" s="13">
        <v>353</v>
      </c>
      <c r="BJ590" s="13">
        <v>806</v>
      </c>
      <c r="BR590" s="13">
        <v>414</v>
      </c>
      <c r="BT590" s="13">
        <v>287</v>
      </c>
      <c r="BU590" s="13">
        <v>517</v>
      </c>
      <c r="BY590" s="13" t="s">
        <v>1443</v>
      </c>
      <c r="BZ590" s="13" t="s">
        <v>1444</v>
      </c>
      <c r="CA590" s="13">
        <v>2019</v>
      </c>
      <c r="CB590" s="13" t="s">
        <v>73</v>
      </c>
      <c r="CC590" s="13" t="s">
        <v>1445</v>
      </c>
      <c r="CD590" s="13">
        <v>90</v>
      </c>
      <c r="CE590" s="13">
        <v>1</v>
      </c>
      <c r="CF590" s="13" t="s">
        <v>2171</v>
      </c>
      <c r="CG590" s="13" t="s">
        <v>1446</v>
      </c>
    </row>
    <row r="591" spans="1:85">
      <c r="A591" s="13" t="s">
        <v>1880</v>
      </c>
      <c r="B591" s="13" t="s">
        <v>1880</v>
      </c>
      <c r="C591" s="14" t="s">
        <v>4132</v>
      </c>
      <c r="D591" s="14" t="s">
        <v>2757</v>
      </c>
      <c r="E591" s="13" t="s">
        <v>3212</v>
      </c>
      <c r="F591" s="14" t="s">
        <v>2758</v>
      </c>
      <c r="G591" s="13" t="s">
        <v>673</v>
      </c>
      <c r="H591" s="13" t="s">
        <v>758</v>
      </c>
      <c r="J591" s="14" t="s">
        <v>669</v>
      </c>
      <c r="K591" s="27" t="s">
        <v>2780</v>
      </c>
      <c r="L591" s="13" t="s">
        <v>585</v>
      </c>
      <c r="N591" s="13">
        <v>13</v>
      </c>
      <c r="O591" s="2">
        <f t="shared" si="52"/>
        <v>0.56521739130434778</v>
      </c>
      <c r="P591" s="13">
        <v>8</v>
      </c>
      <c r="Q591" s="17">
        <f t="shared" si="53"/>
        <v>0.30769230769230771</v>
      </c>
      <c r="R591" s="13">
        <v>23</v>
      </c>
      <c r="S591" s="13">
        <v>26</v>
      </c>
      <c r="T591" s="13">
        <v>23</v>
      </c>
      <c r="V591" s="13">
        <v>23</v>
      </c>
      <c r="Y591" s="13">
        <v>55.6</v>
      </c>
      <c r="Z591" s="13">
        <v>49.8</v>
      </c>
      <c r="AA591" s="13">
        <v>68.7</v>
      </c>
      <c r="AD591" s="13">
        <v>42.9</v>
      </c>
      <c r="AE591" s="13">
        <v>30.7</v>
      </c>
      <c r="AF591" s="13">
        <v>51</v>
      </c>
      <c r="AG591" s="13" t="s">
        <v>639</v>
      </c>
      <c r="BG591" s="13">
        <v>93.8</v>
      </c>
      <c r="BI591" s="13">
        <v>65.8</v>
      </c>
      <c r="BJ591" s="13">
        <v>162</v>
      </c>
      <c r="BR591" s="13">
        <v>100</v>
      </c>
      <c r="BT591" s="13">
        <v>83.2</v>
      </c>
      <c r="BU591" s="13">
        <v>134</v>
      </c>
      <c r="BY591" s="13" t="s">
        <v>1443</v>
      </c>
      <c r="BZ591" s="13" t="s">
        <v>1444</v>
      </c>
      <c r="CA591" s="13">
        <v>2019</v>
      </c>
      <c r="CB591" s="13" t="s">
        <v>73</v>
      </c>
      <c r="CC591" s="13" t="s">
        <v>1445</v>
      </c>
      <c r="CD591" s="13">
        <v>90</v>
      </c>
      <c r="CE591" s="13">
        <v>1</v>
      </c>
      <c r="CF591" s="13" t="s">
        <v>2171</v>
      </c>
      <c r="CG591" s="13" t="s">
        <v>1446</v>
      </c>
    </row>
    <row r="592" spans="1:85">
      <c r="A592" s="13" t="s">
        <v>1880</v>
      </c>
      <c r="B592" s="13" t="s">
        <v>1880</v>
      </c>
      <c r="C592" s="29" t="s">
        <v>4134</v>
      </c>
      <c r="D592" s="14" t="s">
        <v>4135</v>
      </c>
      <c r="E592" s="13" t="s">
        <v>4105</v>
      </c>
      <c r="F592" s="14" t="s">
        <v>2758</v>
      </c>
      <c r="G592" s="13" t="s">
        <v>672</v>
      </c>
      <c r="H592" s="13" t="s">
        <v>679</v>
      </c>
      <c r="J592" s="14" t="s">
        <v>669</v>
      </c>
      <c r="K592" s="14" t="s">
        <v>2780</v>
      </c>
      <c r="L592" s="13" t="s">
        <v>585</v>
      </c>
      <c r="N592" s="13">
        <v>45</v>
      </c>
      <c r="O592" s="2">
        <f t="shared" si="52"/>
        <v>0.6428571428571429</v>
      </c>
      <c r="P592" s="13">
        <v>15</v>
      </c>
      <c r="Q592" s="17">
        <f t="shared" si="53"/>
        <v>0.6</v>
      </c>
      <c r="R592" s="13">
        <v>70</v>
      </c>
      <c r="S592" s="13">
        <v>25</v>
      </c>
      <c r="T592" s="13">
        <v>0</v>
      </c>
      <c r="V592" s="13">
        <v>0</v>
      </c>
      <c r="Y592" s="13">
        <v>63</v>
      </c>
      <c r="Z592" s="13">
        <v>54.8</v>
      </c>
      <c r="AA592" s="13">
        <v>69</v>
      </c>
      <c r="AD592" s="13">
        <v>62</v>
      </c>
      <c r="AE592" s="13">
        <v>55.2</v>
      </c>
      <c r="AF592" s="13">
        <v>71.099999999999994</v>
      </c>
      <c r="AG592" s="13" t="s">
        <v>641</v>
      </c>
      <c r="BG592" s="13">
        <v>197</v>
      </c>
      <c r="BI592" s="13">
        <v>125</v>
      </c>
      <c r="BJ592" s="13">
        <v>279</v>
      </c>
      <c r="BR592" s="28">
        <v>129</v>
      </c>
      <c r="BT592" s="13">
        <v>93.4</v>
      </c>
      <c r="BU592" s="13">
        <v>178</v>
      </c>
      <c r="BY592" s="13" t="s">
        <v>1443</v>
      </c>
      <c r="BZ592" s="13" t="s">
        <v>1444</v>
      </c>
      <c r="CA592" s="13">
        <v>2019</v>
      </c>
      <c r="CB592" s="13" t="s">
        <v>73</v>
      </c>
      <c r="CC592" s="13" t="s">
        <v>1445</v>
      </c>
      <c r="CD592" s="13">
        <v>90</v>
      </c>
      <c r="CE592" s="13">
        <v>1</v>
      </c>
      <c r="CF592" s="13" t="s">
        <v>2171</v>
      </c>
      <c r="CG592" s="13" t="s">
        <v>1446</v>
      </c>
    </row>
    <row r="593" spans="1:85">
      <c r="A593" s="13" t="s">
        <v>1880</v>
      </c>
      <c r="B593" s="13" t="s">
        <v>1880</v>
      </c>
      <c r="C593" s="29" t="s">
        <v>4134</v>
      </c>
      <c r="D593" s="14" t="s">
        <v>4135</v>
      </c>
      <c r="E593" s="13" t="s">
        <v>4105</v>
      </c>
      <c r="F593" s="14" t="s">
        <v>2758</v>
      </c>
      <c r="G593" s="13" t="s">
        <v>672</v>
      </c>
      <c r="H593" s="13" t="s">
        <v>4136</v>
      </c>
      <c r="J593" s="14" t="s">
        <v>669</v>
      </c>
      <c r="K593" s="14" t="s">
        <v>2780</v>
      </c>
      <c r="L593" s="13" t="s">
        <v>585</v>
      </c>
      <c r="N593" s="13">
        <v>42</v>
      </c>
      <c r="O593" s="2">
        <f t="shared" si="52"/>
        <v>0.65625</v>
      </c>
      <c r="P593" s="13">
        <v>19</v>
      </c>
      <c r="Q593" s="17">
        <f t="shared" si="53"/>
        <v>0.59375</v>
      </c>
      <c r="R593" s="13">
        <v>64</v>
      </c>
      <c r="S593" s="13">
        <v>32</v>
      </c>
      <c r="T593" s="13">
        <v>0</v>
      </c>
      <c r="V593" s="13">
        <v>0</v>
      </c>
      <c r="Y593" s="13">
        <v>63</v>
      </c>
      <c r="Z593" s="13">
        <v>52.5</v>
      </c>
      <c r="AA593" s="13">
        <v>69</v>
      </c>
      <c r="AD593" s="13">
        <v>62.8</v>
      </c>
      <c r="AE593" s="13">
        <v>49.5</v>
      </c>
      <c r="AF593" s="13">
        <v>72.400000000000006</v>
      </c>
      <c r="AG593" s="13" t="s">
        <v>641</v>
      </c>
      <c r="BG593" s="13">
        <v>698</v>
      </c>
      <c r="BI593" s="13">
        <v>468</v>
      </c>
      <c r="BJ593" s="13">
        <v>959</v>
      </c>
      <c r="BR593" s="28">
        <v>792</v>
      </c>
      <c r="BT593" s="13">
        <v>484</v>
      </c>
      <c r="BU593" s="13">
        <v>1053</v>
      </c>
      <c r="BY593" s="13" t="s">
        <v>1443</v>
      </c>
      <c r="BZ593" s="13" t="s">
        <v>1444</v>
      </c>
      <c r="CA593" s="13">
        <v>2019</v>
      </c>
      <c r="CB593" s="13" t="s">
        <v>73</v>
      </c>
      <c r="CC593" s="13" t="s">
        <v>1445</v>
      </c>
      <c r="CD593" s="13">
        <v>90</v>
      </c>
      <c r="CE593" s="13">
        <v>1</v>
      </c>
      <c r="CF593" s="13" t="s">
        <v>2171</v>
      </c>
      <c r="CG593" s="13" t="s">
        <v>1446</v>
      </c>
    </row>
    <row r="594" spans="1:85">
      <c r="A594" s="13" t="s">
        <v>1880</v>
      </c>
      <c r="B594" s="13" t="s">
        <v>1880</v>
      </c>
      <c r="C594" s="14" t="s">
        <v>4133</v>
      </c>
      <c r="D594" s="14" t="s">
        <v>2757</v>
      </c>
      <c r="E594" s="13" t="s">
        <v>630</v>
      </c>
      <c r="F594" s="14" t="s">
        <v>2758</v>
      </c>
      <c r="G594" s="13" t="s">
        <v>672</v>
      </c>
      <c r="H594" s="13" t="s">
        <v>680</v>
      </c>
      <c r="J594" s="14" t="s">
        <v>868</v>
      </c>
      <c r="K594" s="14" t="s">
        <v>2781</v>
      </c>
      <c r="L594" s="13" t="s">
        <v>585</v>
      </c>
      <c r="N594" s="13">
        <v>26</v>
      </c>
      <c r="O594" s="2">
        <f t="shared" si="52"/>
        <v>0.60465116279069764</v>
      </c>
      <c r="P594" s="13">
        <v>19</v>
      </c>
      <c r="Q594" s="17">
        <f t="shared" si="53"/>
        <v>0.52777777777777779</v>
      </c>
      <c r="R594" s="13">
        <v>43</v>
      </c>
      <c r="S594" s="13">
        <v>36</v>
      </c>
      <c r="T594" s="13">
        <v>43</v>
      </c>
      <c r="V594" s="13">
        <v>43</v>
      </c>
      <c r="Y594" s="13">
        <v>62.1</v>
      </c>
      <c r="Z594" s="13">
        <v>53.7</v>
      </c>
      <c r="AA594" s="13">
        <v>66.2</v>
      </c>
      <c r="AD594" s="13">
        <v>39.1</v>
      </c>
      <c r="AE594" s="13">
        <v>29.2</v>
      </c>
      <c r="AF594" s="13">
        <v>49.6</v>
      </c>
      <c r="AG594" s="13" t="s">
        <v>639</v>
      </c>
      <c r="BG594" s="13">
        <v>12400</v>
      </c>
      <c r="BI594" s="13">
        <v>4660</v>
      </c>
      <c r="BJ594" s="13">
        <v>23380</v>
      </c>
      <c r="BR594" s="28">
        <v>1433</v>
      </c>
      <c r="BT594" s="13">
        <v>746</v>
      </c>
      <c r="BU594" s="13">
        <v>2278</v>
      </c>
      <c r="BY594" s="13" t="s">
        <v>1443</v>
      </c>
      <c r="BZ594" s="13" t="s">
        <v>1444</v>
      </c>
      <c r="CA594" s="13">
        <v>2019</v>
      </c>
      <c r="CB594" s="13" t="s">
        <v>73</v>
      </c>
      <c r="CC594" s="13" t="s">
        <v>1445</v>
      </c>
      <c r="CD594" s="13">
        <v>90</v>
      </c>
      <c r="CE594" s="13">
        <v>1</v>
      </c>
      <c r="CF594" s="13" t="s">
        <v>2171</v>
      </c>
      <c r="CG594" s="13" t="s">
        <v>1446</v>
      </c>
    </row>
    <row r="595" spans="1:85">
      <c r="A595" s="13" t="s">
        <v>1880</v>
      </c>
      <c r="B595" s="13" t="s">
        <v>1880</v>
      </c>
      <c r="C595" s="14" t="s">
        <v>4133</v>
      </c>
      <c r="D595" s="14" t="s">
        <v>2757</v>
      </c>
      <c r="E595" s="13" t="s">
        <v>630</v>
      </c>
      <c r="F595" s="14" t="s">
        <v>2758</v>
      </c>
      <c r="G595" s="13" t="s">
        <v>674</v>
      </c>
      <c r="H595" s="13" t="s">
        <v>680</v>
      </c>
      <c r="J595" s="14" t="s">
        <v>868</v>
      </c>
      <c r="K595" s="14" t="s">
        <v>2781</v>
      </c>
      <c r="L595" s="13" t="s">
        <v>585</v>
      </c>
      <c r="N595" s="13">
        <v>26</v>
      </c>
      <c r="O595" s="2">
        <f t="shared" si="52"/>
        <v>0.60465116279069764</v>
      </c>
      <c r="P595" s="13">
        <v>19</v>
      </c>
      <c r="Q595" s="17">
        <f t="shared" si="53"/>
        <v>0.52777777777777779</v>
      </c>
      <c r="R595" s="13">
        <v>43</v>
      </c>
      <c r="S595" s="13">
        <v>36</v>
      </c>
      <c r="T595" s="13">
        <v>43</v>
      </c>
      <c r="V595" s="13">
        <v>43</v>
      </c>
      <c r="Y595" s="13">
        <v>62.1</v>
      </c>
      <c r="Z595" s="13">
        <v>53.7</v>
      </c>
      <c r="AA595" s="13">
        <v>66.2</v>
      </c>
      <c r="AD595" s="13">
        <v>39.1</v>
      </c>
      <c r="AE595" s="13">
        <v>29.2</v>
      </c>
      <c r="AF595" s="13">
        <v>49.6</v>
      </c>
      <c r="AG595" s="13" t="s">
        <v>639</v>
      </c>
      <c r="BG595" s="13">
        <v>21225</v>
      </c>
      <c r="BI595" s="13">
        <v>15150</v>
      </c>
      <c r="BJ595" s="13">
        <v>36200</v>
      </c>
      <c r="BR595" s="28">
        <v>17750</v>
      </c>
      <c r="BT595" s="13">
        <v>11850</v>
      </c>
      <c r="BU595" s="13">
        <v>30950</v>
      </c>
      <c r="BY595" s="13" t="s">
        <v>1443</v>
      </c>
      <c r="BZ595" s="13" t="s">
        <v>1444</v>
      </c>
      <c r="CA595" s="13">
        <v>2019</v>
      </c>
      <c r="CB595" s="13" t="s">
        <v>73</v>
      </c>
      <c r="CC595" s="13" t="s">
        <v>1445</v>
      </c>
      <c r="CD595" s="13">
        <v>90</v>
      </c>
      <c r="CE595" s="13">
        <v>1</v>
      </c>
      <c r="CF595" s="13" t="s">
        <v>2171</v>
      </c>
      <c r="CG595" s="13" t="s">
        <v>1446</v>
      </c>
    </row>
    <row r="596" spans="1:85">
      <c r="A596" s="13" t="s">
        <v>1880</v>
      </c>
      <c r="B596" s="13" t="s">
        <v>1880</v>
      </c>
      <c r="C596" s="14" t="s">
        <v>4133</v>
      </c>
      <c r="D596" s="14" t="s">
        <v>2757</v>
      </c>
      <c r="E596" s="13" t="s">
        <v>630</v>
      </c>
      <c r="F596" s="14" t="s">
        <v>2758</v>
      </c>
      <c r="G596" s="13" t="s">
        <v>672</v>
      </c>
      <c r="H596" s="13" t="s">
        <v>675</v>
      </c>
      <c r="J596" s="14" t="s">
        <v>868</v>
      </c>
      <c r="K596" s="14" t="s">
        <v>2781</v>
      </c>
      <c r="L596" s="13" t="s">
        <v>585</v>
      </c>
      <c r="N596" s="13">
        <v>26</v>
      </c>
      <c r="O596" s="2">
        <f t="shared" si="52"/>
        <v>0.60465116279069764</v>
      </c>
      <c r="P596" s="13">
        <v>19</v>
      </c>
      <c r="Q596" s="17">
        <f t="shared" si="53"/>
        <v>0.52777777777777779</v>
      </c>
      <c r="R596" s="13">
        <v>43</v>
      </c>
      <c r="S596" s="13">
        <v>36</v>
      </c>
      <c r="T596" s="13">
        <v>43</v>
      </c>
      <c r="V596" s="13">
        <v>43</v>
      </c>
      <c r="Y596" s="13">
        <v>62.1</v>
      </c>
      <c r="Z596" s="13">
        <v>53.7</v>
      </c>
      <c r="AA596" s="13">
        <v>66.2</v>
      </c>
      <c r="AD596" s="13">
        <v>39.1</v>
      </c>
      <c r="AE596" s="13">
        <v>29.2</v>
      </c>
      <c r="AF596" s="13">
        <v>49.6</v>
      </c>
      <c r="AG596" s="13" t="s">
        <v>639</v>
      </c>
      <c r="BG596" s="13">
        <v>5451</v>
      </c>
      <c r="BI596" s="13">
        <v>3500</v>
      </c>
      <c r="BJ596" s="13">
        <v>8365</v>
      </c>
      <c r="BR596" s="28">
        <v>202</v>
      </c>
      <c r="BT596" s="13">
        <v>141</v>
      </c>
      <c r="BU596" s="13">
        <v>283</v>
      </c>
      <c r="BY596" s="13" t="s">
        <v>1443</v>
      </c>
      <c r="BZ596" s="13" t="s">
        <v>1444</v>
      </c>
      <c r="CA596" s="13">
        <v>2019</v>
      </c>
      <c r="CB596" s="13" t="s">
        <v>73</v>
      </c>
      <c r="CC596" s="13" t="s">
        <v>1445</v>
      </c>
      <c r="CD596" s="13">
        <v>90</v>
      </c>
      <c r="CE596" s="13">
        <v>1</v>
      </c>
      <c r="CF596" s="13" t="s">
        <v>2171</v>
      </c>
      <c r="CG596" s="13" t="s">
        <v>1446</v>
      </c>
    </row>
    <row r="597" spans="1:85">
      <c r="A597" s="13" t="s">
        <v>1880</v>
      </c>
      <c r="B597" s="13" t="s">
        <v>1880</v>
      </c>
      <c r="C597" s="14" t="s">
        <v>4133</v>
      </c>
      <c r="D597" s="14" t="s">
        <v>2757</v>
      </c>
      <c r="E597" s="13" t="s">
        <v>630</v>
      </c>
      <c r="F597" s="14" t="s">
        <v>2758</v>
      </c>
      <c r="G597" s="13" t="s">
        <v>672</v>
      </c>
      <c r="H597" s="13" t="s">
        <v>686</v>
      </c>
      <c r="J597" s="14" t="s">
        <v>868</v>
      </c>
      <c r="K597" s="14" t="s">
        <v>2781</v>
      </c>
      <c r="L597" s="13" t="s">
        <v>585</v>
      </c>
      <c r="N597" s="13">
        <v>26</v>
      </c>
      <c r="O597" s="2">
        <f t="shared" si="52"/>
        <v>0.60465116279069764</v>
      </c>
      <c r="P597" s="13">
        <v>19</v>
      </c>
      <c r="Q597" s="17">
        <f t="shared" si="53"/>
        <v>0.52777777777777779</v>
      </c>
      <c r="R597" s="13">
        <v>43</v>
      </c>
      <c r="S597" s="13">
        <v>36</v>
      </c>
      <c r="T597" s="13">
        <v>43</v>
      </c>
      <c r="V597" s="13">
        <v>43</v>
      </c>
      <c r="Y597" s="13">
        <v>62.1</v>
      </c>
      <c r="Z597" s="13">
        <v>53.7</v>
      </c>
      <c r="AA597" s="13">
        <v>66.2</v>
      </c>
      <c r="AD597" s="13">
        <v>39.1</v>
      </c>
      <c r="AE597" s="13">
        <v>29.2</v>
      </c>
      <c r="AF597" s="13">
        <v>49.6</v>
      </c>
      <c r="AG597" s="13" t="s">
        <v>639</v>
      </c>
      <c r="BG597" s="13">
        <v>2577</v>
      </c>
      <c r="BI597" s="13">
        <v>1423</v>
      </c>
      <c r="BJ597" s="13">
        <v>3910</v>
      </c>
      <c r="BR597" s="28">
        <v>188</v>
      </c>
      <c r="BT597" s="13">
        <v>188</v>
      </c>
      <c r="BU597" s="13">
        <v>188</v>
      </c>
      <c r="BY597" s="13" t="s">
        <v>1443</v>
      </c>
      <c r="BZ597" s="13" t="s">
        <v>1444</v>
      </c>
      <c r="CA597" s="13">
        <v>2019</v>
      </c>
      <c r="CB597" s="13" t="s">
        <v>73</v>
      </c>
      <c r="CC597" s="13" t="s">
        <v>1445</v>
      </c>
      <c r="CD597" s="13">
        <v>90</v>
      </c>
      <c r="CE597" s="13">
        <v>1</v>
      </c>
      <c r="CF597" s="13" t="s">
        <v>2171</v>
      </c>
      <c r="CG597" s="13" t="s">
        <v>1446</v>
      </c>
    </row>
    <row r="598" spans="1:85">
      <c r="A598" s="13" t="s">
        <v>1880</v>
      </c>
      <c r="B598" s="13" t="s">
        <v>1880</v>
      </c>
      <c r="C598" s="14" t="s">
        <v>4133</v>
      </c>
      <c r="D598" s="14" t="s">
        <v>2757</v>
      </c>
      <c r="E598" s="13" t="s">
        <v>630</v>
      </c>
      <c r="F598" s="14" t="s">
        <v>2758</v>
      </c>
      <c r="G598" s="13" t="s">
        <v>672</v>
      </c>
      <c r="H598" s="13" t="s">
        <v>679</v>
      </c>
      <c r="J598" s="14" t="s">
        <v>868</v>
      </c>
      <c r="K598" s="14" t="s">
        <v>2781</v>
      </c>
      <c r="L598" s="13" t="s">
        <v>585</v>
      </c>
      <c r="N598" s="13">
        <v>26</v>
      </c>
      <c r="O598" s="2">
        <f t="shared" si="52"/>
        <v>0.60465116279069764</v>
      </c>
      <c r="P598" s="13">
        <v>19</v>
      </c>
      <c r="Q598" s="17">
        <f t="shared" si="53"/>
        <v>0.52777777777777779</v>
      </c>
      <c r="R598" s="13">
        <v>43</v>
      </c>
      <c r="S598" s="13">
        <v>36</v>
      </c>
      <c r="T598" s="13">
        <v>43</v>
      </c>
      <c r="V598" s="13">
        <v>43</v>
      </c>
      <c r="Y598" s="13">
        <v>62.1</v>
      </c>
      <c r="Z598" s="13">
        <v>53.7</v>
      </c>
      <c r="AA598" s="13">
        <v>66.2</v>
      </c>
      <c r="AD598" s="13">
        <v>39.1</v>
      </c>
      <c r="AE598" s="13">
        <v>29.2</v>
      </c>
      <c r="AF598" s="13">
        <v>49.6</v>
      </c>
      <c r="AG598" s="13" t="s">
        <v>641</v>
      </c>
      <c r="BG598" s="13">
        <v>341</v>
      </c>
      <c r="BI598" s="13">
        <v>235</v>
      </c>
      <c r="BJ598" s="13">
        <v>460</v>
      </c>
      <c r="BR598" s="28">
        <v>141</v>
      </c>
      <c r="BT598" s="13">
        <v>126</v>
      </c>
      <c r="BU598" s="13">
        <v>180</v>
      </c>
      <c r="BY598" s="13" t="s">
        <v>1443</v>
      </c>
      <c r="BZ598" s="13" t="s">
        <v>1444</v>
      </c>
      <c r="CA598" s="13">
        <v>2019</v>
      </c>
      <c r="CB598" s="13" t="s">
        <v>73</v>
      </c>
      <c r="CC598" s="13" t="s">
        <v>1445</v>
      </c>
      <c r="CD598" s="13">
        <v>90</v>
      </c>
      <c r="CE598" s="13">
        <v>1</v>
      </c>
      <c r="CF598" s="13" t="s">
        <v>2171</v>
      </c>
      <c r="CG598" s="13" t="s">
        <v>1446</v>
      </c>
    </row>
    <row r="599" spans="1:85">
      <c r="A599" s="13" t="s">
        <v>1880</v>
      </c>
      <c r="B599" s="13" t="s">
        <v>1880</v>
      </c>
      <c r="C599" s="14" t="s">
        <v>4133</v>
      </c>
      <c r="D599" s="14" t="s">
        <v>2757</v>
      </c>
      <c r="E599" s="13" t="s">
        <v>630</v>
      </c>
      <c r="F599" s="14" t="s">
        <v>2758</v>
      </c>
      <c r="G599" s="13" t="s">
        <v>674</v>
      </c>
      <c r="H599" s="13" t="s">
        <v>679</v>
      </c>
      <c r="J599" s="14" t="s">
        <v>868</v>
      </c>
      <c r="K599" s="14" t="s">
        <v>2781</v>
      </c>
      <c r="L599" s="13" t="s">
        <v>585</v>
      </c>
      <c r="N599" s="13">
        <v>26</v>
      </c>
      <c r="O599" s="2">
        <f t="shared" si="52"/>
        <v>0.60465116279069764</v>
      </c>
      <c r="P599" s="13">
        <v>19</v>
      </c>
      <c r="Q599" s="17">
        <f t="shared" si="53"/>
        <v>0.52777777777777779</v>
      </c>
      <c r="R599" s="13">
        <v>43</v>
      </c>
      <c r="S599" s="13">
        <v>36</v>
      </c>
      <c r="T599" s="13">
        <v>43</v>
      </c>
      <c r="V599" s="13">
        <v>43</v>
      </c>
      <c r="Y599" s="13">
        <v>62.1</v>
      </c>
      <c r="Z599" s="13">
        <v>53.7</v>
      </c>
      <c r="AA599" s="13">
        <v>66.2</v>
      </c>
      <c r="AD599" s="13">
        <v>39.1</v>
      </c>
      <c r="AE599" s="13">
        <v>29.2</v>
      </c>
      <c r="AF599" s="13">
        <v>49.6</v>
      </c>
      <c r="AG599" s="13" t="s">
        <v>641</v>
      </c>
      <c r="BG599" s="13">
        <v>60</v>
      </c>
      <c r="BI599" s="13">
        <v>36</v>
      </c>
      <c r="BJ599" s="13">
        <v>94</v>
      </c>
      <c r="BR599" s="28">
        <v>55</v>
      </c>
      <c r="BT599" s="13">
        <v>43.5</v>
      </c>
      <c r="BU599" s="13">
        <v>68.5</v>
      </c>
      <c r="BY599" s="13" t="s">
        <v>1443</v>
      </c>
      <c r="BZ599" s="13" t="s">
        <v>1444</v>
      </c>
      <c r="CA599" s="13">
        <v>2019</v>
      </c>
      <c r="CB599" s="13" t="s">
        <v>73</v>
      </c>
      <c r="CC599" s="13" t="s">
        <v>1445</v>
      </c>
      <c r="CD599" s="13">
        <v>90</v>
      </c>
      <c r="CE599" s="13">
        <v>1</v>
      </c>
      <c r="CF599" s="13" t="s">
        <v>2171</v>
      </c>
      <c r="CG599" s="13" t="s">
        <v>1446</v>
      </c>
    </row>
    <row r="600" spans="1:85">
      <c r="A600" s="13" t="s">
        <v>1880</v>
      </c>
      <c r="B600" s="13" t="s">
        <v>1880</v>
      </c>
      <c r="C600" s="14" t="s">
        <v>4133</v>
      </c>
      <c r="D600" s="14" t="s">
        <v>2757</v>
      </c>
      <c r="E600" s="13" t="s">
        <v>630</v>
      </c>
      <c r="F600" s="14" t="s">
        <v>2758</v>
      </c>
      <c r="G600" s="13" t="s">
        <v>672</v>
      </c>
      <c r="H600" s="13" t="s">
        <v>758</v>
      </c>
      <c r="J600" s="14" t="s">
        <v>868</v>
      </c>
      <c r="K600" s="14" t="s">
        <v>2781</v>
      </c>
      <c r="L600" s="13" t="s">
        <v>585</v>
      </c>
      <c r="N600" s="13">
        <v>26</v>
      </c>
      <c r="O600" s="2">
        <f t="shared" si="52"/>
        <v>0.60465116279069764</v>
      </c>
      <c r="P600" s="13">
        <v>19</v>
      </c>
      <c r="Q600" s="17">
        <f t="shared" si="53"/>
        <v>0.52777777777777779</v>
      </c>
      <c r="R600" s="13">
        <v>43</v>
      </c>
      <c r="S600" s="13">
        <v>36</v>
      </c>
      <c r="T600" s="13">
        <v>43</v>
      </c>
      <c r="V600" s="13">
        <v>43</v>
      </c>
      <c r="Y600" s="13">
        <v>62.1</v>
      </c>
      <c r="Z600" s="13">
        <v>53.7</v>
      </c>
      <c r="AA600" s="13">
        <v>66.2</v>
      </c>
      <c r="AD600" s="13">
        <v>39.1</v>
      </c>
      <c r="AE600" s="13">
        <v>29.2</v>
      </c>
      <c r="AF600" s="13">
        <v>49.6</v>
      </c>
      <c r="AG600" s="13" t="s">
        <v>639</v>
      </c>
      <c r="BG600" s="13">
        <v>504</v>
      </c>
      <c r="BI600" s="13">
        <v>316</v>
      </c>
      <c r="BJ600" s="13">
        <v>669</v>
      </c>
      <c r="BR600" s="28">
        <v>404</v>
      </c>
      <c r="BT600" s="13">
        <v>358</v>
      </c>
      <c r="BU600" s="13">
        <v>596</v>
      </c>
      <c r="BY600" s="13" t="s">
        <v>1443</v>
      </c>
      <c r="BZ600" s="13" t="s">
        <v>1444</v>
      </c>
      <c r="CA600" s="13">
        <v>2019</v>
      </c>
      <c r="CB600" s="13" t="s">
        <v>73</v>
      </c>
      <c r="CC600" s="13" t="s">
        <v>1445</v>
      </c>
      <c r="CD600" s="13">
        <v>90</v>
      </c>
      <c r="CE600" s="13">
        <v>1</v>
      </c>
      <c r="CF600" s="13" t="s">
        <v>2171</v>
      </c>
      <c r="CG600" s="13" t="s">
        <v>1446</v>
      </c>
    </row>
    <row r="601" spans="1:85">
      <c r="A601" s="13" t="s">
        <v>1880</v>
      </c>
      <c r="B601" s="13" t="s">
        <v>1880</v>
      </c>
      <c r="C601" s="14" t="s">
        <v>4133</v>
      </c>
      <c r="D601" s="14" t="s">
        <v>2757</v>
      </c>
      <c r="E601" s="13" t="s">
        <v>630</v>
      </c>
      <c r="F601" s="14" t="s">
        <v>2758</v>
      </c>
      <c r="G601" s="13" t="s">
        <v>674</v>
      </c>
      <c r="H601" s="13" t="s">
        <v>758</v>
      </c>
      <c r="J601" s="14" t="s">
        <v>868</v>
      </c>
      <c r="K601" s="14" t="s">
        <v>2781</v>
      </c>
      <c r="L601" s="13" t="s">
        <v>585</v>
      </c>
      <c r="N601" s="13">
        <v>26</v>
      </c>
      <c r="O601" s="2">
        <f t="shared" si="52"/>
        <v>0.60465116279069764</v>
      </c>
      <c r="P601" s="13">
        <v>19</v>
      </c>
      <c r="Q601" s="17">
        <f t="shared" si="53"/>
        <v>0.52777777777777779</v>
      </c>
      <c r="R601" s="13">
        <v>43</v>
      </c>
      <c r="S601" s="13">
        <v>36</v>
      </c>
      <c r="T601" s="13">
        <v>43</v>
      </c>
      <c r="V601" s="13">
        <v>43</v>
      </c>
      <c r="Y601" s="13">
        <v>62.1</v>
      </c>
      <c r="Z601" s="13">
        <v>53.7</v>
      </c>
      <c r="AA601" s="13">
        <v>66.2</v>
      </c>
      <c r="AD601" s="13">
        <v>39.1</v>
      </c>
      <c r="AE601" s="13">
        <v>29.2</v>
      </c>
      <c r="AF601" s="13">
        <v>49.6</v>
      </c>
      <c r="AG601" s="13" t="s">
        <v>639</v>
      </c>
      <c r="BG601" s="13">
        <v>105</v>
      </c>
      <c r="BI601" s="13">
        <v>62</v>
      </c>
      <c r="BJ601" s="13">
        <v>136</v>
      </c>
      <c r="BR601" s="28">
        <v>111</v>
      </c>
      <c r="BT601" s="13">
        <v>88.8</v>
      </c>
      <c r="BU601" s="13">
        <v>121</v>
      </c>
      <c r="BY601" s="13" t="s">
        <v>1443</v>
      </c>
      <c r="BZ601" s="13" t="s">
        <v>1444</v>
      </c>
      <c r="CA601" s="13">
        <v>2019</v>
      </c>
      <c r="CB601" s="13" t="s">
        <v>73</v>
      </c>
      <c r="CC601" s="13" t="s">
        <v>1445</v>
      </c>
      <c r="CD601" s="13">
        <v>90</v>
      </c>
      <c r="CE601" s="13">
        <v>1</v>
      </c>
      <c r="CF601" s="13" t="s">
        <v>2171</v>
      </c>
      <c r="CG601" s="13" t="s">
        <v>1446</v>
      </c>
    </row>
    <row r="602" spans="1:85">
      <c r="A602" s="13" t="s">
        <v>1880</v>
      </c>
      <c r="B602" s="13" t="s">
        <v>1880</v>
      </c>
      <c r="C602" s="14" t="s">
        <v>4133</v>
      </c>
      <c r="D602" s="14" t="s">
        <v>2757</v>
      </c>
      <c r="E602" s="13" t="s">
        <v>3212</v>
      </c>
      <c r="F602" s="14" t="s">
        <v>2758</v>
      </c>
      <c r="G602" s="13" t="s">
        <v>672</v>
      </c>
      <c r="H602" s="13" t="s">
        <v>680</v>
      </c>
      <c r="J602" s="14" t="s">
        <v>868</v>
      </c>
      <c r="K602" s="14" t="s">
        <v>2781</v>
      </c>
      <c r="L602" s="13" t="s">
        <v>585</v>
      </c>
      <c r="N602" s="13">
        <v>26</v>
      </c>
      <c r="O602" s="2">
        <f t="shared" si="52"/>
        <v>0.60465116279069764</v>
      </c>
      <c r="P602" s="13">
        <v>8</v>
      </c>
      <c r="Q602" s="17">
        <f t="shared" si="53"/>
        <v>0.30769230769230771</v>
      </c>
      <c r="R602" s="13">
        <v>43</v>
      </c>
      <c r="S602" s="13">
        <v>26</v>
      </c>
      <c r="T602" s="13">
        <v>43</v>
      </c>
      <c r="V602" s="13">
        <v>43</v>
      </c>
      <c r="Y602" s="13">
        <v>62.1</v>
      </c>
      <c r="Z602" s="13">
        <v>53.7</v>
      </c>
      <c r="AA602" s="13">
        <v>66.2</v>
      </c>
      <c r="AD602" s="13">
        <v>42.9</v>
      </c>
      <c r="AE602" s="13">
        <v>30.7</v>
      </c>
      <c r="AF602" s="13">
        <v>51</v>
      </c>
      <c r="AG602" s="13" t="s">
        <v>639</v>
      </c>
      <c r="BG602" s="13">
        <v>12400</v>
      </c>
      <c r="BI602" s="13">
        <v>4660</v>
      </c>
      <c r="BJ602" s="13">
        <v>23380</v>
      </c>
      <c r="BR602" s="13">
        <v>2075</v>
      </c>
      <c r="BT602" s="13">
        <v>1020</v>
      </c>
      <c r="BU602" s="13">
        <v>3060</v>
      </c>
      <c r="BY602" s="13" t="s">
        <v>1443</v>
      </c>
      <c r="BZ602" s="13" t="s">
        <v>1444</v>
      </c>
      <c r="CA602" s="13">
        <v>2019</v>
      </c>
      <c r="CB602" s="13" t="s">
        <v>73</v>
      </c>
      <c r="CC602" s="13" t="s">
        <v>1445</v>
      </c>
      <c r="CD602" s="13">
        <v>90</v>
      </c>
      <c r="CE602" s="13">
        <v>1</v>
      </c>
      <c r="CF602" s="13" t="s">
        <v>2171</v>
      </c>
      <c r="CG602" s="13" t="s">
        <v>1446</v>
      </c>
    </row>
    <row r="603" spans="1:85">
      <c r="A603" s="13" t="s">
        <v>1880</v>
      </c>
      <c r="B603" s="13" t="s">
        <v>1880</v>
      </c>
      <c r="C603" s="14" t="s">
        <v>4133</v>
      </c>
      <c r="D603" s="14" t="s">
        <v>2757</v>
      </c>
      <c r="E603" s="13" t="s">
        <v>3212</v>
      </c>
      <c r="F603" s="14" t="s">
        <v>2758</v>
      </c>
      <c r="G603" s="13" t="s">
        <v>674</v>
      </c>
      <c r="H603" s="13" t="s">
        <v>680</v>
      </c>
      <c r="J603" s="14" t="s">
        <v>868</v>
      </c>
      <c r="K603" s="14" t="s">
        <v>2781</v>
      </c>
      <c r="L603" s="13" t="s">
        <v>585</v>
      </c>
      <c r="N603" s="13">
        <v>26</v>
      </c>
      <c r="O603" s="2">
        <f t="shared" si="52"/>
        <v>0.60465116279069764</v>
      </c>
      <c r="P603" s="13">
        <v>8</v>
      </c>
      <c r="Q603" s="17">
        <f t="shared" si="53"/>
        <v>0.30769230769230771</v>
      </c>
      <c r="R603" s="13">
        <v>43</v>
      </c>
      <c r="S603" s="13">
        <v>26</v>
      </c>
      <c r="T603" s="13">
        <v>43</v>
      </c>
      <c r="V603" s="13">
        <v>43</v>
      </c>
      <c r="Y603" s="13">
        <v>62.1</v>
      </c>
      <c r="Z603" s="13">
        <v>53.7</v>
      </c>
      <c r="AA603" s="13">
        <v>66.2</v>
      </c>
      <c r="AD603" s="13">
        <v>42.9</v>
      </c>
      <c r="AE603" s="13">
        <v>30.7</v>
      </c>
      <c r="AF603" s="13">
        <v>51</v>
      </c>
      <c r="AG603" s="13" t="s">
        <v>639</v>
      </c>
      <c r="BG603" s="13">
        <v>21225</v>
      </c>
      <c r="BI603" s="13">
        <v>15150</v>
      </c>
      <c r="BJ603" s="13">
        <v>36200</v>
      </c>
      <c r="BR603" s="13">
        <v>20975</v>
      </c>
      <c r="BT603" s="13">
        <v>12325</v>
      </c>
      <c r="BU603" s="13">
        <v>30288</v>
      </c>
      <c r="BY603" s="13" t="s">
        <v>1443</v>
      </c>
      <c r="BZ603" s="13" t="s">
        <v>1444</v>
      </c>
      <c r="CA603" s="13">
        <v>2019</v>
      </c>
      <c r="CB603" s="13" t="s">
        <v>73</v>
      </c>
      <c r="CC603" s="13" t="s">
        <v>1445</v>
      </c>
      <c r="CD603" s="13">
        <v>90</v>
      </c>
      <c r="CE603" s="13">
        <v>1</v>
      </c>
      <c r="CF603" s="13" t="s">
        <v>2171</v>
      </c>
      <c r="CG603" s="13" t="s">
        <v>1446</v>
      </c>
    </row>
    <row r="604" spans="1:85">
      <c r="A604" s="13" t="s">
        <v>1880</v>
      </c>
      <c r="B604" s="13" t="s">
        <v>1880</v>
      </c>
      <c r="C604" s="14" t="s">
        <v>4133</v>
      </c>
      <c r="D604" s="14" t="s">
        <v>2757</v>
      </c>
      <c r="E604" s="13" t="s">
        <v>3212</v>
      </c>
      <c r="F604" s="14" t="s">
        <v>2758</v>
      </c>
      <c r="G604" s="13" t="s">
        <v>672</v>
      </c>
      <c r="H604" s="13" t="s">
        <v>675</v>
      </c>
      <c r="J604" s="14" t="s">
        <v>868</v>
      </c>
      <c r="K604" s="14" t="s">
        <v>2781</v>
      </c>
      <c r="L604" s="13" t="s">
        <v>585</v>
      </c>
      <c r="N604" s="13">
        <v>26</v>
      </c>
      <c r="O604" s="2">
        <f t="shared" si="52"/>
        <v>0.60465116279069764</v>
      </c>
      <c r="P604" s="13">
        <v>8</v>
      </c>
      <c r="Q604" s="17">
        <f t="shared" si="53"/>
        <v>0.30769230769230771</v>
      </c>
      <c r="R604" s="13">
        <v>43</v>
      </c>
      <c r="S604" s="13">
        <v>26</v>
      </c>
      <c r="T604" s="13">
        <v>43</v>
      </c>
      <c r="V604" s="13">
        <v>43</v>
      </c>
      <c r="Y604" s="13">
        <v>62.1</v>
      </c>
      <c r="Z604" s="13">
        <v>53.7</v>
      </c>
      <c r="AA604" s="13">
        <v>66.2</v>
      </c>
      <c r="AD604" s="13">
        <v>42.9</v>
      </c>
      <c r="AE604" s="13">
        <v>30.7</v>
      </c>
      <c r="AF604" s="13">
        <v>51</v>
      </c>
      <c r="AG604" s="13" t="s">
        <v>639</v>
      </c>
      <c r="BG604" s="13">
        <v>5451</v>
      </c>
      <c r="BI604" s="13">
        <v>3500</v>
      </c>
      <c r="BJ604" s="13">
        <v>8365</v>
      </c>
      <c r="BR604" s="13">
        <v>210</v>
      </c>
      <c r="BT604" s="13">
        <v>97</v>
      </c>
      <c r="BU604" s="13">
        <v>281</v>
      </c>
      <c r="BY604" s="13" t="s">
        <v>1443</v>
      </c>
      <c r="BZ604" s="13" t="s">
        <v>1444</v>
      </c>
      <c r="CA604" s="13">
        <v>2019</v>
      </c>
      <c r="CB604" s="13" t="s">
        <v>73</v>
      </c>
      <c r="CC604" s="13" t="s">
        <v>1445</v>
      </c>
      <c r="CD604" s="13">
        <v>90</v>
      </c>
      <c r="CE604" s="13">
        <v>1</v>
      </c>
      <c r="CF604" s="13" t="s">
        <v>2171</v>
      </c>
      <c r="CG604" s="13" t="s">
        <v>1446</v>
      </c>
    </row>
    <row r="605" spans="1:85">
      <c r="A605" s="13" t="s">
        <v>1880</v>
      </c>
      <c r="B605" s="13" t="s">
        <v>1880</v>
      </c>
      <c r="C605" s="14" t="s">
        <v>4133</v>
      </c>
      <c r="D605" s="14" t="s">
        <v>2757</v>
      </c>
      <c r="E605" s="13" t="s">
        <v>3212</v>
      </c>
      <c r="F605" s="14" t="s">
        <v>2758</v>
      </c>
      <c r="G605" s="13" t="s">
        <v>672</v>
      </c>
      <c r="H605" s="13" t="s">
        <v>686</v>
      </c>
      <c r="J605" s="14" t="s">
        <v>868</v>
      </c>
      <c r="K605" s="14" t="s">
        <v>2781</v>
      </c>
      <c r="L605" s="13" t="s">
        <v>585</v>
      </c>
      <c r="N605" s="13">
        <v>26</v>
      </c>
      <c r="O605" s="2">
        <f t="shared" si="52"/>
        <v>0.60465116279069764</v>
      </c>
      <c r="P605" s="13">
        <v>8</v>
      </c>
      <c r="Q605" s="17">
        <f t="shared" si="53"/>
        <v>0.30769230769230771</v>
      </c>
      <c r="R605" s="13">
        <v>43</v>
      </c>
      <c r="S605" s="13">
        <v>26</v>
      </c>
      <c r="T605" s="13">
        <v>43</v>
      </c>
      <c r="V605" s="13">
        <v>43</v>
      </c>
      <c r="Y605" s="13">
        <v>62.1</v>
      </c>
      <c r="Z605" s="13">
        <v>53.7</v>
      </c>
      <c r="AA605" s="13">
        <v>66.2</v>
      </c>
      <c r="AD605" s="13">
        <v>42.9</v>
      </c>
      <c r="AE605" s="13">
        <v>30.7</v>
      </c>
      <c r="AF605" s="13">
        <v>51</v>
      </c>
      <c r="AG605" s="13" t="s">
        <v>639</v>
      </c>
      <c r="BG605" s="13">
        <v>2577</v>
      </c>
      <c r="BI605" s="13">
        <v>1423</v>
      </c>
      <c r="BJ605" s="13">
        <v>3910</v>
      </c>
      <c r="BR605" s="13">
        <v>188</v>
      </c>
      <c r="BT605" s="13">
        <v>188</v>
      </c>
      <c r="BU605" s="13">
        <v>188</v>
      </c>
      <c r="BY605" s="13" t="s">
        <v>1443</v>
      </c>
      <c r="BZ605" s="13" t="s">
        <v>1444</v>
      </c>
      <c r="CA605" s="13">
        <v>2019</v>
      </c>
      <c r="CB605" s="13" t="s">
        <v>73</v>
      </c>
      <c r="CC605" s="13" t="s">
        <v>1445</v>
      </c>
      <c r="CD605" s="13">
        <v>90</v>
      </c>
      <c r="CE605" s="13">
        <v>1</v>
      </c>
      <c r="CF605" s="13" t="s">
        <v>2171</v>
      </c>
      <c r="CG605" s="13" t="s">
        <v>1446</v>
      </c>
    </row>
    <row r="606" spans="1:85">
      <c r="A606" s="13" t="s">
        <v>1880</v>
      </c>
      <c r="B606" s="13" t="s">
        <v>1880</v>
      </c>
      <c r="C606" s="14" t="s">
        <v>4133</v>
      </c>
      <c r="D606" s="14" t="s">
        <v>2757</v>
      </c>
      <c r="E606" s="13" t="s">
        <v>3212</v>
      </c>
      <c r="F606" s="14" t="s">
        <v>2758</v>
      </c>
      <c r="G606" s="13" t="s">
        <v>672</v>
      </c>
      <c r="H606" s="13" t="s">
        <v>679</v>
      </c>
      <c r="J606" s="14" t="s">
        <v>868</v>
      </c>
      <c r="K606" s="14" t="s">
        <v>2781</v>
      </c>
      <c r="L606" s="13" t="s">
        <v>585</v>
      </c>
      <c r="N606" s="13">
        <v>26</v>
      </c>
      <c r="O606" s="2">
        <f t="shared" si="52"/>
        <v>0.60465116279069764</v>
      </c>
      <c r="P606" s="13">
        <v>8</v>
      </c>
      <c r="Q606" s="17">
        <f t="shared" si="53"/>
        <v>0.30769230769230771</v>
      </c>
      <c r="R606" s="13">
        <v>43</v>
      </c>
      <c r="S606" s="13">
        <v>26</v>
      </c>
      <c r="T606" s="13">
        <v>43</v>
      </c>
      <c r="V606" s="13">
        <v>43</v>
      </c>
      <c r="Y606" s="13">
        <v>62.1</v>
      </c>
      <c r="Z606" s="13">
        <v>53.7</v>
      </c>
      <c r="AA606" s="13">
        <v>66.2</v>
      </c>
      <c r="AD606" s="13">
        <v>42.9</v>
      </c>
      <c r="AE606" s="13">
        <v>30.7</v>
      </c>
      <c r="AF606" s="13">
        <v>51</v>
      </c>
      <c r="AG606" s="13" t="s">
        <v>641</v>
      </c>
      <c r="BG606" s="13">
        <v>341</v>
      </c>
      <c r="BI606" s="13">
        <v>235</v>
      </c>
      <c r="BJ606" s="13">
        <v>460</v>
      </c>
      <c r="BR606" s="13">
        <v>153</v>
      </c>
      <c r="BT606" s="13">
        <v>108</v>
      </c>
      <c r="BU606" s="13">
        <v>165</v>
      </c>
      <c r="BY606" s="13" t="s">
        <v>1443</v>
      </c>
      <c r="BZ606" s="13" t="s">
        <v>1444</v>
      </c>
      <c r="CA606" s="13">
        <v>2019</v>
      </c>
      <c r="CB606" s="13" t="s">
        <v>73</v>
      </c>
      <c r="CC606" s="13" t="s">
        <v>1445</v>
      </c>
      <c r="CD606" s="13">
        <v>90</v>
      </c>
      <c r="CE606" s="13">
        <v>1</v>
      </c>
      <c r="CF606" s="13" t="s">
        <v>2171</v>
      </c>
      <c r="CG606" s="13" t="s">
        <v>1446</v>
      </c>
    </row>
    <row r="607" spans="1:85">
      <c r="A607" s="13" t="s">
        <v>1880</v>
      </c>
      <c r="B607" s="13" t="s">
        <v>1880</v>
      </c>
      <c r="C607" s="14" t="s">
        <v>4133</v>
      </c>
      <c r="D607" s="14" t="s">
        <v>2757</v>
      </c>
      <c r="E607" s="13" t="s">
        <v>3212</v>
      </c>
      <c r="F607" s="14" t="s">
        <v>2758</v>
      </c>
      <c r="G607" s="13" t="s">
        <v>674</v>
      </c>
      <c r="H607" s="13" t="s">
        <v>679</v>
      </c>
      <c r="J607" s="14" t="s">
        <v>868</v>
      </c>
      <c r="K607" s="14" t="s">
        <v>2781</v>
      </c>
      <c r="L607" s="13" t="s">
        <v>585</v>
      </c>
      <c r="N607" s="13">
        <v>26</v>
      </c>
      <c r="O607" s="2">
        <f t="shared" ref="O607:O638" si="54">N607/R607</f>
        <v>0.60465116279069764</v>
      </c>
      <c r="P607" s="13">
        <v>8</v>
      </c>
      <c r="Q607" s="17">
        <f t="shared" si="53"/>
        <v>0.30769230769230771</v>
      </c>
      <c r="R607" s="13">
        <v>43</v>
      </c>
      <c r="S607" s="13">
        <v>26</v>
      </c>
      <c r="T607" s="13">
        <v>43</v>
      </c>
      <c r="V607" s="13">
        <v>43</v>
      </c>
      <c r="Y607" s="13">
        <v>62.1</v>
      </c>
      <c r="Z607" s="13">
        <v>53.7</v>
      </c>
      <c r="AA607" s="13">
        <v>66.2</v>
      </c>
      <c r="AD607" s="13">
        <v>42.9</v>
      </c>
      <c r="AE607" s="13">
        <v>30.7</v>
      </c>
      <c r="AF607" s="13">
        <v>51</v>
      </c>
      <c r="AG607" s="13" t="s">
        <v>641</v>
      </c>
      <c r="BG607" s="13">
        <v>60</v>
      </c>
      <c r="BI607" s="13">
        <v>36</v>
      </c>
      <c r="BJ607" s="13">
        <v>94</v>
      </c>
      <c r="BR607" s="13">
        <v>54.5</v>
      </c>
      <c r="BT607" s="13">
        <v>44</v>
      </c>
      <c r="BU607" s="13">
        <v>60</v>
      </c>
      <c r="BY607" s="13" t="s">
        <v>1443</v>
      </c>
      <c r="BZ607" s="13" t="s">
        <v>1444</v>
      </c>
      <c r="CA607" s="13">
        <v>2019</v>
      </c>
      <c r="CB607" s="13" t="s">
        <v>73</v>
      </c>
      <c r="CC607" s="13" t="s">
        <v>1445</v>
      </c>
      <c r="CD607" s="13">
        <v>90</v>
      </c>
      <c r="CE607" s="13">
        <v>1</v>
      </c>
      <c r="CF607" s="13" t="s">
        <v>2171</v>
      </c>
      <c r="CG607" s="13" t="s">
        <v>1446</v>
      </c>
    </row>
    <row r="608" spans="1:85">
      <c r="A608" s="13" t="s">
        <v>1880</v>
      </c>
      <c r="B608" s="13" t="s">
        <v>1880</v>
      </c>
      <c r="C608" s="14" t="s">
        <v>4133</v>
      </c>
      <c r="D608" s="14" t="s">
        <v>2757</v>
      </c>
      <c r="E608" s="13" t="s">
        <v>3212</v>
      </c>
      <c r="F608" s="14" t="s">
        <v>2758</v>
      </c>
      <c r="G608" s="13" t="s">
        <v>672</v>
      </c>
      <c r="H608" s="13" t="s">
        <v>758</v>
      </c>
      <c r="J608" s="14" t="s">
        <v>868</v>
      </c>
      <c r="K608" s="14" t="s">
        <v>2781</v>
      </c>
      <c r="L608" s="13" t="s">
        <v>585</v>
      </c>
      <c r="N608" s="13">
        <v>26</v>
      </c>
      <c r="O608" s="2">
        <f t="shared" si="54"/>
        <v>0.60465116279069764</v>
      </c>
      <c r="P608" s="13">
        <v>8</v>
      </c>
      <c r="Q608" s="17">
        <f t="shared" si="53"/>
        <v>0.30769230769230771</v>
      </c>
      <c r="R608" s="13">
        <v>43</v>
      </c>
      <c r="S608" s="13">
        <v>26</v>
      </c>
      <c r="T608" s="13">
        <v>43</v>
      </c>
      <c r="V608" s="13">
        <v>43</v>
      </c>
      <c r="Y608" s="13">
        <v>62.1</v>
      </c>
      <c r="Z608" s="13">
        <v>53.7</v>
      </c>
      <c r="AA608" s="13">
        <v>66.2</v>
      </c>
      <c r="AD608" s="13">
        <v>42.9</v>
      </c>
      <c r="AE608" s="13">
        <v>30.7</v>
      </c>
      <c r="AF608" s="13">
        <v>51</v>
      </c>
      <c r="AG608" s="13" t="s">
        <v>639</v>
      </c>
      <c r="BG608" s="13">
        <v>504</v>
      </c>
      <c r="BI608" s="13">
        <v>316</v>
      </c>
      <c r="BJ608" s="13">
        <v>669</v>
      </c>
      <c r="BR608" s="13">
        <v>414</v>
      </c>
      <c r="BT608" s="13">
        <v>287</v>
      </c>
      <c r="BU608" s="13">
        <v>517</v>
      </c>
      <c r="BY608" s="13" t="s">
        <v>1443</v>
      </c>
      <c r="BZ608" s="13" t="s">
        <v>1444</v>
      </c>
      <c r="CA608" s="13">
        <v>2019</v>
      </c>
      <c r="CB608" s="13" t="s">
        <v>73</v>
      </c>
      <c r="CC608" s="13" t="s">
        <v>1445</v>
      </c>
      <c r="CD608" s="13">
        <v>90</v>
      </c>
      <c r="CE608" s="13">
        <v>1</v>
      </c>
      <c r="CF608" s="13" t="s">
        <v>2171</v>
      </c>
      <c r="CG608" s="13" t="s">
        <v>1446</v>
      </c>
    </row>
    <row r="609" spans="1:85">
      <c r="A609" s="13" t="s">
        <v>1880</v>
      </c>
      <c r="B609" s="13" t="s">
        <v>1880</v>
      </c>
      <c r="C609" s="14" t="s">
        <v>4133</v>
      </c>
      <c r="D609" s="14" t="s">
        <v>2757</v>
      </c>
      <c r="E609" s="13" t="s">
        <v>3212</v>
      </c>
      <c r="F609" s="14" t="s">
        <v>2758</v>
      </c>
      <c r="G609" s="13" t="s">
        <v>674</v>
      </c>
      <c r="H609" s="13" t="s">
        <v>758</v>
      </c>
      <c r="J609" s="14" t="s">
        <v>868</v>
      </c>
      <c r="K609" s="14" t="s">
        <v>2781</v>
      </c>
      <c r="L609" s="13" t="s">
        <v>585</v>
      </c>
      <c r="N609" s="13">
        <v>26</v>
      </c>
      <c r="O609" s="2">
        <f t="shared" si="54"/>
        <v>0.60465116279069764</v>
      </c>
      <c r="P609" s="13">
        <v>8</v>
      </c>
      <c r="Q609" s="17">
        <f t="shared" si="53"/>
        <v>0.30769230769230771</v>
      </c>
      <c r="R609" s="13">
        <v>43</v>
      </c>
      <c r="S609" s="13">
        <v>26</v>
      </c>
      <c r="T609" s="13">
        <v>43</v>
      </c>
      <c r="V609" s="13">
        <v>43</v>
      </c>
      <c r="Y609" s="13">
        <v>62.1</v>
      </c>
      <c r="Z609" s="13">
        <v>53.7</v>
      </c>
      <c r="AA609" s="13">
        <v>66.2</v>
      </c>
      <c r="AD609" s="13">
        <v>42.9</v>
      </c>
      <c r="AE609" s="13">
        <v>30.7</v>
      </c>
      <c r="AF609" s="13">
        <v>51</v>
      </c>
      <c r="AG609" s="13" t="s">
        <v>639</v>
      </c>
      <c r="BG609" s="13">
        <v>105</v>
      </c>
      <c r="BI609" s="13">
        <v>62</v>
      </c>
      <c r="BJ609" s="13">
        <v>136</v>
      </c>
      <c r="BR609" s="13">
        <v>100</v>
      </c>
      <c r="BT609" s="13">
        <v>83.2</v>
      </c>
      <c r="BU609" s="13">
        <v>134</v>
      </c>
      <c r="BY609" s="13" t="s">
        <v>1443</v>
      </c>
      <c r="BZ609" s="13" t="s">
        <v>1444</v>
      </c>
      <c r="CA609" s="13">
        <v>2019</v>
      </c>
      <c r="CB609" s="13" t="s">
        <v>73</v>
      </c>
      <c r="CC609" s="13" t="s">
        <v>1445</v>
      </c>
      <c r="CD609" s="13">
        <v>90</v>
      </c>
      <c r="CE609" s="13">
        <v>1</v>
      </c>
      <c r="CF609" s="13" t="s">
        <v>2171</v>
      </c>
      <c r="CG609" s="13" t="s">
        <v>1446</v>
      </c>
    </row>
    <row r="610" spans="1:85">
      <c r="A610" s="13" t="s">
        <v>2008</v>
      </c>
      <c r="B610" s="13" t="s">
        <v>2008</v>
      </c>
      <c r="C610" s="13" t="s">
        <v>2009</v>
      </c>
      <c r="D610" s="14" t="s">
        <v>830</v>
      </c>
      <c r="E610" s="13" t="s">
        <v>630</v>
      </c>
      <c r="F610" s="13" t="s">
        <v>2761</v>
      </c>
      <c r="G610" s="13" t="s">
        <v>672</v>
      </c>
      <c r="H610" s="13" t="s">
        <v>680</v>
      </c>
      <c r="J610" s="14" t="s">
        <v>584</v>
      </c>
      <c r="K610" s="14" t="s">
        <v>2782</v>
      </c>
      <c r="L610" s="13" t="s">
        <v>2769</v>
      </c>
      <c r="M610" s="13" t="s">
        <v>2768</v>
      </c>
      <c r="N610" s="13">
        <v>20</v>
      </c>
      <c r="O610" s="2">
        <f t="shared" si="54"/>
        <v>0.66666666666666663</v>
      </c>
      <c r="P610" s="13">
        <v>16</v>
      </c>
      <c r="Q610" s="17">
        <f t="shared" si="53"/>
        <v>0.5161290322580645</v>
      </c>
      <c r="R610" s="13">
        <v>30</v>
      </c>
      <c r="S610" s="13">
        <v>31</v>
      </c>
      <c r="W610" s="13">
        <v>57.4</v>
      </c>
      <c r="X610" s="13">
        <v>9.8000000000000007</v>
      </c>
      <c r="AB610" s="13">
        <v>58.06</v>
      </c>
      <c r="AC610" s="13">
        <v>12.08</v>
      </c>
      <c r="AP610" s="13">
        <v>0.86799999999999999</v>
      </c>
      <c r="AR610" s="13">
        <v>0.76200000000000001</v>
      </c>
      <c r="AS610" s="13">
        <v>0.94799999999999995</v>
      </c>
      <c r="BY610" s="13" t="s">
        <v>2084</v>
      </c>
      <c r="BZ610" s="13" t="s">
        <v>2085</v>
      </c>
      <c r="CA610" s="13">
        <v>2023</v>
      </c>
      <c r="CB610" s="13" t="s">
        <v>2170</v>
      </c>
      <c r="CC610" s="13" t="s">
        <v>411</v>
      </c>
      <c r="CD610" s="13">
        <v>11</v>
      </c>
      <c r="CE610" s="13">
        <v>5</v>
      </c>
      <c r="CG610" s="13" t="s">
        <v>2086</v>
      </c>
    </row>
    <row r="611" spans="1:85">
      <c r="A611" s="13" t="s">
        <v>2008</v>
      </c>
      <c r="B611" s="13" t="s">
        <v>2008</v>
      </c>
      <c r="C611" s="13" t="s">
        <v>2009</v>
      </c>
      <c r="D611" s="14" t="s">
        <v>830</v>
      </c>
      <c r="E611" s="13" t="s">
        <v>630</v>
      </c>
      <c r="F611" s="13" t="s">
        <v>2761</v>
      </c>
      <c r="G611" s="13" t="s">
        <v>672</v>
      </c>
      <c r="H611" s="13" t="s">
        <v>2762</v>
      </c>
      <c r="J611" s="14" t="s">
        <v>584</v>
      </c>
      <c r="K611" s="14" t="s">
        <v>2782</v>
      </c>
      <c r="L611" s="13" t="s">
        <v>2769</v>
      </c>
      <c r="M611" s="13" t="s">
        <v>2768</v>
      </c>
      <c r="N611" s="13">
        <v>20</v>
      </c>
      <c r="O611" s="2">
        <f t="shared" si="54"/>
        <v>0.66666666666666663</v>
      </c>
      <c r="P611" s="13">
        <v>16</v>
      </c>
      <c r="Q611" s="17">
        <f t="shared" si="53"/>
        <v>0.5161290322580645</v>
      </c>
      <c r="R611" s="13">
        <v>30</v>
      </c>
      <c r="S611" s="13">
        <v>31</v>
      </c>
      <c r="W611" s="13">
        <v>57.4</v>
      </c>
      <c r="X611" s="13">
        <v>9.8000000000000007</v>
      </c>
      <c r="AB611" s="13">
        <v>58.06</v>
      </c>
      <c r="AC611" s="13">
        <v>12.08</v>
      </c>
      <c r="AP611" s="13">
        <v>0.83699999999999997</v>
      </c>
      <c r="AR611" s="13">
        <v>0.72599999999999998</v>
      </c>
      <c r="AS611" s="13">
        <v>0.92300000000000004</v>
      </c>
      <c r="BY611" s="13" t="s">
        <v>2084</v>
      </c>
      <c r="BZ611" s="13" t="s">
        <v>2085</v>
      </c>
      <c r="CA611" s="13">
        <v>2023</v>
      </c>
      <c r="CB611" s="13" t="s">
        <v>2170</v>
      </c>
      <c r="CC611" s="13" t="s">
        <v>411</v>
      </c>
      <c r="CD611" s="13">
        <v>11</v>
      </c>
      <c r="CE611" s="13">
        <v>5</v>
      </c>
      <c r="CG611" s="13" t="s">
        <v>2086</v>
      </c>
    </row>
    <row r="612" spans="1:85">
      <c r="A612" s="13" t="s">
        <v>2008</v>
      </c>
      <c r="B612" s="13" t="s">
        <v>2008</v>
      </c>
      <c r="C612" s="13" t="s">
        <v>2009</v>
      </c>
      <c r="D612" s="14" t="s">
        <v>830</v>
      </c>
      <c r="E612" s="13" t="s">
        <v>630</v>
      </c>
      <c r="F612" s="13" t="s">
        <v>2761</v>
      </c>
      <c r="G612" s="13" t="s">
        <v>672</v>
      </c>
      <c r="H612" s="13" t="s">
        <v>2763</v>
      </c>
      <c r="J612" s="14" t="s">
        <v>584</v>
      </c>
      <c r="K612" s="14" t="s">
        <v>2782</v>
      </c>
      <c r="L612" s="13" t="s">
        <v>2769</v>
      </c>
      <c r="M612" s="13" t="s">
        <v>2768</v>
      </c>
      <c r="N612" s="13">
        <v>20</v>
      </c>
      <c r="O612" s="2">
        <f t="shared" si="54"/>
        <v>0.66666666666666663</v>
      </c>
      <c r="P612" s="13">
        <v>16</v>
      </c>
      <c r="Q612" s="17">
        <f t="shared" si="53"/>
        <v>0.5161290322580645</v>
      </c>
      <c r="R612" s="13">
        <v>30</v>
      </c>
      <c r="S612" s="13">
        <v>31</v>
      </c>
      <c r="W612" s="13">
        <v>57.4</v>
      </c>
      <c r="X612" s="13">
        <v>9.8000000000000007</v>
      </c>
      <c r="AB612" s="13">
        <v>58.06</v>
      </c>
      <c r="AC612" s="13">
        <v>12.08</v>
      </c>
      <c r="AP612" s="13">
        <v>0.83899999999999997</v>
      </c>
      <c r="AR612" s="13">
        <v>0.71399999999999997</v>
      </c>
      <c r="AS612" s="13">
        <v>0.92500000000000004</v>
      </c>
      <c r="BY612" s="13" t="s">
        <v>2084</v>
      </c>
      <c r="BZ612" s="13" t="s">
        <v>2085</v>
      </c>
      <c r="CA612" s="13">
        <v>2023</v>
      </c>
      <c r="CB612" s="13" t="s">
        <v>2170</v>
      </c>
      <c r="CC612" s="13" t="s">
        <v>411</v>
      </c>
      <c r="CD612" s="13">
        <v>11</v>
      </c>
      <c r="CE612" s="13">
        <v>5</v>
      </c>
      <c r="CG612" s="13" t="s">
        <v>2086</v>
      </c>
    </row>
    <row r="613" spans="1:85">
      <c r="A613" s="13" t="s">
        <v>2008</v>
      </c>
      <c r="B613" s="13" t="s">
        <v>2008</v>
      </c>
      <c r="C613" s="13" t="s">
        <v>2009</v>
      </c>
      <c r="D613" s="14" t="s">
        <v>830</v>
      </c>
      <c r="E613" s="13" t="s">
        <v>630</v>
      </c>
      <c r="F613" s="13" t="s">
        <v>2761</v>
      </c>
      <c r="G613" s="13" t="s">
        <v>672</v>
      </c>
      <c r="H613" s="13" t="s">
        <v>2764</v>
      </c>
      <c r="J613" s="14" t="s">
        <v>584</v>
      </c>
      <c r="K613" s="14" t="s">
        <v>2782</v>
      </c>
      <c r="L613" s="13" t="s">
        <v>2769</v>
      </c>
      <c r="M613" s="13" t="s">
        <v>2768</v>
      </c>
      <c r="N613" s="13">
        <v>20</v>
      </c>
      <c r="O613" s="2">
        <f t="shared" si="54"/>
        <v>0.66666666666666663</v>
      </c>
      <c r="P613" s="13">
        <v>16</v>
      </c>
      <c r="Q613" s="17">
        <f t="shared" si="53"/>
        <v>0.5161290322580645</v>
      </c>
      <c r="R613" s="13">
        <v>30</v>
      </c>
      <c r="S613" s="13">
        <v>31</v>
      </c>
      <c r="W613" s="13">
        <v>57.4</v>
      </c>
      <c r="X613" s="13">
        <v>9.8000000000000007</v>
      </c>
      <c r="AB613" s="13">
        <v>58.06</v>
      </c>
      <c r="AC613" s="13">
        <v>12.08</v>
      </c>
      <c r="AP613" s="13">
        <v>0.81599999999999995</v>
      </c>
      <c r="AR613" s="13">
        <v>0.68200000000000005</v>
      </c>
      <c r="AS613" s="13">
        <v>0.91200000000000003</v>
      </c>
      <c r="BY613" s="13" t="s">
        <v>2084</v>
      </c>
      <c r="BZ613" s="13" t="s">
        <v>2085</v>
      </c>
      <c r="CA613" s="13">
        <v>2023</v>
      </c>
      <c r="CB613" s="13" t="s">
        <v>2170</v>
      </c>
      <c r="CC613" s="13" t="s">
        <v>411</v>
      </c>
      <c r="CD613" s="13">
        <v>11</v>
      </c>
      <c r="CE613" s="13">
        <v>5</v>
      </c>
      <c r="CG613" s="13" t="s">
        <v>2086</v>
      </c>
    </row>
    <row r="614" spans="1:85">
      <c r="A614" s="13" t="s">
        <v>2008</v>
      </c>
      <c r="B614" s="13" t="s">
        <v>2008</v>
      </c>
      <c r="C614" s="13" t="s">
        <v>2009</v>
      </c>
      <c r="D614" s="14" t="s">
        <v>830</v>
      </c>
      <c r="E614" s="13" t="s">
        <v>630</v>
      </c>
      <c r="F614" s="13" t="s">
        <v>2761</v>
      </c>
      <c r="G614" s="13" t="s">
        <v>672</v>
      </c>
      <c r="H614" s="13" t="s">
        <v>2766</v>
      </c>
      <c r="J614" s="14" t="s">
        <v>584</v>
      </c>
      <c r="K614" s="14" t="s">
        <v>2782</v>
      </c>
      <c r="L614" s="13" t="s">
        <v>2769</v>
      </c>
      <c r="M614" s="13" t="s">
        <v>2768</v>
      </c>
      <c r="N614" s="13">
        <v>20</v>
      </c>
      <c r="O614" s="2">
        <f t="shared" si="54"/>
        <v>0.66666666666666663</v>
      </c>
      <c r="P614" s="13">
        <v>16</v>
      </c>
      <c r="Q614" s="17">
        <f t="shared" si="53"/>
        <v>0.5161290322580645</v>
      </c>
      <c r="R614" s="13">
        <v>30</v>
      </c>
      <c r="S614" s="13">
        <v>31</v>
      </c>
      <c r="W614" s="13">
        <v>57.4</v>
      </c>
      <c r="X614" s="13">
        <v>9.8000000000000007</v>
      </c>
      <c r="AB614" s="13">
        <v>58.06</v>
      </c>
      <c r="AC614" s="13">
        <v>12.08</v>
      </c>
      <c r="AP614" s="13">
        <v>0.78500000000000003</v>
      </c>
      <c r="AR614" s="13">
        <v>0.65700000000000003</v>
      </c>
      <c r="AS614" s="13">
        <v>0.88700000000000001</v>
      </c>
      <c r="BY614" s="13" t="s">
        <v>2084</v>
      </c>
      <c r="BZ614" s="13" t="s">
        <v>2085</v>
      </c>
      <c r="CA614" s="13">
        <v>2023</v>
      </c>
      <c r="CB614" s="13" t="s">
        <v>2170</v>
      </c>
      <c r="CC614" s="13" t="s">
        <v>411</v>
      </c>
      <c r="CD614" s="13">
        <v>11</v>
      </c>
      <c r="CE614" s="13">
        <v>5</v>
      </c>
      <c r="CG614" s="13" t="s">
        <v>2086</v>
      </c>
    </row>
    <row r="615" spans="1:85">
      <c r="A615" s="13" t="s">
        <v>2008</v>
      </c>
      <c r="B615" s="13" t="s">
        <v>2008</v>
      </c>
      <c r="C615" s="13" t="s">
        <v>2009</v>
      </c>
      <c r="D615" s="14" t="s">
        <v>830</v>
      </c>
      <c r="E615" s="13" t="s">
        <v>630</v>
      </c>
      <c r="F615" s="13" t="s">
        <v>2761</v>
      </c>
      <c r="G615" s="13" t="s">
        <v>672</v>
      </c>
      <c r="H615" s="13" t="s">
        <v>679</v>
      </c>
      <c r="J615" s="14" t="s">
        <v>584</v>
      </c>
      <c r="K615" s="14" t="s">
        <v>2782</v>
      </c>
      <c r="L615" s="13" t="s">
        <v>2769</v>
      </c>
      <c r="M615" s="13" t="s">
        <v>2768</v>
      </c>
      <c r="N615" s="13">
        <v>20</v>
      </c>
      <c r="O615" s="2">
        <f t="shared" si="54"/>
        <v>0.66666666666666663</v>
      </c>
      <c r="P615" s="13">
        <v>16</v>
      </c>
      <c r="Q615" s="17">
        <f t="shared" si="53"/>
        <v>0.5161290322580645</v>
      </c>
      <c r="R615" s="13">
        <v>30</v>
      </c>
      <c r="S615" s="13">
        <v>31</v>
      </c>
      <c r="W615" s="13">
        <v>57.4</v>
      </c>
      <c r="X615" s="13">
        <v>9.8000000000000007</v>
      </c>
      <c r="AB615" s="13">
        <v>58.06</v>
      </c>
      <c r="AC615" s="13">
        <v>12.08</v>
      </c>
      <c r="AP615" s="13">
        <v>0.78100000000000003</v>
      </c>
      <c r="AR615" s="13">
        <v>0.65</v>
      </c>
      <c r="AS615" s="13">
        <v>0.89900000000000002</v>
      </c>
      <c r="BY615" s="13" t="s">
        <v>2084</v>
      </c>
      <c r="BZ615" s="13" t="s">
        <v>2085</v>
      </c>
      <c r="CA615" s="13">
        <v>2023</v>
      </c>
      <c r="CB615" s="13" t="s">
        <v>2170</v>
      </c>
      <c r="CC615" s="13" t="s">
        <v>411</v>
      </c>
      <c r="CD615" s="13">
        <v>11</v>
      </c>
      <c r="CE615" s="13">
        <v>5</v>
      </c>
      <c r="CG615" s="13" t="s">
        <v>2086</v>
      </c>
    </row>
    <row r="616" spans="1:85">
      <c r="A616" s="13" t="s">
        <v>2008</v>
      </c>
      <c r="B616" s="13" t="s">
        <v>2008</v>
      </c>
      <c r="C616" s="13" t="s">
        <v>2009</v>
      </c>
      <c r="D616" s="14" t="s">
        <v>830</v>
      </c>
      <c r="E616" s="13" t="s">
        <v>630</v>
      </c>
      <c r="F616" s="13" t="s">
        <v>2761</v>
      </c>
      <c r="G616" s="13" t="s">
        <v>672</v>
      </c>
      <c r="H616" s="13" t="s">
        <v>757</v>
      </c>
      <c r="J616" s="14" t="s">
        <v>584</v>
      </c>
      <c r="K616" s="14" t="s">
        <v>2782</v>
      </c>
      <c r="L616" s="13" t="s">
        <v>2769</v>
      </c>
      <c r="M616" s="13" t="s">
        <v>2768</v>
      </c>
      <c r="N616" s="13">
        <v>20</v>
      </c>
      <c r="O616" s="2">
        <f t="shared" si="54"/>
        <v>0.66666666666666663</v>
      </c>
      <c r="P616" s="13">
        <v>16</v>
      </c>
      <c r="Q616" s="17">
        <f t="shared" si="53"/>
        <v>0.5161290322580645</v>
      </c>
      <c r="R616" s="13">
        <v>30</v>
      </c>
      <c r="S616" s="13">
        <v>31</v>
      </c>
      <c r="W616" s="13">
        <v>57.4</v>
      </c>
      <c r="X616" s="13">
        <v>9.8000000000000007</v>
      </c>
      <c r="AB616" s="13">
        <v>58.06</v>
      </c>
      <c r="AC616" s="13">
        <v>12.08</v>
      </c>
      <c r="AP616" s="13">
        <v>0.77400000000000002</v>
      </c>
      <c r="AR616" s="13">
        <v>0.64700000000000002</v>
      </c>
      <c r="AS616" s="13">
        <v>0.88400000000000001</v>
      </c>
      <c r="BY616" s="13" t="s">
        <v>2084</v>
      </c>
      <c r="BZ616" s="13" t="s">
        <v>2085</v>
      </c>
      <c r="CA616" s="13">
        <v>2023</v>
      </c>
      <c r="CB616" s="13" t="s">
        <v>2170</v>
      </c>
      <c r="CC616" s="13" t="s">
        <v>411</v>
      </c>
      <c r="CD616" s="13">
        <v>11</v>
      </c>
      <c r="CE616" s="13">
        <v>5</v>
      </c>
      <c r="CG616" s="13" t="s">
        <v>2086</v>
      </c>
    </row>
    <row r="617" spans="1:85">
      <c r="A617" s="13" t="s">
        <v>2008</v>
      </c>
      <c r="B617" s="13" t="s">
        <v>2008</v>
      </c>
      <c r="C617" s="13" t="s">
        <v>2009</v>
      </c>
      <c r="D617" s="14" t="s">
        <v>830</v>
      </c>
      <c r="E617" s="13" t="s">
        <v>630</v>
      </c>
      <c r="F617" s="13" t="s">
        <v>2761</v>
      </c>
      <c r="G617" s="13" t="s">
        <v>672</v>
      </c>
      <c r="H617" s="13" t="s">
        <v>2767</v>
      </c>
      <c r="J617" s="14" t="s">
        <v>584</v>
      </c>
      <c r="K617" s="14" t="s">
        <v>2782</v>
      </c>
      <c r="L617" s="13" t="s">
        <v>2769</v>
      </c>
      <c r="M617" s="13" t="s">
        <v>2768</v>
      </c>
      <c r="N617" s="13">
        <v>20</v>
      </c>
      <c r="O617" s="2">
        <f t="shared" si="54"/>
        <v>0.66666666666666663</v>
      </c>
      <c r="P617" s="13">
        <v>16</v>
      </c>
      <c r="Q617" s="17">
        <f t="shared" si="53"/>
        <v>0.5161290322580645</v>
      </c>
      <c r="R617" s="13">
        <v>30</v>
      </c>
      <c r="S617" s="13">
        <v>31</v>
      </c>
      <c r="W617" s="13">
        <v>57.4</v>
      </c>
      <c r="X617" s="13">
        <v>9.8000000000000007</v>
      </c>
      <c r="AB617" s="13">
        <v>58.06</v>
      </c>
      <c r="AC617" s="13">
        <v>12.08</v>
      </c>
      <c r="AP617" s="13">
        <v>0.76300000000000001</v>
      </c>
      <c r="AR617" s="13">
        <v>0.629</v>
      </c>
      <c r="AS617" s="13">
        <v>0.86599999999999999</v>
      </c>
      <c r="BY617" s="13" t="s">
        <v>2084</v>
      </c>
      <c r="BZ617" s="13" t="s">
        <v>2085</v>
      </c>
      <c r="CA617" s="13">
        <v>2023</v>
      </c>
      <c r="CB617" s="13" t="s">
        <v>2170</v>
      </c>
      <c r="CC617" s="13" t="s">
        <v>411</v>
      </c>
      <c r="CD617" s="13">
        <v>11</v>
      </c>
      <c r="CE617" s="13">
        <v>5</v>
      </c>
      <c r="CG617" s="13" t="s">
        <v>2086</v>
      </c>
    </row>
    <row r="618" spans="1:85">
      <c r="A618" s="13" t="s">
        <v>3408</v>
      </c>
      <c r="C618" s="13" t="s">
        <v>3336</v>
      </c>
      <c r="D618" s="14" t="s">
        <v>820</v>
      </c>
      <c r="E618" s="14"/>
      <c r="F618" s="14"/>
      <c r="G618" s="13" t="s">
        <v>725</v>
      </c>
      <c r="H618" s="13" t="s">
        <v>2377</v>
      </c>
      <c r="J618" s="14" t="s">
        <v>855</v>
      </c>
      <c r="K618" s="13" t="s">
        <v>3891</v>
      </c>
      <c r="L618" s="13" t="s">
        <v>902</v>
      </c>
      <c r="N618" s="13">
        <v>49</v>
      </c>
      <c r="O618" s="2">
        <f t="shared" si="54"/>
        <v>0.550561797752809</v>
      </c>
      <c r="R618" s="13">
        <v>89</v>
      </c>
      <c r="AG618" s="13" t="s">
        <v>2455</v>
      </c>
      <c r="BY618" s="13" t="s">
        <v>3561</v>
      </c>
      <c r="BZ618" s="13" t="s">
        <v>3562</v>
      </c>
      <c r="CA618" s="13">
        <v>2024</v>
      </c>
      <c r="CC618" s="13" t="s">
        <v>284</v>
      </c>
      <c r="CD618" s="13">
        <v>19</v>
      </c>
      <c r="CE618" s="13">
        <v>11</v>
      </c>
      <c r="CF618" s="13" t="s">
        <v>3563</v>
      </c>
      <c r="CG618" s="13" t="s">
        <v>3263</v>
      </c>
    </row>
    <row r="619" spans="1:85">
      <c r="A619" s="13" t="s">
        <v>3409</v>
      </c>
      <c r="C619" s="13" t="s">
        <v>3337</v>
      </c>
      <c r="D619" s="14" t="s">
        <v>829</v>
      </c>
      <c r="E619" s="13" t="s">
        <v>633</v>
      </c>
      <c r="F619" s="13" t="s">
        <v>3893</v>
      </c>
      <c r="G619" s="13" t="s">
        <v>672</v>
      </c>
      <c r="H619" s="13" t="s">
        <v>3894</v>
      </c>
      <c r="J619" s="14" t="s">
        <v>868</v>
      </c>
      <c r="K619" s="13" t="s">
        <v>3895</v>
      </c>
      <c r="L619" s="13" t="s">
        <v>3896</v>
      </c>
      <c r="N619" s="13">
        <v>104</v>
      </c>
      <c r="O619" s="2">
        <f t="shared" si="54"/>
        <v>0.5714285714285714</v>
      </c>
      <c r="P619" s="13">
        <v>32</v>
      </c>
      <c r="Q619" s="17">
        <f t="shared" ref="Q619:Q625" si="55">P619/S619</f>
        <v>0.76190476190476186</v>
      </c>
      <c r="R619" s="13">
        <v>182</v>
      </c>
      <c r="S619" s="13">
        <v>42</v>
      </c>
      <c r="Y619" s="13">
        <v>67</v>
      </c>
      <c r="Z619" s="13">
        <v>59</v>
      </c>
      <c r="AA619" s="13">
        <v>74</v>
      </c>
      <c r="AD619" s="13">
        <v>71</v>
      </c>
      <c r="AE619" s="13">
        <v>63</v>
      </c>
      <c r="AF619" s="13">
        <v>75</v>
      </c>
      <c r="AG619" s="13" t="s">
        <v>3897</v>
      </c>
      <c r="AP619" s="13">
        <v>0.83</v>
      </c>
      <c r="BY619" s="13" t="s">
        <v>3564</v>
      </c>
      <c r="BZ619" s="13" t="s">
        <v>3565</v>
      </c>
      <c r="CA619" s="13">
        <v>2025</v>
      </c>
      <c r="CB619" s="13" t="s">
        <v>253</v>
      </c>
      <c r="CC619" s="13" t="s">
        <v>64</v>
      </c>
      <c r="CD619" s="13">
        <v>26</v>
      </c>
      <c r="CE619" s="21">
        <v>45659</v>
      </c>
      <c r="CF619" s="13" t="s">
        <v>3566</v>
      </c>
      <c r="CG619" s="13" t="s">
        <v>3264</v>
      </c>
    </row>
    <row r="620" spans="1:85">
      <c r="A620" s="13" t="s">
        <v>1767</v>
      </c>
      <c r="C620" s="13" t="s">
        <v>385</v>
      </c>
      <c r="D620" s="13" t="s">
        <v>830</v>
      </c>
      <c r="E620" s="13" t="s">
        <v>630</v>
      </c>
      <c r="F620" s="13" t="s">
        <v>1074</v>
      </c>
      <c r="G620" s="13" t="s">
        <v>672</v>
      </c>
      <c r="H620" s="13" t="s">
        <v>675</v>
      </c>
      <c r="J620" s="13" t="s">
        <v>584</v>
      </c>
      <c r="K620" s="13" t="s">
        <v>3651</v>
      </c>
      <c r="L620" s="13" t="s">
        <v>585</v>
      </c>
      <c r="N620" s="13">
        <v>50</v>
      </c>
      <c r="O620" s="2">
        <f t="shared" si="54"/>
        <v>0.73529411764705888</v>
      </c>
      <c r="P620" s="13">
        <v>25</v>
      </c>
      <c r="Q620" s="2">
        <f t="shared" si="55"/>
        <v>0.33333333333333331</v>
      </c>
      <c r="R620" s="13">
        <v>68</v>
      </c>
      <c r="S620" s="13">
        <v>75</v>
      </c>
      <c r="W620" s="13">
        <v>68.400000000000006</v>
      </c>
      <c r="X620" s="13">
        <v>11.5</v>
      </c>
      <c r="AB620" s="13">
        <v>68.3</v>
      </c>
      <c r="AC620" s="13">
        <v>9.4</v>
      </c>
      <c r="AG620" s="13" t="s">
        <v>639</v>
      </c>
      <c r="BG620" s="13">
        <v>4185</v>
      </c>
      <c r="BI620" s="13">
        <v>2207</v>
      </c>
      <c r="BJ620" s="13">
        <v>7453</v>
      </c>
      <c r="BR620" s="13">
        <v>536</v>
      </c>
      <c r="BT620" s="13">
        <v>398</v>
      </c>
      <c r="BU620" s="13">
        <v>777</v>
      </c>
      <c r="BX620" s="13" t="s">
        <v>1027</v>
      </c>
      <c r="BY620" s="13" t="s">
        <v>380</v>
      </c>
      <c r="BZ620" s="13" t="s">
        <v>381</v>
      </c>
      <c r="CA620" s="13">
        <v>2019</v>
      </c>
      <c r="CB620" s="13" t="s">
        <v>25</v>
      </c>
      <c r="CC620" s="13" t="s">
        <v>382</v>
      </c>
      <c r="CD620" s="13">
        <v>76</v>
      </c>
      <c r="CE620" s="13">
        <v>3</v>
      </c>
      <c r="CF620" s="13" t="s">
        <v>383</v>
      </c>
      <c r="CG620" s="13" t="s">
        <v>384</v>
      </c>
    </row>
    <row r="621" spans="1:85">
      <c r="A621" s="13" t="s">
        <v>1767</v>
      </c>
      <c r="C621" s="13" t="s">
        <v>385</v>
      </c>
      <c r="D621" s="13" t="s">
        <v>830</v>
      </c>
      <c r="E621" s="13" t="s">
        <v>630</v>
      </c>
      <c r="F621" s="13" t="s">
        <v>1074</v>
      </c>
      <c r="G621" s="13" t="s">
        <v>672</v>
      </c>
      <c r="H621" s="13" t="s">
        <v>823</v>
      </c>
      <c r="J621" s="13" t="s">
        <v>584</v>
      </c>
      <c r="K621" s="13" t="s">
        <v>3651</v>
      </c>
      <c r="L621" s="13" t="s">
        <v>585</v>
      </c>
      <c r="N621" s="13">
        <v>50</v>
      </c>
      <c r="O621" s="2">
        <f t="shared" si="54"/>
        <v>0.73529411764705888</v>
      </c>
      <c r="P621" s="13">
        <v>25</v>
      </c>
      <c r="Q621" s="2">
        <f t="shared" si="55"/>
        <v>0.33333333333333331</v>
      </c>
      <c r="R621" s="13">
        <v>68</v>
      </c>
      <c r="S621" s="13">
        <v>75</v>
      </c>
      <c r="W621" s="13">
        <v>68.400000000000006</v>
      </c>
      <c r="X621" s="13">
        <v>11.5</v>
      </c>
      <c r="AB621" s="13">
        <v>68.3</v>
      </c>
      <c r="AC621" s="13">
        <v>9.4</v>
      </c>
      <c r="AG621" s="13" t="s">
        <v>639</v>
      </c>
      <c r="BG621" s="13">
        <v>266</v>
      </c>
      <c r="BI621" s="13">
        <v>213</v>
      </c>
      <c r="BJ621" s="13">
        <v>323</v>
      </c>
      <c r="BR621" s="13">
        <v>244</v>
      </c>
      <c r="BT621" s="13">
        <v>212</v>
      </c>
      <c r="BU621" s="13">
        <v>298</v>
      </c>
      <c r="BY621" s="13" t="s">
        <v>380</v>
      </c>
      <c r="BZ621" s="13" t="s">
        <v>381</v>
      </c>
      <c r="CA621" s="13">
        <v>2019</v>
      </c>
      <c r="CB621" s="13" t="s">
        <v>25</v>
      </c>
      <c r="CC621" s="13" t="s">
        <v>382</v>
      </c>
      <c r="CD621" s="13">
        <v>76</v>
      </c>
      <c r="CE621" s="13">
        <v>3</v>
      </c>
      <c r="CF621" s="13" t="s">
        <v>383</v>
      </c>
      <c r="CG621" s="13" t="s">
        <v>384</v>
      </c>
    </row>
    <row r="622" spans="1:85">
      <c r="A622" s="13" t="s">
        <v>1767</v>
      </c>
      <c r="C622" s="13" t="s">
        <v>385</v>
      </c>
      <c r="D622" s="13" t="s">
        <v>830</v>
      </c>
      <c r="E622" s="13" t="s">
        <v>630</v>
      </c>
      <c r="F622" s="13" t="s">
        <v>1074</v>
      </c>
      <c r="G622" s="13" t="s">
        <v>672</v>
      </c>
      <c r="H622" s="13" t="s">
        <v>676</v>
      </c>
      <c r="J622" s="13" t="s">
        <v>584</v>
      </c>
      <c r="K622" s="13" t="s">
        <v>3651</v>
      </c>
      <c r="L622" s="13" t="s">
        <v>585</v>
      </c>
      <c r="N622" s="13">
        <v>50</v>
      </c>
      <c r="O622" s="2">
        <f t="shared" si="54"/>
        <v>0.73529411764705888</v>
      </c>
      <c r="P622" s="13">
        <v>25</v>
      </c>
      <c r="Q622" s="2">
        <f t="shared" si="55"/>
        <v>0.33333333333333331</v>
      </c>
      <c r="R622" s="13">
        <v>68</v>
      </c>
      <c r="S622" s="13">
        <v>75</v>
      </c>
      <c r="W622" s="13">
        <v>68.400000000000006</v>
      </c>
      <c r="X622" s="13">
        <v>11.5</v>
      </c>
      <c r="AB622" s="13">
        <v>68.3</v>
      </c>
      <c r="AC622" s="13">
        <v>9.4</v>
      </c>
      <c r="AG622" s="13" t="s">
        <v>639</v>
      </c>
      <c r="BG622" s="13">
        <v>50</v>
      </c>
      <c r="BI622" s="13">
        <v>36</v>
      </c>
      <c r="BJ622" s="13">
        <v>70</v>
      </c>
      <c r="BR622" s="13">
        <v>50</v>
      </c>
      <c r="BT622" s="13">
        <v>38</v>
      </c>
      <c r="BU622" s="13">
        <v>68</v>
      </c>
      <c r="BY622" s="13" t="s">
        <v>380</v>
      </c>
      <c r="BZ622" s="13" t="s">
        <v>381</v>
      </c>
      <c r="CA622" s="13">
        <v>2019</v>
      </c>
      <c r="CB622" s="13" t="s">
        <v>25</v>
      </c>
      <c r="CC622" s="13" t="s">
        <v>382</v>
      </c>
      <c r="CD622" s="13">
        <v>76</v>
      </c>
      <c r="CE622" s="13">
        <v>3</v>
      </c>
      <c r="CF622" s="13" t="s">
        <v>383</v>
      </c>
      <c r="CG622" s="13" t="s">
        <v>384</v>
      </c>
    </row>
    <row r="623" spans="1:85">
      <c r="A623" s="13" t="s">
        <v>1767</v>
      </c>
      <c r="C623" s="13" t="s">
        <v>385</v>
      </c>
      <c r="D623" s="13" t="s">
        <v>830</v>
      </c>
      <c r="E623" s="13" t="s">
        <v>630</v>
      </c>
      <c r="F623" s="13" t="s">
        <v>1074</v>
      </c>
      <c r="G623" s="13" t="s">
        <v>672</v>
      </c>
      <c r="H623" s="13" t="s">
        <v>4141</v>
      </c>
      <c r="J623" s="13" t="s">
        <v>584</v>
      </c>
      <c r="K623" s="13" t="s">
        <v>3651</v>
      </c>
      <c r="L623" s="13" t="s">
        <v>4156</v>
      </c>
      <c r="M623" s="16" t="s">
        <v>4157</v>
      </c>
      <c r="N623" s="13">
        <v>50</v>
      </c>
      <c r="O623" s="2">
        <f t="shared" si="54"/>
        <v>0.73529411764705888</v>
      </c>
      <c r="P623" s="13">
        <v>25</v>
      </c>
      <c r="Q623" s="2">
        <f t="shared" si="55"/>
        <v>0.33333333333333331</v>
      </c>
      <c r="R623" s="13">
        <v>68</v>
      </c>
      <c r="S623" s="13">
        <v>75</v>
      </c>
      <c r="W623" s="13">
        <v>68.400000000000006</v>
      </c>
      <c r="X623" s="13">
        <v>11.5</v>
      </c>
      <c r="AB623" s="13">
        <v>68.3</v>
      </c>
      <c r="AC623" s="13">
        <v>9.4</v>
      </c>
      <c r="AG623" s="13" t="s">
        <v>639</v>
      </c>
      <c r="BG623" s="13">
        <v>11</v>
      </c>
      <c r="BI623" s="13">
        <v>8</v>
      </c>
      <c r="BJ623" s="13">
        <v>15</v>
      </c>
      <c r="BR623" s="13">
        <v>17</v>
      </c>
      <c r="BT623" s="13">
        <v>12</v>
      </c>
      <c r="BU623" s="13">
        <v>22</v>
      </c>
      <c r="BY623" s="13" t="s">
        <v>380</v>
      </c>
      <c r="BZ623" s="13" t="s">
        <v>381</v>
      </c>
      <c r="CA623" s="13">
        <v>2019</v>
      </c>
      <c r="CB623" s="13" t="s">
        <v>25</v>
      </c>
      <c r="CC623" s="13" t="s">
        <v>382</v>
      </c>
      <c r="CD623" s="13">
        <v>76</v>
      </c>
      <c r="CE623" s="13">
        <v>3</v>
      </c>
      <c r="CF623" s="13" t="s">
        <v>383</v>
      </c>
      <c r="CG623" s="13" t="s">
        <v>384</v>
      </c>
    </row>
    <row r="624" spans="1:85">
      <c r="A624" s="13" t="s">
        <v>1767</v>
      </c>
      <c r="C624" s="13" t="s">
        <v>385</v>
      </c>
      <c r="D624" s="13" t="s">
        <v>830</v>
      </c>
      <c r="E624" s="13" t="s">
        <v>630</v>
      </c>
      <c r="F624" s="13" t="s">
        <v>1074</v>
      </c>
      <c r="G624" s="13" t="s">
        <v>672</v>
      </c>
      <c r="H624" s="13" t="s">
        <v>684</v>
      </c>
      <c r="I624" s="13" t="s">
        <v>1075</v>
      </c>
      <c r="J624" s="13" t="s">
        <v>584</v>
      </c>
      <c r="K624" s="13" t="s">
        <v>3651</v>
      </c>
      <c r="L624" s="13" t="s">
        <v>585</v>
      </c>
      <c r="N624" s="13">
        <v>50</v>
      </c>
      <c r="O624" s="2">
        <f t="shared" si="54"/>
        <v>0.73529411764705888</v>
      </c>
      <c r="P624" s="13">
        <v>25</v>
      </c>
      <c r="Q624" s="2">
        <f t="shared" si="55"/>
        <v>0.33333333333333331</v>
      </c>
      <c r="R624" s="13">
        <v>68</v>
      </c>
      <c r="S624" s="13">
        <v>75</v>
      </c>
      <c r="W624" s="13">
        <v>68.400000000000006</v>
      </c>
      <c r="X624" s="13">
        <v>11.5</v>
      </c>
      <c r="AB624" s="13">
        <v>68.3</v>
      </c>
      <c r="AC624" s="13">
        <v>9.4</v>
      </c>
      <c r="AG624" s="13" t="s">
        <v>639</v>
      </c>
      <c r="AT624" s="13">
        <v>91</v>
      </c>
      <c r="BY624" s="13" t="s">
        <v>380</v>
      </c>
      <c r="BZ624" s="13" t="s">
        <v>381</v>
      </c>
      <c r="CA624" s="13">
        <v>2019</v>
      </c>
      <c r="CB624" s="13" t="s">
        <v>25</v>
      </c>
      <c r="CC624" s="13" t="s">
        <v>382</v>
      </c>
      <c r="CD624" s="13">
        <v>76</v>
      </c>
      <c r="CE624" s="13">
        <v>3</v>
      </c>
      <c r="CF624" s="13" t="s">
        <v>383</v>
      </c>
      <c r="CG624" s="13" t="s">
        <v>384</v>
      </c>
    </row>
    <row r="625" spans="1:85">
      <c r="A625" s="13" t="s">
        <v>3410</v>
      </c>
      <c r="C625" s="13" t="s">
        <v>3338</v>
      </c>
      <c r="D625" s="14" t="s">
        <v>830</v>
      </c>
      <c r="E625" s="13" t="s">
        <v>630</v>
      </c>
      <c r="F625" s="13" t="s">
        <v>3901</v>
      </c>
      <c r="G625" s="13" t="s">
        <v>3902</v>
      </c>
      <c r="H625" s="13" t="s">
        <v>858</v>
      </c>
      <c r="J625" s="14" t="s">
        <v>584</v>
      </c>
      <c r="K625" s="13" t="s">
        <v>3900</v>
      </c>
      <c r="L625" s="13" t="s">
        <v>3903</v>
      </c>
      <c r="M625" s="13" t="s">
        <v>3904</v>
      </c>
      <c r="N625" s="13">
        <v>11</v>
      </c>
      <c r="O625" s="2">
        <f t="shared" si="54"/>
        <v>0.55000000000000004</v>
      </c>
      <c r="P625" s="13">
        <v>24</v>
      </c>
      <c r="Q625" s="17">
        <f t="shared" si="55"/>
        <v>0.6</v>
      </c>
      <c r="R625" s="13">
        <v>20</v>
      </c>
      <c r="S625" s="13">
        <v>40</v>
      </c>
      <c r="BY625" s="13" t="s">
        <v>3567</v>
      </c>
      <c r="BZ625" s="13" t="s">
        <v>3568</v>
      </c>
      <c r="CA625" s="13">
        <v>2025</v>
      </c>
      <c r="CB625" s="21">
        <v>45730</v>
      </c>
      <c r="CC625" s="13" t="s">
        <v>3569</v>
      </c>
      <c r="CG625" s="13" t="s">
        <v>3265</v>
      </c>
    </row>
    <row r="626" spans="1:85">
      <c r="A626" s="13" t="s">
        <v>1722</v>
      </c>
      <c r="B626" s="13" t="s">
        <v>1883</v>
      </c>
      <c r="C626" s="13" t="s">
        <v>390</v>
      </c>
      <c r="D626" s="13" t="s">
        <v>830</v>
      </c>
      <c r="E626" s="13" t="s">
        <v>930</v>
      </c>
      <c r="F626" s="13" t="s">
        <v>929</v>
      </c>
      <c r="G626" s="13" t="s">
        <v>673</v>
      </c>
      <c r="H626" s="13" t="s">
        <v>931</v>
      </c>
      <c r="J626" s="13" t="s">
        <v>703</v>
      </c>
      <c r="L626" s="13" t="s">
        <v>902</v>
      </c>
      <c r="R626" s="13">
        <v>18</v>
      </c>
      <c r="S626" s="13">
        <v>17</v>
      </c>
      <c r="AJ626" s="13">
        <v>66</v>
      </c>
      <c r="AM626" s="13">
        <v>100</v>
      </c>
      <c r="BY626" s="13" t="s">
        <v>386</v>
      </c>
      <c r="BZ626" s="13" t="s">
        <v>387</v>
      </c>
      <c r="CA626" s="13">
        <v>2022</v>
      </c>
      <c r="CC626" s="13" t="s">
        <v>388</v>
      </c>
      <c r="CD626" s="13">
        <v>9</v>
      </c>
      <c r="CF626" s="13">
        <v>861960</v>
      </c>
      <c r="CG626" s="13" t="s">
        <v>389</v>
      </c>
    </row>
    <row r="627" spans="1:85">
      <c r="A627" s="13" t="s">
        <v>1722</v>
      </c>
      <c r="B627" s="13" t="s">
        <v>1883</v>
      </c>
      <c r="C627" s="13" t="s">
        <v>390</v>
      </c>
      <c r="D627" s="13" t="s">
        <v>830</v>
      </c>
      <c r="E627" s="13" t="s">
        <v>930</v>
      </c>
      <c r="F627" s="13" t="s">
        <v>929</v>
      </c>
      <c r="G627" s="13" t="s">
        <v>673</v>
      </c>
      <c r="H627" s="13" t="s">
        <v>932</v>
      </c>
      <c r="J627" s="13" t="s">
        <v>703</v>
      </c>
      <c r="L627" s="13" t="s">
        <v>902</v>
      </c>
      <c r="R627" s="13">
        <v>18</v>
      </c>
      <c r="S627" s="13">
        <v>17</v>
      </c>
      <c r="AJ627" s="13">
        <v>83</v>
      </c>
      <c r="AM627" s="13">
        <v>83</v>
      </c>
      <c r="BY627" s="13" t="s">
        <v>386</v>
      </c>
      <c r="BZ627" s="13" t="s">
        <v>387</v>
      </c>
      <c r="CA627" s="13">
        <v>2022</v>
      </c>
      <c r="CC627" s="13" t="s">
        <v>388</v>
      </c>
      <c r="CD627" s="13">
        <v>9</v>
      </c>
      <c r="CF627" s="13">
        <v>861960</v>
      </c>
      <c r="CG627" s="13" t="s">
        <v>389</v>
      </c>
    </row>
    <row r="628" spans="1:85">
      <c r="A628" s="13" t="s">
        <v>1722</v>
      </c>
      <c r="B628" s="13" t="s">
        <v>1883</v>
      </c>
      <c r="C628" s="13" t="s">
        <v>390</v>
      </c>
      <c r="D628" s="13" t="s">
        <v>830</v>
      </c>
      <c r="E628" s="13" t="s">
        <v>930</v>
      </c>
      <c r="F628" s="13" t="s">
        <v>929</v>
      </c>
      <c r="G628" s="13" t="s">
        <v>673</v>
      </c>
      <c r="H628" s="13" t="s">
        <v>933</v>
      </c>
      <c r="J628" s="13" t="s">
        <v>703</v>
      </c>
      <c r="L628" s="13" t="s">
        <v>902</v>
      </c>
      <c r="R628" s="13">
        <v>18</v>
      </c>
      <c r="S628" s="13">
        <v>17</v>
      </c>
      <c r="AJ628" s="13">
        <v>75</v>
      </c>
      <c r="AM628" s="13">
        <v>66</v>
      </c>
      <c r="BY628" s="13" t="s">
        <v>386</v>
      </c>
      <c r="BZ628" s="13" t="s">
        <v>387</v>
      </c>
      <c r="CA628" s="13">
        <v>2022</v>
      </c>
      <c r="CC628" s="13" t="s">
        <v>388</v>
      </c>
      <c r="CD628" s="13">
        <v>9</v>
      </c>
      <c r="CF628" s="13">
        <v>861960</v>
      </c>
      <c r="CG628" s="13" t="s">
        <v>389</v>
      </c>
    </row>
    <row r="629" spans="1:85">
      <c r="A629" s="13" t="s">
        <v>1722</v>
      </c>
      <c r="B629" s="13" t="s">
        <v>1883</v>
      </c>
      <c r="C629" s="13" t="s">
        <v>390</v>
      </c>
      <c r="D629" s="13" t="s">
        <v>830</v>
      </c>
      <c r="E629" s="13" t="s">
        <v>930</v>
      </c>
      <c r="F629" s="13" t="s">
        <v>929</v>
      </c>
      <c r="G629" s="13" t="s">
        <v>673</v>
      </c>
      <c r="H629" s="13" t="s">
        <v>684</v>
      </c>
      <c r="I629" s="13" t="s">
        <v>934</v>
      </c>
      <c r="J629" s="13" t="s">
        <v>703</v>
      </c>
      <c r="L629" s="13" t="s">
        <v>902</v>
      </c>
      <c r="R629" s="13">
        <v>18</v>
      </c>
      <c r="S629" s="13">
        <v>17</v>
      </c>
      <c r="AJ629" s="13">
        <v>91</v>
      </c>
      <c r="AM629" s="13">
        <v>83</v>
      </c>
      <c r="BY629" s="13" t="s">
        <v>386</v>
      </c>
      <c r="BZ629" s="13" t="s">
        <v>387</v>
      </c>
      <c r="CA629" s="13">
        <v>2022</v>
      </c>
      <c r="CC629" s="13" t="s">
        <v>388</v>
      </c>
      <c r="CD629" s="13">
        <v>9</v>
      </c>
      <c r="CF629" s="13">
        <v>861960</v>
      </c>
      <c r="CG629" s="13" t="s">
        <v>389</v>
      </c>
    </row>
    <row r="630" spans="1:85">
      <c r="A630" s="13" t="s">
        <v>3411</v>
      </c>
      <c r="C630" s="13" t="s">
        <v>3339</v>
      </c>
      <c r="D630" s="14" t="s">
        <v>830</v>
      </c>
      <c r="E630" s="13" t="s">
        <v>630</v>
      </c>
      <c r="F630" s="13" t="s">
        <v>3908</v>
      </c>
      <c r="H630" s="13" t="s">
        <v>3905</v>
      </c>
      <c r="J630" s="14" t="s">
        <v>2483</v>
      </c>
      <c r="K630" s="13" t="s">
        <v>3906</v>
      </c>
      <c r="L630" s="13" t="s">
        <v>3907</v>
      </c>
      <c r="N630" s="13">
        <v>239</v>
      </c>
      <c r="O630" s="2">
        <f>N630/R630</f>
        <v>0.60201511335012592</v>
      </c>
      <c r="P630" s="13">
        <v>357</v>
      </c>
      <c r="Q630" s="17">
        <f>P630/S630</f>
        <v>0.55348837209302326</v>
      </c>
      <c r="R630" s="13">
        <v>397</v>
      </c>
      <c r="S630" s="13">
        <v>645</v>
      </c>
      <c r="W630" s="13">
        <v>63.6</v>
      </c>
      <c r="AB630" s="13">
        <v>62.3</v>
      </c>
      <c r="BY630" s="13" t="s">
        <v>3570</v>
      </c>
      <c r="BZ630" s="13" t="s">
        <v>3571</v>
      </c>
      <c r="CA630" s="13">
        <v>2024</v>
      </c>
      <c r="CB630" s="21">
        <v>46006</v>
      </c>
      <c r="CC630" s="13" t="s">
        <v>362</v>
      </c>
      <c r="CD630" s="13">
        <v>10</v>
      </c>
      <c r="CE630" s="13">
        <v>23</v>
      </c>
      <c r="CF630" s="13" t="s">
        <v>3572</v>
      </c>
      <c r="CG630" s="13" t="s">
        <v>3266</v>
      </c>
    </row>
    <row r="631" spans="1:85">
      <c r="A631" s="13" t="s">
        <v>3412</v>
      </c>
      <c r="C631" s="13" t="s">
        <v>3340</v>
      </c>
      <c r="D631" s="14" t="s">
        <v>898</v>
      </c>
      <c r="E631" s="13" t="s">
        <v>3909</v>
      </c>
      <c r="F631" s="13" t="s">
        <v>3909</v>
      </c>
      <c r="G631" s="13" t="s">
        <v>3819</v>
      </c>
      <c r="H631" s="13" t="s">
        <v>3910</v>
      </c>
      <c r="J631" s="14" t="s">
        <v>584</v>
      </c>
      <c r="K631" s="13" t="s">
        <v>3676</v>
      </c>
      <c r="BY631" s="13" t="s">
        <v>3573</v>
      </c>
      <c r="BZ631" s="13" t="s">
        <v>3574</v>
      </c>
      <c r="CA631" s="13">
        <v>2025</v>
      </c>
      <c r="CB631" s="21">
        <v>45713</v>
      </c>
      <c r="CC631" s="13" t="s">
        <v>13</v>
      </c>
      <c r="CD631" s="13">
        <v>272</v>
      </c>
      <c r="CE631" s="13">
        <v>3</v>
      </c>
      <c r="CF631" s="13">
        <v>230</v>
      </c>
      <c r="CG631" s="13" t="s">
        <v>3267</v>
      </c>
    </row>
    <row r="632" spans="1:85">
      <c r="A632" s="13" t="s">
        <v>1723</v>
      </c>
      <c r="B632" s="13" t="s">
        <v>1884</v>
      </c>
      <c r="C632" s="13" t="s">
        <v>395</v>
      </c>
      <c r="D632" s="13" t="s">
        <v>830</v>
      </c>
      <c r="E632" s="13" t="s">
        <v>630</v>
      </c>
      <c r="F632" s="13" t="s">
        <v>935</v>
      </c>
      <c r="G632" s="13" t="s">
        <v>674</v>
      </c>
      <c r="H632" s="13" t="s">
        <v>684</v>
      </c>
      <c r="I632" s="13" t="s">
        <v>936</v>
      </c>
      <c r="J632" s="13" t="s">
        <v>703</v>
      </c>
      <c r="K632" s="13" t="s">
        <v>4092</v>
      </c>
      <c r="L632" s="13" t="s">
        <v>1982</v>
      </c>
      <c r="M632" s="13" t="s">
        <v>937</v>
      </c>
      <c r="N632" s="13">
        <v>64</v>
      </c>
      <c r="O632" s="2">
        <f t="shared" ref="O632:O642" si="56">N632/R632</f>
        <v>0.60377358490566035</v>
      </c>
      <c r="P632" s="13">
        <v>15</v>
      </c>
      <c r="Q632" s="17">
        <f t="shared" ref="Q632:Q642" si="57">P632/S632</f>
        <v>0.41666666666666669</v>
      </c>
      <c r="R632" s="13">
        <v>106</v>
      </c>
      <c r="S632" s="13">
        <v>36</v>
      </c>
      <c r="V632" s="13">
        <v>10</v>
      </c>
      <c r="Y632" s="13">
        <v>67</v>
      </c>
      <c r="AD632" s="13">
        <v>61</v>
      </c>
      <c r="AP632" s="13">
        <v>0.93</v>
      </c>
      <c r="BY632" s="13" t="s">
        <v>391</v>
      </c>
      <c r="BZ632" s="13" t="s">
        <v>392</v>
      </c>
      <c r="CA632" s="13">
        <v>2021</v>
      </c>
      <c r="CC632" s="13" t="s">
        <v>393</v>
      </c>
      <c r="CD632" s="13">
        <v>16</v>
      </c>
      <c r="CG632" s="13" t="s">
        <v>394</v>
      </c>
    </row>
    <row r="633" spans="1:85">
      <c r="A633" s="13" t="s">
        <v>1723</v>
      </c>
      <c r="B633" s="13" t="s">
        <v>1884</v>
      </c>
      <c r="C633" s="13" t="s">
        <v>395</v>
      </c>
      <c r="D633" s="13" t="s">
        <v>830</v>
      </c>
      <c r="E633" s="13" t="s">
        <v>938</v>
      </c>
      <c r="F633" s="13" t="s">
        <v>940</v>
      </c>
      <c r="G633" s="13" t="s">
        <v>674</v>
      </c>
      <c r="H633" s="13" t="s">
        <v>684</v>
      </c>
      <c r="I633" s="13" t="s">
        <v>936</v>
      </c>
      <c r="J633" s="13" t="s">
        <v>703</v>
      </c>
      <c r="K633" s="13" t="s">
        <v>4092</v>
      </c>
      <c r="L633" s="13" t="s">
        <v>1982</v>
      </c>
      <c r="M633" s="13" t="s">
        <v>937</v>
      </c>
      <c r="N633" s="13">
        <v>64</v>
      </c>
      <c r="O633" s="2">
        <f t="shared" si="56"/>
        <v>0.60377358490566035</v>
      </c>
      <c r="P633" s="13">
        <v>13</v>
      </c>
      <c r="Q633" s="17">
        <f t="shared" si="57"/>
        <v>0.4642857142857143</v>
      </c>
      <c r="R633" s="13">
        <v>106</v>
      </c>
      <c r="S633" s="13">
        <v>28</v>
      </c>
      <c r="V633" s="13">
        <v>10</v>
      </c>
      <c r="Y633" s="13">
        <v>67</v>
      </c>
      <c r="AD633" s="13">
        <v>53</v>
      </c>
      <c r="AP633" s="13">
        <v>0.93</v>
      </c>
      <c r="BY633" s="13" t="s">
        <v>391</v>
      </c>
      <c r="BZ633" s="13" t="s">
        <v>392</v>
      </c>
      <c r="CA633" s="13">
        <v>2021</v>
      </c>
      <c r="CC633" s="13" t="s">
        <v>393</v>
      </c>
      <c r="CD633" s="13">
        <v>16</v>
      </c>
      <c r="CG633" s="13" t="s">
        <v>394</v>
      </c>
    </row>
    <row r="634" spans="1:85">
      <c r="A634" s="13" t="s">
        <v>1723</v>
      </c>
      <c r="B634" s="13" t="s">
        <v>1884</v>
      </c>
      <c r="C634" s="13" t="s">
        <v>395</v>
      </c>
      <c r="D634" s="13" t="s">
        <v>830</v>
      </c>
      <c r="E634" s="13" t="s">
        <v>939</v>
      </c>
      <c r="F634" s="13" t="s">
        <v>941</v>
      </c>
      <c r="G634" s="13" t="s">
        <v>674</v>
      </c>
      <c r="H634" s="13" t="s">
        <v>684</v>
      </c>
      <c r="I634" s="13" t="s">
        <v>936</v>
      </c>
      <c r="J634" s="13" t="s">
        <v>703</v>
      </c>
      <c r="K634" s="13" t="s">
        <v>4092</v>
      </c>
      <c r="L634" s="13" t="s">
        <v>1982</v>
      </c>
      <c r="M634" s="13" t="s">
        <v>937</v>
      </c>
      <c r="N634" s="13">
        <v>64</v>
      </c>
      <c r="O634" s="2">
        <f t="shared" si="56"/>
        <v>0.60377358490566035</v>
      </c>
      <c r="P634" s="13">
        <v>32</v>
      </c>
      <c r="Q634" s="17">
        <f t="shared" si="57"/>
        <v>1</v>
      </c>
      <c r="R634" s="13">
        <v>106</v>
      </c>
      <c r="S634" s="13">
        <v>32</v>
      </c>
      <c r="V634" s="13">
        <v>10</v>
      </c>
      <c r="Y634" s="13">
        <v>67</v>
      </c>
      <c r="AD634" s="13">
        <v>62</v>
      </c>
      <c r="AP634" s="13">
        <v>0.95</v>
      </c>
      <c r="BY634" s="13" t="s">
        <v>391</v>
      </c>
      <c r="BZ634" s="13" t="s">
        <v>392</v>
      </c>
      <c r="CA634" s="13">
        <v>2021</v>
      </c>
      <c r="CC634" s="13" t="s">
        <v>393</v>
      </c>
      <c r="CD634" s="13">
        <v>16</v>
      </c>
      <c r="CG634" s="13" t="s">
        <v>394</v>
      </c>
    </row>
    <row r="635" spans="1:85">
      <c r="A635" s="13" t="s">
        <v>1723</v>
      </c>
      <c r="B635" s="13" t="s">
        <v>1884</v>
      </c>
      <c r="C635" s="13" t="s">
        <v>395</v>
      </c>
      <c r="D635" s="13" t="s">
        <v>830</v>
      </c>
      <c r="E635" s="13" t="s">
        <v>630</v>
      </c>
      <c r="F635" s="13" t="s">
        <v>935</v>
      </c>
      <c r="G635" s="13" t="s">
        <v>674</v>
      </c>
      <c r="H635" s="13" t="s">
        <v>684</v>
      </c>
      <c r="I635" s="13" t="s">
        <v>942</v>
      </c>
      <c r="J635" s="13" t="s">
        <v>703</v>
      </c>
      <c r="K635" s="13" t="s">
        <v>4092</v>
      </c>
      <c r="L635" s="13" t="s">
        <v>1982</v>
      </c>
      <c r="M635" s="13" t="s">
        <v>937</v>
      </c>
      <c r="N635" s="13">
        <v>64</v>
      </c>
      <c r="O635" s="2">
        <f t="shared" si="56"/>
        <v>0.60377358490566035</v>
      </c>
      <c r="P635" s="13">
        <v>15</v>
      </c>
      <c r="Q635" s="17">
        <f t="shared" si="57"/>
        <v>0.41666666666666669</v>
      </c>
      <c r="R635" s="13">
        <v>106</v>
      </c>
      <c r="S635" s="13">
        <v>36</v>
      </c>
      <c r="V635" s="13">
        <v>10</v>
      </c>
      <c r="Y635" s="13">
        <v>67</v>
      </c>
      <c r="AD635" s="13">
        <v>61</v>
      </c>
      <c r="AP635" s="13">
        <v>0.92</v>
      </c>
      <c r="BY635" s="13" t="s">
        <v>391</v>
      </c>
      <c r="BZ635" s="13" t="s">
        <v>392</v>
      </c>
      <c r="CA635" s="13">
        <v>2021</v>
      </c>
      <c r="CC635" s="13" t="s">
        <v>393</v>
      </c>
      <c r="CD635" s="13">
        <v>16</v>
      </c>
      <c r="CG635" s="13" t="s">
        <v>394</v>
      </c>
    </row>
    <row r="636" spans="1:85">
      <c r="A636" s="13" t="s">
        <v>1723</v>
      </c>
      <c r="B636" s="13" t="s">
        <v>1884</v>
      </c>
      <c r="C636" s="13" t="s">
        <v>395</v>
      </c>
      <c r="D636" s="13" t="s">
        <v>830</v>
      </c>
      <c r="E636" s="13" t="s">
        <v>938</v>
      </c>
      <c r="F636" s="13" t="s">
        <v>940</v>
      </c>
      <c r="G636" s="13" t="s">
        <v>674</v>
      </c>
      <c r="H636" s="13" t="s">
        <v>684</v>
      </c>
      <c r="I636" s="13" t="s">
        <v>942</v>
      </c>
      <c r="J636" s="13" t="s">
        <v>703</v>
      </c>
      <c r="K636" s="13" t="s">
        <v>4092</v>
      </c>
      <c r="L636" s="13" t="s">
        <v>1982</v>
      </c>
      <c r="M636" s="13" t="s">
        <v>937</v>
      </c>
      <c r="N636" s="13">
        <v>64</v>
      </c>
      <c r="O636" s="2">
        <f t="shared" si="56"/>
        <v>0.60377358490566035</v>
      </c>
      <c r="P636" s="13">
        <v>13</v>
      </c>
      <c r="Q636" s="17">
        <f t="shared" si="57"/>
        <v>0.4642857142857143</v>
      </c>
      <c r="R636" s="13">
        <v>106</v>
      </c>
      <c r="S636" s="13">
        <v>28</v>
      </c>
      <c r="V636" s="13">
        <v>10</v>
      </c>
      <c r="Y636" s="13">
        <v>67</v>
      </c>
      <c r="AD636" s="13">
        <v>53</v>
      </c>
      <c r="AP636" s="13">
        <v>0.95</v>
      </c>
      <c r="BY636" s="13" t="s">
        <v>391</v>
      </c>
      <c r="BZ636" s="13" t="s">
        <v>392</v>
      </c>
      <c r="CA636" s="13">
        <v>2021</v>
      </c>
      <c r="CC636" s="13" t="s">
        <v>393</v>
      </c>
      <c r="CD636" s="13">
        <v>16</v>
      </c>
      <c r="CG636" s="13" t="s">
        <v>394</v>
      </c>
    </row>
    <row r="637" spans="1:85">
      <c r="A637" s="13" t="s">
        <v>1723</v>
      </c>
      <c r="B637" s="13" t="s">
        <v>1884</v>
      </c>
      <c r="C637" s="13" t="s">
        <v>395</v>
      </c>
      <c r="D637" s="13" t="s">
        <v>830</v>
      </c>
      <c r="E637" s="13" t="s">
        <v>939</v>
      </c>
      <c r="F637" s="13" t="s">
        <v>941</v>
      </c>
      <c r="G637" s="13" t="s">
        <v>674</v>
      </c>
      <c r="H637" s="13" t="s">
        <v>684</v>
      </c>
      <c r="I637" s="13" t="s">
        <v>942</v>
      </c>
      <c r="J637" s="13" t="s">
        <v>703</v>
      </c>
      <c r="K637" s="13" t="s">
        <v>4092</v>
      </c>
      <c r="L637" s="13" t="s">
        <v>1982</v>
      </c>
      <c r="M637" s="13" t="s">
        <v>937</v>
      </c>
      <c r="N637" s="13">
        <v>64</v>
      </c>
      <c r="O637" s="2">
        <f t="shared" si="56"/>
        <v>0.60377358490566035</v>
      </c>
      <c r="P637" s="13">
        <v>32</v>
      </c>
      <c r="Q637" s="17">
        <f t="shared" si="57"/>
        <v>1</v>
      </c>
      <c r="R637" s="13">
        <v>106</v>
      </c>
      <c r="S637" s="13">
        <v>32</v>
      </c>
      <c r="V637" s="13">
        <v>10</v>
      </c>
      <c r="Y637" s="13">
        <v>67</v>
      </c>
      <c r="AD637" s="13">
        <v>62</v>
      </c>
      <c r="AP637" s="13">
        <v>0.93</v>
      </c>
      <c r="BY637" s="13" t="s">
        <v>391</v>
      </c>
      <c r="BZ637" s="13" t="s">
        <v>392</v>
      </c>
      <c r="CA637" s="13">
        <v>2021</v>
      </c>
      <c r="CC637" s="13" t="s">
        <v>393</v>
      </c>
      <c r="CD637" s="13">
        <v>16</v>
      </c>
      <c r="CG637" s="13" t="s">
        <v>394</v>
      </c>
    </row>
    <row r="638" spans="1:85">
      <c r="A638" s="13" t="s">
        <v>1885</v>
      </c>
      <c r="B638" s="13" t="s">
        <v>1885</v>
      </c>
      <c r="C638" s="14" t="s">
        <v>1459</v>
      </c>
      <c r="D638" s="14" t="s">
        <v>2772</v>
      </c>
      <c r="E638" s="13" t="s">
        <v>657</v>
      </c>
      <c r="F638" s="13" t="s">
        <v>2774</v>
      </c>
      <c r="G638" s="13" t="s">
        <v>673</v>
      </c>
      <c r="H638" s="13" t="s">
        <v>2419</v>
      </c>
      <c r="J638" s="14" t="s">
        <v>726</v>
      </c>
      <c r="K638" s="14" t="s">
        <v>2783</v>
      </c>
      <c r="L638" s="13" t="s">
        <v>585</v>
      </c>
      <c r="N638" s="13">
        <v>25</v>
      </c>
      <c r="O638" s="2">
        <f t="shared" si="56"/>
        <v>0.5</v>
      </c>
      <c r="P638" s="13">
        <v>16</v>
      </c>
      <c r="Q638" s="17">
        <f t="shared" si="57"/>
        <v>0.32</v>
      </c>
      <c r="R638" s="13">
        <v>50</v>
      </c>
      <c r="S638" s="13">
        <v>50</v>
      </c>
      <c r="W638" s="13">
        <v>52.3</v>
      </c>
      <c r="X638" s="13">
        <v>11.9</v>
      </c>
      <c r="AB638" s="13">
        <v>36.6</v>
      </c>
      <c r="AC638" s="13">
        <v>11.7</v>
      </c>
      <c r="AG638" s="13" t="s">
        <v>2773</v>
      </c>
      <c r="BB638" s="13">
        <v>151.5</v>
      </c>
      <c r="BC638" s="13">
        <v>92.7</v>
      </c>
      <c r="BM638" s="13">
        <v>127.2</v>
      </c>
      <c r="BN638" s="13">
        <v>88.1</v>
      </c>
      <c r="BX638" s="13">
        <v>0.88700000000000001</v>
      </c>
      <c r="BY638" s="13" t="s">
        <v>1455</v>
      </c>
      <c r="BZ638" s="13" t="s">
        <v>1456</v>
      </c>
      <c r="CA638" s="13">
        <v>2021</v>
      </c>
      <c r="CB638" s="13" t="s">
        <v>162</v>
      </c>
      <c r="CC638" s="13" t="s">
        <v>1457</v>
      </c>
      <c r="CD638" s="13">
        <v>25</v>
      </c>
      <c r="CF638" s="13" t="s">
        <v>2167</v>
      </c>
      <c r="CG638" s="13" t="s">
        <v>1458</v>
      </c>
    </row>
    <row r="639" spans="1:85">
      <c r="A639" s="13" t="s">
        <v>1885</v>
      </c>
      <c r="B639" s="13" t="s">
        <v>1885</v>
      </c>
      <c r="C639" s="14" t="s">
        <v>1459</v>
      </c>
      <c r="D639" s="14" t="s">
        <v>2772</v>
      </c>
      <c r="E639" s="13" t="s">
        <v>657</v>
      </c>
      <c r="F639" s="13" t="s">
        <v>2774</v>
      </c>
      <c r="G639" s="13" t="s">
        <v>672</v>
      </c>
      <c r="H639" s="13" t="s">
        <v>2419</v>
      </c>
      <c r="J639" s="14" t="s">
        <v>726</v>
      </c>
      <c r="K639" s="14" t="s">
        <v>2783</v>
      </c>
      <c r="L639" s="13" t="s">
        <v>585</v>
      </c>
      <c r="N639" s="13">
        <v>25</v>
      </c>
      <c r="O639" s="2">
        <f t="shared" si="56"/>
        <v>0.5</v>
      </c>
      <c r="P639" s="13">
        <v>16</v>
      </c>
      <c r="Q639" s="17">
        <f t="shared" si="57"/>
        <v>0.32</v>
      </c>
      <c r="R639" s="13">
        <v>50</v>
      </c>
      <c r="S639" s="13">
        <v>50</v>
      </c>
      <c r="W639" s="13">
        <v>52.3</v>
      </c>
      <c r="X639" s="13">
        <v>11.9</v>
      </c>
      <c r="AB639" s="13">
        <v>36.6</v>
      </c>
      <c r="AC639" s="13">
        <v>11.7</v>
      </c>
      <c r="AG639" s="13" t="s">
        <v>2773</v>
      </c>
      <c r="BB639" s="13">
        <v>8.1</v>
      </c>
      <c r="BC639" s="13">
        <v>5.2</v>
      </c>
      <c r="BM639" s="13">
        <v>5.5</v>
      </c>
      <c r="BN639" s="13">
        <v>4.0999999999999996</v>
      </c>
      <c r="BX639" s="13">
        <v>1E-3</v>
      </c>
      <c r="BY639" s="13" t="s">
        <v>1455</v>
      </c>
      <c r="BZ639" s="13" t="s">
        <v>1456</v>
      </c>
      <c r="CA639" s="13">
        <v>2021</v>
      </c>
      <c r="CB639" s="13" t="s">
        <v>162</v>
      </c>
      <c r="CC639" s="13" t="s">
        <v>1457</v>
      </c>
      <c r="CD639" s="13">
        <v>25</v>
      </c>
      <c r="CF639" s="13" t="s">
        <v>2167</v>
      </c>
      <c r="CG639" s="13" t="s">
        <v>1458</v>
      </c>
    </row>
    <row r="640" spans="1:85">
      <c r="A640" s="13" t="s">
        <v>1886</v>
      </c>
      <c r="B640" s="13" t="s">
        <v>1886</v>
      </c>
      <c r="C640" s="14" t="s">
        <v>1465</v>
      </c>
      <c r="D640" s="14" t="s">
        <v>830</v>
      </c>
      <c r="E640" s="13" t="s">
        <v>630</v>
      </c>
      <c r="F640" s="13" t="s">
        <v>2776</v>
      </c>
      <c r="G640" s="13" t="s">
        <v>672</v>
      </c>
      <c r="H640" s="13" t="s">
        <v>676</v>
      </c>
      <c r="J640" s="14" t="s">
        <v>584</v>
      </c>
      <c r="K640" s="14" t="s">
        <v>2784</v>
      </c>
      <c r="L640" s="13" t="s">
        <v>652</v>
      </c>
      <c r="N640" s="13">
        <v>28</v>
      </c>
      <c r="O640" s="2">
        <f t="shared" si="56"/>
        <v>0.7</v>
      </c>
      <c r="P640" s="13">
        <v>5</v>
      </c>
      <c r="Q640" s="17">
        <f t="shared" si="57"/>
        <v>0.5</v>
      </c>
      <c r="R640" s="13">
        <v>40</v>
      </c>
      <c r="S640" s="13">
        <v>10</v>
      </c>
      <c r="W640" s="13">
        <v>52.41</v>
      </c>
      <c r="X640" s="13">
        <v>12.32</v>
      </c>
      <c r="BY640" s="13" t="s">
        <v>1460</v>
      </c>
      <c r="BZ640" s="13" t="s">
        <v>1461</v>
      </c>
      <c r="CA640" s="13">
        <v>2022</v>
      </c>
      <c r="CB640" s="13" t="s">
        <v>25</v>
      </c>
      <c r="CC640" s="13" t="s">
        <v>1462</v>
      </c>
      <c r="CD640" s="13">
        <v>32</v>
      </c>
      <c r="CE640" s="13">
        <v>2</v>
      </c>
      <c r="CF640" s="13" t="s">
        <v>1463</v>
      </c>
      <c r="CG640" s="13" t="s">
        <v>1464</v>
      </c>
    </row>
    <row r="641" spans="1:85">
      <c r="A641" s="13" t="s">
        <v>1886</v>
      </c>
      <c r="B641" s="13" t="s">
        <v>1886</v>
      </c>
      <c r="C641" s="14" t="s">
        <v>1465</v>
      </c>
      <c r="D641" s="14" t="s">
        <v>830</v>
      </c>
      <c r="E641" s="13" t="s">
        <v>630</v>
      </c>
      <c r="F641" s="13" t="s">
        <v>2776</v>
      </c>
      <c r="G641" s="13" t="s">
        <v>672</v>
      </c>
      <c r="H641" s="13" t="s">
        <v>721</v>
      </c>
      <c r="J641" s="14" t="s">
        <v>584</v>
      </c>
      <c r="K641" s="14" t="s">
        <v>2784</v>
      </c>
      <c r="L641" s="13" t="s">
        <v>652</v>
      </c>
      <c r="M641" s="14" t="s">
        <v>4152</v>
      </c>
      <c r="N641" s="13">
        <v>28</v>
      </c>
      <c r="O641" s="2">
        <f t="shared" si="56"/>
        <v>0.7</v>
      </c>
      <c r="P641" s="13">
        <v>5</v>
      </c>
      <c r="Q641" s="17">
        <f t="shared" si="57"/>
        <v>0.5</v>
      </c>
      <c r="R641" s="13">
        <v>40</v>
      </c>
      <c r="S641" s="13">
        <v>10</v>
      </c>
      <c r="W641" s="13">
        <v>52.41</v>
      </c>
      <c r="X641" s="13">
        <v>12.32</v>
      </c>
      <c r="BY641" s="13" t="s">
        <v>1460</v>
      </c>
      <c r="BZ641" s="13" t="s">
        <v>1461</v>
      </c>
      <c r="CA641" s="13">
        <v>2022</v>
      </c>
      <c r="CB641" s="13" t="s">
        <v>25</v>
      </c>
      <c r="CC641" s="13" t="s">
        <v>1462</v>
      </c>
      <c r="CD641" s="13">
        <v>32</v>
      </c>
      <c r="CE641" s="13">
        <v>2</v>
      </c>
      <c r="CF641" s="13" t="s">
        <v>1463</v>
      </c>
      <c r="CG641" s="13" t="s">
        <v>1464</v>
      </c>
    </row>
    <row r="642" spans="1:85">
      <c r="A642" s="13" t="s">
        <v>1886</v>
      </c>
      <c r="B642" s="13" t="s">
        <v>1886</v>
      </c>
      <c r="C642" s="14" t="s">
        <v>1465</v>
      </c>
      <c r="D642" s="14" t="s">
        <v>830</v>
      </c>
      <c r="E642" s="13" t="s">
        <v>630</v>
      </c>
      <c r="F642" s="13" t="s">
        <v>2776</v>
      </c>
      <c r="G642" s="13" t="s">
        <v>672</v>
      </c>
      <c r="H642" s="13" t="s">
        <v>4160</v>
      </c>
      <c r="J642" s="14" t="s">
        <v>584</v>
      </c>
      <c r="K642" s="14" t="s">
        <v>2784</v>
      </c>
      <c r="L642" s="13" t="s">
        <v>652</v>
      </c>
      <c r="M642" s="14" t="s">
        <v>4152</v>
      </c>
      <c r="N642" s="13">
        <v>28</v>
      </c>
      <c r="O642" s="2">
        <f t="shared" si="56"/>
        <v>0.7</v>
      </c>
      <c r="P642" s="13">
        <v>5</v>
      </c>
      <c r="Q642" s="17">
        <f t="shared" si="57"/>
        <v>0.5</v>
      </c>
      <c r="R642" s="13">
        <v>40</v>
      </c>
      <c r="S642" s="13">
        <v>10</v>
      </c>
      <c r="W642" s="13">
        <v>52.41</v>
      </c>
      <c r="X642" s="13">
        <v>12.32</v>
      </c>
      <c r="BY642" s="13" t="s">
        <v>1460</v>
      </c>
      <c r="BZ642" s="13" t="s">
        <v>1461</v>
      </c>
      <c r="CA642" s="13">
        <v>2022</v>
      </c>
      <c r="CB642" s="13" t="s">
        <v>25</v>
      </c>
      <c r="CC642" s="13" t="s">
        <v>1462</v>
      </c>
      <c r="CD642" s="13">
        <v>32</v>
      </c>
      <c r="CE642" s="13">
        <v>2</v>
      </c>
      <c r="CF642" s="13" t="s">
        <v>1463</v>
      </c>
      <c r="CG642" s="13" t="s">
        <v>1464</v>
      </c>
    </row>
    <row r="643" spans="1:85">
      <c r="A643" s="13" t="s">
        <v>2010</v>
      </c>
      <c r="B643" s="13" t="s">
        <v>2010</v>
      </c>
      <c r="C643" s="13" t="s">
        <v>2012</v>
      </c>
      <c r="D643" s="13" t="s">
        <v>2014</v>
      </c>
      <c r="E643" s="13" t="s">
        <v>630</v>
      </c>
      <c r="F643" s="13" t="s">
        <v>2013</v>
      </c>
      <c r="G643" s="13" t="s">
        <v>673</v>
      </c>
      <c r="H643" s="13" t="s">
        <v>2011</v>
      </c>
      <c r="J643" s="13" t="s">
        <v>629</v>
      </c>
      <c r="K643" s="14" t="s">
        <v>4081</v>
      </c>
      <c r="L643" s="13" t="s">
        <v>2015</v>
      </c>
      <c r="M643" s="13" t="s">
        <v>2016</v>
      </c>
      <c r="R643" s="13">
        <v>89</v>
      </c>
      <c r="S643" s="13">
        <v>21</v>
      </c>
      <c r="T643" s="13">
        <v>0</v>
      </c>
      <c r="U643" s="15">
        <v>0</v>
      </c>
      <c r="V643" s="13">
        <v>0</v>
      </c>
      <c r="AH643" s="13">
        <v>5.0199999999999996</v>
      </c>
      <c r="AJ643" s="13">
        <v>75</v>
      </c>
      <c r="AM643" s="13">
        <v>67</v>
      </c>
      <c r="AP643" s="13">
        <v>7.2700000000000001E-2</v>
      </c>
      <c r="BY643" s="13" t="s">
        <v>2087</v>
      </c>
      <c r="BZ643" s="13" t="s">
        <v>2088</v>
      </c>
      <c r="CA643" s="13">
        <v>2021</v>
      </c>
      <c r="CC643" s="13" t="s">
        <v>2089</v>
      </c>
      <c r="CD643" s="13">
        <v>1</v>
      </c>
      <c r="CG643" s="13" t="s">
        <v>2090</v>
      </c>
    </row>
    <row r="644" spans="1:85">
      <c r="A644" s="13" t="s">
        <v>1724</v>
      </c>
      <c r="B644" s="13" t="s">
        <v>1887</v>
      </c>
      <c r="C644" s="13" t="s">
        <v>399</v>
      </c>
      <c r="D644" s="13" t="s">
        <v>829</v>
      </c>
      <c r="E644" s="13" t="s">
        <v>630</v>
      </c>
      <c r="F644" s="13" t="s">
        <v>943</v>
      </c>
      <c r="G644" s="13" t="s">
        <v>673</v>
      </c>
      <c r="H644" s="13" t="s">
        <v>945</v>
      </c>
      <c r="J644" s="13" t="s">
        <v>629</v>
      </c>
      <c r="K644" s="13" t="s">
        <v>4081</v>
      </c>
      <c r="L644" s="16" t="s">
        <v>1972</v>
      </c>
      <c r="M644" s="16" t="s">
        <v>944</v>
      </c>
      <c r="N644" s="13">
        <v>21</v>
      </c>
      <c r="O644" s="2">
        <f t="shared" ref="O644:O688" si="58">N644/R644</f>
        <v>0.75</v>
      </c>
      <c r="P644" s="13">
        <v>9</v>
      </c>
      <c r="Q644" s="17">
        <f t="shared" ref="Q644:Q655" si="59">P644/S644</f>
        <v>0.40909090909090912</v>
      </c>
      <c r="R644" s="13">
        <v>28</v>
      </c>
      <c r="S644" s="13">
        <v>22</v>
      </c>
      <c r="W644" s="13">
        <v>58.32</v>
      </c>
      <c r="X644" s="13">
        <v>10.82</v>
      </c>
      <c r="Y644" s="13">
        <v>60</v>
      </c>
      <c r="Z644" s="13">
        <v>52.75</v>
      </c>
      <c r="AA644" s="13">
        <v>66</v>
      </c>
      <c r="AB644" s="13">
        <v>67.95</v>
      </c>
      <c r="AC644" s="13">
        <v>6.51</v>
      </c>
      <c r="AD644" s="13">
        <v>68</v>
      </c>
      <c r="AE644" s="13">
        <v>64.5</v>
      </c>
      <c r="AF644" s="13">
        <v>73.5</v>
      </c>
      <c r="BY644" s="13" t="s">
        <v>396</v>
      </c>
      <c r="BZ644" s="13" t="s">
        <v>397</v>
      </c>
      <c r="CA644" s="13">
        <v>2022</v>
      </c>
      <c r="CC644" s="13" t="s">
        <v>105</v>
      </c>
      <c r="CD644" s="13">
        <v>5</v>
      </c>
      <c r="CE644" s="13">
        <v>1</v>
      </c>
      <c r="CG644" s="13" t="s">
        <v>398</v>
      </c>
    </row>
    <row r="645" spans="1:85">
      <c r="A645" s="13" t="s">
        <v>1724</v>
      </c>
      <c r="B645" s="13" t="s">
        <v>1887</v>
      </c>
      <c r="C645" s="13" t="s">
        <v>399</v>
      </c>
      <c r="D645" s="13" t="s">
        <v>829</v>
      </c>
      <c r="E645" s="13" t="s">
        <v>630</v>
      </c>
      <c r="F645" s="13" t="s">
        <v>943</v>
      </c>
      <c r="G645" s="13" t="s">
        <v>673</v>
      </c>
      <c r="H645" s="13" t="s">
        <v>946</v>
      </c>
      <c r="J645" s="13" t="s">
        <v>629</v>
      </c>
      <c r="K645" s="13" t="s">
        <v>4081</v>
      </c>
      <c r="L645" s="16" t="s">
        <v>1972</v>
      </c>
      <c r="M645" s="16" t="s">
        <v>944</v>
      </c>
      <c r="N645" s="13">
        <v>21</v>
      </c>
      <c r="O645" s="2">
        <f t="shared" si="58"/>
        <v>0.75</v>
      </c>
      <c r="P645" s="13">
        <v>9</v>
      </c>
      <c r="Q645" s="17">
        <f t="shared" si="59"/>
        <v>0.40909090909090912</v>
      </c>
      <c r="R645" s="13">
        <v>28</v>
      </c>
      <c r="S645" s="13">
        <v>22</v>
      </c>
      <c r="W645" s="13">
        <v>58.32</v>
      </c>
      <c r="X645" s="13">
        <v>10.82</v>
      </c>
      <c r="Y645" s="13">
        <v>60</v>
      </c>
      <c r="Z645" s="13">
        <v>52.75</v>
      </c>
      <c r="AA645" s="13">
        <v>66</v>
      </c>
      <c r="AB645" s="13">
        <v>67.95</v>
      </c>
      <c r="AC645" s="13">
        <v>6.51</v>
      </c>
      <c r="AD645" s="13">
        <v>68</v>
      </c>
      <c r="AE645" s="13">
        <v>64.5</v>
      </c>
      <c r="AF645" s="13">
        <v>73.5</v>
      </c>
      <c r="BY645" s="13" t="s">
        <v>396</v>
      </c>
      <c r="BZ645" s="13" t="s">
        <v>397</v>
      </c>
      <c r="CA645" s="13">
        <v>2022</v>
      </c>
      <c r="CC645" s="13" t="s">
        <v>105</v>
      </c>
      <c r="CD645" s="13">
        <v>5</v>
      </c>
      <c r="CE645" s="13">
        <v>1</v>
      </c>
      <c r="CG645" s="13" t="s">
        <v>398</v>
      </c>
    </row>
    <row r="646" spans="1:85">
      <c r="A646" s="13" t="s">
        <v>1724</v>
      </c>
      <c r="B646" s="13" t="s">
        <v>1887</v>
      </c>
      <c r="C646" s="13" t="s">
        <v>399</v>
      </c>
      <c r="D646" s="13" t="s">
        <v>829</v>
      </c>
      <c r="E646" s="13" t="s">
        <v>630</v>
      </c>
      <c r="F646" s="13" t="s">
        <v>943</v>
      </c>
      <c r="G646" s="13" t="s">
        <v>673</v>
      </c>
      <c r="H646" s="13" t="s">
        <v>675</v>
      </c>
      <c r="J646" s="13" t="s">
        <v>629</v>
      </c>
      <c r="K646" s="13" t="s">
        <v>4081</v>
      </c>
      <c r="L646" s="16" t="s">
        <v>1972</v>
      </c>
      <c r="M646" s="16" t="s">
        <v>944</v>
      </c>
      <c r="N646" s="13">
        <v>21</v>
      </c>
      <c r="O646" s="2">
        <f t="shared" si="58"/>
        <v>0.75</v>
      </c>
      <c r="P646" s="13">
        <v>9</v>
      </c>
      <c r="Q646" s="17">
        <f t="shared" si="59"/>
        <v>0.40909090909090912</v>
      </c>
      <c r="R646" s="13">
        <v>28</v>
      </c>
      <c r="S646" s="13">
        <v>22</v>
      </c>
      <c r="W646" s="13">
        <v>58.32</v>
      </c>
      <c r="X646" s="13">
        <v>10.82</v>
      </c>
      <c r="Y646" s="13">
        <v>60</v>
      </c>
      <c r="Z646" s="13">
        <v>52.75</v>
      </c>
      <c r="AA646" s="13">
        <v>66</v>
      </c>
      <c r="AB646" s="13">
        <v>67.95</v>
      </c>
      <c r="AC646" s="13">
        <v>6.51</v>
      </c>
      <c r="AD646" s="13">
        <v>68</v>
      </c>
      <c r="AE646" s="13">
        <v>64.5</v>
      </c>
      <c r="AF646" s="13">
        <v>73.5</v>
      </c>
      <c r="BY646" s="13" t="s">
        <v>396</v>
      </c>
      <c r="BZ646" s="13" t="s">
        <v>397</v>
      </c>
      <c r="CA646" s="13">
        <v>2022</v>
      </c>
      <c r="CC646" s="13" t="s">
        <v>105</v>
      </c>
      <c r="CD646" s="13">
        <v>5</v>
      </c>
      <c r="CE646" s="13">
        <v>1</v>
      </c>
      <c r="CG646" s="13" t="s">
        <v>398</v>
      </c>
    </row>
    <row r="647" spans="1:85">
      <c r="A647" s="13" t="s">
        <v>1724</v>
      </c>
      <c r="B647" s="13" t="s">
        <v>1887</v>
      </c>
      <c r="C647" s="13" t="s">
        <v>399</v>
      </c>
      <c r="D647" s="13" t="s">
        <v>829</v>
      </c>
      <c r="E647" s="13" t="s">
        <v>630</v>
      </c>
      <c r="F647" s="13" t="s">
        <v>943</v>
      </c>
      <c r="G647" s="13" t="s">
        <v>673</v>
      </c>
      <c r="H647" s="13" t="s">
        <v>686</v>
      </c>
      <c r="J647" s="13" t="s">
        <v>629</v>
      </c>
      <c r="K647" s="13" t="s">
        <v>4081</v>
      </c>
      <c r="L647" s="16" t="s">
        <v>1972</v>
      </c>
      <c r="M647" s="16" t="s">
        <v>944</v>
      </c>
      <c r="N647" s="13">
        <v>21</v>
      </c>
      <c r="O647" s="2">
        <f t="shared" si="58"/>
        <v>0.75</v>
      </c>
      <c r="P647" s="13">
        <v>9</v>
      </c>
      <c r="Q647" s="17">
        <f t="shared" si="59"/>
        <v>0.40909090909090912</v>
      </c>
      <c r="R647" s="13">
        <v>28</v>
      </c>
      <c r="S647" s="13">
        <v>22</v>
      </c>
      <c r="W647" s="13">
        <v>58.32</v>
      </c>
      <c r="X647" s="13">
        <v>10.82</v>
      </c>
      <c r="Y647" s="13">
        <v>60</v>
      </c>
      <c r="Z647" s="13">
        <v>52.75</v>
      </c>
      <c r="AA647" s="13">
        <v>66</v>
      </c>
      <c r="AB647" s="13">
        <v>67.95</v>
      </c>
      <c r="AC647" s="13">
        <v>6.51</v>
      </c>
      <c r="AD647" s="13">
        <v>68</v>
      </c>
      <c r="AE647" s="13">
        <v>64.5</v>
      </c>
      <c r="AF647" s="13">
        <v>73.5</v>
      </c>
      <c r="BY647" s="13" t="s">
        <v>396</v>
      </c>
      <c r="BZ647" s="13" t="s">
        <v>397</v>
      </c>
      <c r="CA647" s="13">
        <v>2022</v>
      </c>
      <c r="CC647" s="13" t="s">
        <v>105</v>
      </c>
      <c r="CD647" s="13">
        <v>5</v>
      </c>
      <c r="CE647" s="13">
        <v>1</v>
      </c>
      <c r="CG647" s="13" t="s">
        <v>398</v>
      </c>
    </row>
    <row r="648" spans="1:85">
      <c r="A648" s="13" t="s">
        <v>1725</v>
      </c>
      <c r="B648" s="13" t="s">
        <v>1888</v>
      </c>
      <c r="C648" s="13" t="s">
        <v>403</v>
      </c>
      <c r="D648" s="13" t="s">
        <v>827</v>
      </c>
      <c r="E648" s="13" t="s">
        <v>657</v>
      </c>
      <c r="F648" s="13" t="s">
        <v>950</v>
      </c>
      <c r="G648" s="13" t="s">
        <v>725</v>
      </c>
      <c r="H648" s="13" t="s">
        <v>948</v>
      </c>
      <c r="J648" s="13" t="s">
        <v>703</v>
      </c>
      <c r="K648" s="13" t="s">
        <v>2779</v>
      </c>
      <c r="L648" s="16" t="s">
        <v>1973</v>
      </c>
      <c r="M648" s="16" t="s">
        <v>947</v>
      </c>
      <c r="N648" s="13">
        <v>51</v>
      </c>
      <c r="O648" s="2">
        <f t="shared" si="58"/>
        <v>0.55434782608695654</v>
      </c>
      <c r="P648" s="13">
        <v>35</v>
      </c>
      <c r="Q648" s="17">
        <f t="shared" si="59"/>
        <v>0.60344827586206895</v>
      </c>
      <c r="R648" s="13">
        <v>92</v>
      </c>
      <c r="S648" s="13">
        <v>58</v>
      </c>
      <c r="Y648" s="13">
        <v>65</v>
      </c>
      <c r="Z648" s="13">
        <v>58</v>
      </c>
      <c r="AA648" s="13">
        <v>71</v>
      </c>
      <c r="AD648" s="13">
        <v>54</v>
      </c>
      <c r="AE648" s="13">
        <v>40</v>
      </c>
      <c r="AF648" s="13">
        <v>68</v>
      </c>
      <c r="AG648" s="13" t="s">
        <v>949</v>
      </c>
      <c r="BG648" s="13">
        <v>236</v>
      </c>
      <c r="BI648" s="13">
        <v>158</v>
      </c>
      <c r="BJ648" s="13">
        <v>360</v>
      </c>
      <c r="BR648" s="13">
        <v>174</v>
      </c>
      <c r="BT648" s="13">
        <v>113</v>
      </c>
      <c r="BU648" s="13">
        <v>240</v>
      </c>
      <c r="BX648" s="13" t="s">
        <v>635</v>
      </c>
      <c r="BY648" s="13" t="s">
        <v>400</v>
      </c>
      <c r="BZ648" s="13" t="s">
        <v>401</v>
      </c>
      <c r="CA648" s="13">
        <v>2023</v>
      </c>
      <c r="CB648" s="21">
        <v>45452</v>
      </c>
      <c r="CC648" s="13" t="s">
        <v>377</v>
      </c>
      <c r="CD648" s="13">
        <v>23</v>
      </c>
      <c r="CE648" s="13">
        <v>1</v>
      </c>
      <c r="CF648" s="13">
        <v>222</v>
      </c>
      <c r="CG648" s="13" t="s">
        <v>402</v>
      </c>
    </row>
    <row r="649" spans="1:85">
      <c r="A649" s="13" t="s">
        <v>1889</v>
      </c>
      <c r="B649" s="13" t="s">
        <v>1889</v>
      </c>
      <c r="C649" s="14" t="s">
        <v>1474</v>
      </c>
      <c r="D649" s="14" t="s">
        <v>818</v>
      </c>
      <c r="E649" s="13" t="s">
        <v>630</v>
      </c>
      <c r="F649" s="13" t="s">
        <v>2786</v>
      </c>
      <c r="G649" s="13" t="s">
        <v>673</v>
      </c>
      <c r="H649" s="13" t="s">
        <v>2720</v>
      </c>
      <c r="J649" s="14" t="s">
        <v>703</v>
      </c>
      <c r="K649" s="14" t="s">
        <v>2787</v>
      </c>
      <c r="L649" s="14" t="s">
        <v>585</v>
      </c>
      <c r="N649" s="13">
        <v>26</v>
      </c>
      <c r="O649" s="2">
        <f t="shared" si="58"/>
        <v>0.74285714285714288</v>
      </c>
      <c r="P649" s="13">
        <v>14</v>
      </c>
      <c r="Q649" s="17">
        <f t="shared" si="59"/>
        <v>0.46666666666666667</v>
      </c>
      <c r="R649" s="13">
        <v>35</v>
      </c>
      <c r="S649" s="13">
        <v>30</v>
      </c>
      <c r="V649" s="13">
        <v>0</v>
      </c>
      <c r="W649" s="13">
        <v>59.61</v>
      </c>
      <c r="X649" s="13">
        <v>18.27</v>
      </c>
      <c r="AB649" s="13">
        <v>59.53</v>
      </c>
      <c r="AC649" s="13">
        <v>13.41</v>
      </c>
      <c r="BY649" s="13" t="s">
        <v>1469</v>
      </c>
      <c r="BZ649" s="13" t="s">
        <v>1470</v>
      </c>
      <c r="CA649" s="13">
        <v>2020</v>
      </c>
      <c r="CB649" s="13" t="s">
        <v>32</v>
      </c>
      <c r="CC649" s="13" t="s">
        <v>1471</v>
      </c>
      <c r="CD649" s="13">
        <v>10</v>
      </c>
      <c r="CE649" s="13">
        <v>8</v>
      </c>
      <c r="CF649" s="13" t="s">
        <v>1472</v>
      </c>
      <c r="CG649" s="13" t="s">
        <v>1473</v>
      </c>
    </row>
    <row r="650" spans="1:85">
      <c r="A650" s="13" t="s">
        <v>1889</v>
      </c>
      <c r="B650" s="13" t="s">
        <v>1889</v>
      </c>
      <c r="C650" s="14" t="s">
        <v>1474</v>
      </c>
      <c r="D650" s="14" t="s">
        <v>818</v>
      </c>
      <c r="E650" s="13" t="s">
        <v>630</v>
      </c>
      <c r="F650" s="13" t="s">
        <v>2786</v>
      </c>
      <c r="G650" s="13" t="s">
        <v>673</v>
      </c>
      <c r="H650" s="13" t="s">
        <v>2724</v>
      </c>
      <c r="J650" s="14" t="s">
        <v>703</v>
      </c>
      <c r="K650" s="14" t="s">
        <v>2787</v>
      </c>
      <c r="L650" s="14" t="s">
        <v>585</v>
      </c>
      <c r="N650" s="13">
        <v>26</v>
      </c>
      <c r="O650" s="2">
        <f t="shared" si="58"/>
        <v>0.74285714285714288</v>
      </c>
      <c r="P650" s="13">
        <v>14</v>
      </c>
      <c r="Q650" s="17">
        <f t="shared" si="59"/>
        <v>0.46666666666666667</v>
      </c>
      <c r="R650" s="13">
        <v>35</v>
      </c>
      <c r="S650" s="13">
        <v>30</v>
      </c>
      <c r="V650" s="13">
        <v>0</v>
      </c>
      <c r="W650" s="13">
        <v>59.61</v>
      </c>
      <c r="X650" s="13">
        <v>18.27</v>
      </c>
      <c r="AB650" s="13">
        <v>59.53</v>
      </c>
      <c r="AC650" s="13">
        <v>13.41</v>
      </c>
      <c r="BY650" s="13" t="s">
        <v>1469</v>
      </c>
      <c r="BZ650" s="13" t="s">
        <v>1470</v>
      </c>
      <c r="CA650" s="13">
        <v>2020</v>
      </c>
      <c r="CB650" s="13" t="s">
        <v>32</v>
      </c>
      <c r="CC650" s="13" t="s">
        <v>1471</v>
      </c>
      <c r="CD650" s="13">
        <v>10</v>
      </c>
      <c r="CE650" s="13">
        <v>8</v>
      </c>
      <c r="CF650" s="13" t="s">
        <v>1472</v>
      </c>
      <c r="CG650" s="13" t="s">
        <v>1473</v>
      </c>
    </row>
    <row r="651" spans="1:85">
      <c r="A651" s="13" t="s">
        <v>1889</v>
      </c>
      <c r="B651" s="13" t="s">
        <v>1889</v>
      </c>
      <c r="C651" s="14" t="s">
        <v>1474</v>
      </c>
      <c r="D651" s="14" t="s">
        <v>818</v>
      </c>
      <c r="E651" s="13" t="s">
        <v>630</v>
      </c>
      <c r="F651" s="13" t="s">
        <v>2786</v>
      </c>
      <c r="G651" s="13" t="s">
        <v>673</v>
      </c>
      <c r="H651" s="13" t="s">
        <v>2721</v>
      </c>
      <c r="J651" s="14" t="s">
        <v>703</v>
      </c>
      <c r="K651" s="14" t="s">
        <v>2787</v>
      </c>
      <c r="L651" s="14" t="s">
        <v>585</v>
      </c>
      <c r="N651" s="13">
        <v>26</v>
      </c>
      <c r="O651" s="2">
        <f t="shared" si="58"/>
        <v>0.74285714285714288</v>
      </c>
      <c r="P651" s="13">
        <v>14</v>
      </c>
      <c r="Q651" s="17">
        <f t="shared" si="59"/>
        <v>0.46666666666666667</v>
      </c>
      <c r="R651" s="13">
        <v>35</v>
      </c>
      <c r="S651" s="13">
        <v>30</v>
      </c>
      <c r="V651" s="13">
        <v>0</v>
      </c>
      <c r="W651" s="13">
        <v>59.61</v>
      </c>
      <c r="X651" s="13">
        <v>18.27</v>
      </c>
      <c r="AB651" s="13">
        <v>59.53</v>
      </c>
      <c r="AC651" s="13">
        <v>13.41</v>
      </c>
      <c r="BY651" s="13" t="s">
        <v>1469</v>
      </c>
      <c r="BZ651" s="13" t="s">
        <v>1470</v>
      </c>
      <c r="CA651" s="13">
        <v>2020</v>
      </c>
      <c r="CB651" s="13" t="s">
        <v>32</v>
      </c>
      <c r="CC651" s="13" t="s">
        <v>1471</v>
      </c>
      <c r="CD651" s="13">
        <v>10</v>
      </c>
      <c r="CE651" s="13">
        <v>8</v>
      </c>
      <c r="CF651" s="13" t="s">
        <v>1472</v>
      </c>
      <c r="CG651" s="13" t="s">
        <v>1473</v>
      </c>
    </row>
    <row r="652" spans="1:85">
      <c r="A652" s="13" t="s">
        <v>1889</v>
      </c>
      <c r="B652" s="13" t="s">
        <v>1889</v>
      </c>
      <c r="C652" s="14" t="s">
        <v>1474</v>
      </c>
      <c r="D652" s="14" t="s">
        <v>818</v>
      </c>
      <c r="E652" s="13" t="s">
        <v>630</v>
      </c>
      <c r="F652" s="13" t="s">
        <v>2786</v>
      </c>
      <c r="G652" s="13" t="s">
        <v>673</v>
      </c>
      <c r="H652" s="13" t="s">
        <v>2726</v>
      </c>
      <c r="J652" s="14" t="s">
        <v>703</v>
      </c>
      <c r="K652" s="14" t="s">
        <v>2787</v>
      </c>
      <c r="L652" s="14" t="s">
        <v>585</v>
      </c>
      <c r="N652" s="13">
        <v>26</v>
      </c>
      <c r="O652" s="2">
        <f t="shared" si="58"/>
        <v>0.74285714285714288</v>
      </c>
      <c r="P652" s="13">
        <v>14</v>
      </c>
      <c r="Q652" s="17">
        <f t="shared" si="59"/>
        <v>0.46666666666666667</v>
      </c>
      <c r="R652" s="13">
        <v>35</v>
      </c>
      <c r="S652" s="13">
        <v>30</v>
      </c>
      <c r="V652" s="13">
        <v>0</v>
      </c>
      <c r="W652" s="13">
        <v>59.61</v>
      </c>
      <c r="X652" s="13">
        <v>18.27</v>
      </c>
      <c r="AB652" s="13">
        <v>59.53</v>
      </c>
      <c r="AC652" s="13">
        <v>13.41</v>
      </c>
      <c r="BY652" s="13" t="s">
        <v>1469</v>
      </c>
      <c r="BZ652" s="13" t="s">
        <v>1470</v>
      </c>
      <c r="CA652" s="13">
        <v>2020</v>
      </c>
      <c r="CB652" s="13" t="s">
        <v>32</v>
      </c>
      <c r="CC652" s="13" t="s">
        <v>1471</v>
      </c>
      <c r="CD652" s="13">
        <v>10</v>
      </c>
      <c r="CE652" s="13">
        <v>8</v>
      </c>
      <c r="CF652" s="13" t="s">
        <v>1472</v>
      </c>
      <c r="CG652" s="13" t="s">
        <v>1473</v>
      </c>
    </row>
    <row r="653" spans="1:85">
      <c r="A653" s="13" t="s">
        <v>1889</v>
      </c>
      <c r="B653" s="13" t="s">
        <v>1889</v>
      </c>
      <c r="C653" s="14" t="s">
        <v>1474</v>
      </c>
      <c r="D653" s="14" t="s">
        <v>818</v>
      </c>
      <c r="E653" s="13" t="s">
        <v>630</v>
      </c>
      <c r="F653" s="13" t="s">
        <v>2786</v>
      </c>
      <c r="G653" s="13" t="s">
        <v>673</v>
      </c>
      <c r="H653" s="13" t="s">
        <v>2556</v>
      </c>
      <c r="J653" s="14" t="s">
        <v>703</v>
      </c>
      <c r="K653" s="14" t="s">
        <v>2787</v>
      </c>
      <c r="L653" s="14" t="s">
        <v>585</v>
      </c>
      <c r="N653" s="13">
        <v>26</v>
      </c>
      <c r="O653" s="2">
        <f t="shared" si="58"/>
        <v>0.74285714285714288</v>
      </c>
      <c r="P653" s="13">
        <v>14</v>
      </c>
      <c r="Q653" s="17">
        <f t="shared" si="59"/>
        <v>0.46666666666666667</v>
      </c>
      <c r="R653" s="13">
        <v>35</v>
      </c>
      <c r="S653" s="13">
        <v>30</v>
      </c>
      <c r="V653" s="13">
        <v>0</v>
      </c>
      <c r="W653" s="13">
        <v>59.61</v>
      </c>
      <c r="X653" s="13">
        <v>18.27</v>
      </c>
      <c r="AB653" s="13">
        <v>59.53</v>
      </c>
      <c r="AC653" s="13">
        <v>13.41</v>
      </c>
      <c r="BY653" s="13" t="s">
        <v>1469</v>
      </c>
      <c r="BZ653" s="13" t="s">
        <v>1470</v>
      </c>
      <c r="CA653" s="13">
        <v>2020</v>
      </c>
      <c r="CB653" s="13" t="s">
        <v>32</v>
      </c>
      <c r="CC653" s="13" t="s">
        <v>1471</v>
      </c>
      <c r="CD653" s="13">
        <v>10</v>
      </c>
      <c r="CE653" s="13">
        <v>8</v>
      </c>
      <c r="CF653" s="13" t="s">
        <v>1472</v>
      </c>
      <c r="CG653" s="13" t="s">
        <v>1473</v>
      </c>
    </row>
    <row r="654" spans="1:85">
      <c r="A654" s="13" t="s">
        <v>1890</v>
      </c>
      <c r="B654" s="13" t="s">
        <v>1890</v>
      </c>
      <c r="C654" s="14" t="s">
        <v>1479</v>
      </c>
      <c r="D654" s="14" t="s">
        <v>827</v>
      </c>
      <c r="E654" s="13" t="s">
        <v>630</v>
      </c>
      <c r="F654" s="13" t="s">
        <v>2791</v>
      </c>
      <c r="G654" s="13" t="s">
        <v>674</v>
      </c>
      <c r="H654" s="13" t="s">
        <v>2382</v>
      </c>
      <c r="J654" s="14" t="s">
        <v>716</v>
      </c>
      <c r="K654" s="14" t="s">
        <v>2788</v>
      </c>
      <c r="L654" s="14" t="s">
        <v>2792</v>
      </c>
      <c r="M654" s="14" t="s">
        <v>2789</v>
      </c>
      <c r="N654" s="13">
        <v>48</v>
      </c>
      <c r="O654" s="2">
        <f t="shared" si="58"/>
        <v>0.58536585365853655</v>
      </c>
      <c r="P654" s="13">
        <v>25</v>
      </c>
      <c r="Q654" s="17">
        <f t="shared" si="59"/>
        <v>0.58139534883720934</v>
      </c>
      <c r="R654" s="13">
        <v>82</v>
      </c>
      <c r="S654" s="13">
        <v>43</v>
      </c>
      <c r="W654" s="13">
        <v>60.5</v>
      </c>
      <c r="X654" s="13">
        <v>9.9</v>
      </c>
      <c r="AB654" s="13">
        <v>57.7</v>
      </c>
      <c r="AC654" s="13">
        <v>8.9</v>
      </c>
      <c r="AG654" s="13" t="s">
        <v>639</v>
      </c>
      <c r="BB654" s="13">
        <v>5.53</v>
      </c>
      <c r="BC654" s="13">
        <v>12.94</v>
      </c>
      <c r="BM654" s="13">
        <v>2.23</v>
      </c>
      <c r="BN654" s="13">
        <v>1.61</v>
      </c>
      <c r="BX654" s="13">
        <v>0.1</v>
      </c>
      <c r="BY654" s="13" t="s">
        <v>1475</v>
      </c>
      <c r="BZ654" s="13" t="s">
        <v>1476</v>
      </c>
      <c r="CA654" s="13">
        <v>2019</v>
      </c>
      <c r="CB654" s="13" t="s">
        <v>2165</v>
      </c>
      <c r="CC654" s="13" t="s">
        <v>1132</v>
      </c>
      <c r="CD654" s="13">
        <v>398</v>
      </c>
      <c r="CF654" s="13" t="s">
        <v>1477</v>
      </c>
      <c r="CG654" s="13" t="s">
        <v>1478</v>
      </c>
    </row>
    <row r="655" spans="1:85">
      <c r="A655" s="13" t="s">
        <v>1891</v>
      </c>
      <c r="B655" s="13" t="s">
        <v>1891</v>
      </c>
      <c r="C655" s="14" t="s">
        <v>1484</v>
      </c>
      <c r="D655" s="14" t="s">
        <v>827</v>
      </c>
      <c r="E655" s="13" t="s">
        <v>630</v>
      </c>
      <c r="F655" s="13" t="s">
        <v>2796</v>
      </c>
      <c r="G655" s="13" t="s">
        <v>674</v>
      </c>
      <c r="H655" s="13" t="s">
        <v>2793</v>
      </c>
      <c r="J655" s="14" t="s">
        <v>716</v>
      </c>
      <c r="K655" s="14" t="s">
        <v>2788</v>
      </c>
      <c r="L655" s="14" t="s">
        <v>585</v>
      </c>
      <c r="M655" s="13" t="s">
        <v>2797</v>
      </c>
      <c r="N655" s="13">
        <v>40</v>
      </c>
      <c r="O655" s="2">
        <f t="shared" si="58"/>
        <v>0.59701492537313428</v>
      </c>
      <c r="P655" s="13">
        <v>46</v>
      </c>
      <c r="Q655" s="17">
        <f t="shared" si="59"/>
        <v>0.56097560975609762</v>
      </c>
      <c r="R655" s="13">
        <v>67</v>
      </c>
      <c r="S655" s="13">
        <v>82</v>
      </c>
      <c r="V655" s="13">
        <v>6</v>
      </c>
      <c r="W655" s="13">
        <v>63.3</v>
      </c>
      <c r="X655" s="13">
        <v>12.3</v>
      </c>
      <c r="AB655" s="13">
        <v>47.3</v>
      </c>
      <c r="AC655" s="13">
        <v>11.6</v>
      </c>
      <c r="AG655" s="13" t="s">
        <v>2455</v>
      </c>
      <c r="BB655" s="13">
        <v>51.6</v>
      </c>
      <c r="BC655" s="13">
        <v>24.5</v>
      </c>
      <c r="BM655" s="13">
        <v>38.700000000000003</v>
      </c>
      <c r="BN655" s="13">
        <v>16.600000000000001</v>
      </c>
      <c r="BX655" s="13">
        <v>5.9999999999999995E-4</v>
      </c>
      <c r="BY655" s="13" t="s">
        <v>1480</v>
      </c>
      <c r="BZ655" s="13" t="s">
        <v>1481</v>
      </c>
      <c r="CA655" s="13">
        <v>2021</v>
      </c>
      <c r="CC655" s="13" t="s">
        <v>1482</v>
      </c>
      <c r="CD655" s="13">
        <v>8</v>
      </c>
      <c r="CF655" s="13" t="s">
        <v>2164</v>
      </c>
      <c r="CG655" s="13" t="s">
        <v>1483</v>
      </c>
    </row>
    <row r="656" spans="1:85">
      <c r="A656" s="13" t="s">
        <v>3413</v>
      </c>
      <c r="C656" s="13" t="s">
        <v>3341</v>
      </c>
      <c r="D656" s="14" t="s">
        <v>830</v>
      </c>
      <c r="G656" s="13" t="s">
        <v>674</v>
      </c>
      <c r="H656" s="13" t="s">
        <v>3912</v>
      </c>
      <c r="J656" s="14" t="s">
        <v>868</v>
      </c>
      <c r="K656" s="13" t="s">
        <v>3895</v>
      </c>
      <c r="L656" s="13" t="s">
        <v>902</v>
      </c>
      <c r="N656" s="13">
        <v>136</v>
      </c>
      <c r="O656" s="2">
        <f t="shared" si="58"/>
        <v>0.50370370370370365</v>
      </c>
      <c r="R656" s="13">
        <v>270</v>
      </c>
      <c r="V656" s="13">
        <v>37</v>
      </c>
      <c r="W656" s="13">
        <v>65.900000000000006</v>
      </c>
      <c r="X656" s="13">
        <v>11.1</v>
      </c>
      <c r="BY656" s="13" t="s">
        <v>3575</v>
      </c>
      <c r="BZ656" s="13" t="s">
        <v>3576</v>
      </c>
      <c r="CA656" s="13">
        <v>2024</v>
      </c>
      <c r="CB656" s="21">
        <v>46003</v>
      </c>
      <c r="CC656" s="13" t="s">
        <v>13</v>
      </c>
      <c r="CD656" s="13">
        <v>272</v>
      </c>
      <c r="CE656" s="13">
        <v>1</v>
      </c>
      <c r="CF656" s="13">
        <v>7</v>
      </c>
      <c r="CG656" s="13" t="s">
        <v>3268</v>
      </c>
    </row>
    <row r="657" spans="1:85">
      <c r="A657" s="13" t="s">
        <v>3413</v>
      </c>
      <c r="C657" s="13" t="s">
        <v>3341</v>
      </c>
      <c r="D657" s="14" t="s">
        <v>830</v>
      </c>
      <c r="G657" s="13" t="s">
        <v>674</v>
      </c>
      <c r="H657" s="13" t="s">
        <v>3913</v>
      </c>
      <c r="J657" s="14" t="s">
        <v>868</v>
      </c>
      <c r="K657" s="13" t="s">
        <v>3895</v>
      </c>
      <c r="L657" s="13" t="s">
        <v>902</v>
      </c>
      <c r="N657" s="13">
        <v>136</v>
      </c>
      <c r="O657" s="2">
        <f t="shared" si="58"/>
        <v>0.50370370370370365</v>
      </c>
      <c r="R657" s="13">
        <v>270</v>
      </c>
      <c r="V657" s="13">
        <v>37</v>
      </c>
      <c r="W657" s="13">
        <v>65.900000000000006</v>
      </c>
      <c r="X657" s="13">
        <v>11.1</v>
      </c>
      <c r="BY657" s="13" t="s">
        <v>3575</v>
      </c>
      <c r="BZ657" s="13" t="s">
        <v>3576</v>
      </c>
      <c r="CA657" s="13">
        <v>2024</v>
      </c>
      <c r="CB657" s="21">
        <v>46003</v>
      </c>
      <c r="CC657" s="13" t="s">
        <v>13</v>
      </c>
      <c r="CD657" s="13">
        <v>272</v>
      </c>
      <c r="CE657" s="13">
        <v>1</v>
      </c>
      <c r="CF657" s="13">
        <v>7</v>
      </c>
      <c r="CG657" s="13" t="s">
        <v>3268</v>
      </c>
    </row>
    <row r="658" spans="1:85">
      <c r="A658" s="13" t="s">
        <v>3413</v>
      </c>
      <c r="C658" s="13" t="s">
        <v>3341</v>
      </c>
      <c r="D658" s="14" t="s">
        <v>830</v>
      </c>
      <c r="G658" s="13" t="s">
        <v>674</v>
      </c>
      <c r="H658" s="13" t="s">
        <v>2378</v>
      </c>
      <c r="J658" s="14" t="s">
        <v>868</v>
      </c>
      <c r="K658" s="13" t="s">
        <v>3895</v>
      </c>
      <c r="L658" s="13" t="s">
        <v>902</v>
      </c>
      <c r="N658" s="13">
        <v>136</v>
      </c>
      <c r="O658" s="2">
        <f t="shared" si="58"/>
        <v>0.50370370370370365</v>
      </c>
      <c r="R658" s="13">
        <v>270</v>
      </c>
      <c r="V658" s="13">
        <v>37</v>
      </c>
      <c r="W658" s="13">
        <v>65.900000000000006</v>
      </c>
      <c r="X658" s="13">
        <v>11.1</v>
      </c>
      <c r="BY658" s="13" t="s">
        <v>3575</v>
      </c>
      <c r="BZ658" s="13" t="s">
        <v>3576</v>
      </c>
      <c r="CA658" s="13">
        <v>2024</v>
      </c>
      <c r="CB658" s="21">
        <v>46003</v>
      </c>
      <c r="CC658" s="13" t="s">
        <v>13</v>
      </c>
      <c r="CD658" s="13">
        <v>272</v>
      </c>
      <c r="CE658" s="13">
        <v>1</v>
      </c>
      <c r="CF658" s="13">
        <v>7</v>
      </c>
      <c r="CG658" s="13" t="s">
        <v>3268</v>
      </c>
    </row>
    <row r="659" spans="1:85">
      <c r="A659" s="13" t="s">
        <v>3413</v>
      </c>
      <c r="C659" s="13" t="s">
        <v>3341</v>
      </c>
      <c r="D659" s="14" t="s">
        <v>830</v>
      </c>
      <c r="G659" s="13" t="s">
        <v>674</v>
      </c>
      <c r="H659" s="13" t="s">
        <v>2273</v>
      </c>
      <c r="J659" s="14" t="s">
        <v>868</v>
      </c>
      <c r="K659" s="13" t="s">
        <v>3895</v>
      </c>
      <c r="L659" s="13" t="s">
        <v>902</v>
      </c>
      <c r="N659" s="13">
        <v>136</v>
      </c>
      <c r="O659" s="2">
        <f t="shared" si="58"/>
        <v>0.50370370370370365</v>
      </c>
      <c r="R659" s="13">
        <v>270</v>
      </c>
      <c r="V659" s="13">
        <v>37</v>
      </c>
      <c r="W659" s="13">
        <v>65.900000000000006</v>
      </c>
      <c r="X659" s="13">
        <v>11.1</v>
      </c>
      <c r="BY659" s="13" t="s">
        <v>3575</v>
      </c>
      <c r="BZ659" s="13" t="s">
        <v>3576</v>
      </c>
      <c r="CA659" s="13">
        <v>2024</v>
      </c>
      <c r="CB659" s="21">
        <v>46003</v>
      </c>
      <c r="CC659" s="13" t="s">
        <v>13</v>
      </c>
      <c r="CD659" s="13">
        <v>272</v>
      </c>
      <c r="CE659" s="13">
        <v>1</v>
      </c>
      <c r="CF659" s="13">
        <v>7</v>
      </c>
      <c r="CG659" s="13" t="s">
        <v>3268</v>
      </c>
    </row>
    <row r="660" spans="1:85">
      <c r="A660" s="13" t="s">
        <v>3413</v>
      </c>
      <c r="C660" s="13" t="s">
        <v>3341</v>
      </c>
      <c r="D660" s="14" t="s">
        <v>830</v>
      </c>
      <c r="G660" s="13" t="s">
        <v>674</v>
      </c>
      <c r="H660" s="13" t="s">
        <v>3914</v>
      </c>
      <c r="J660" s="14" t="s">
        <v>868</v>
      </c>
      <c r="K660" s="13" t="s">
        <v>3895</v>
      </c>
      <c r="L660" s="13" t="s">
        <v>902</v>
      </c>
      <c r="N660" s="13">
        <v>136</v>
      </c>
      <c r="O660" s="2">
        <f t="shared" si="58"/>
        <v>0.50370370370370365</v>
      </c>
      <c r="R660" s="13">
        <v>270</v>
      </c>
      <c r="V660" s="13">
        <v>37</v>
      </c>
      <c r="W660" s="13">
        <v>65.900000000000006</v>
      </c>
      <c r="X660" s="13">
        <v>11.1</v>
      </c>
      <c r="BY660" s="13" t="s">
        <v>3575</v>
      </c>
      <c r="BZ660" s="13" t="s">
        <v>3576</v>
      </c>
      <c r="CA660" s="13">
        <v>2024</v>
      </c>
      <c r="CB660" s="21">
        <v>46003</v>
      </c>
      <c r="CC660" s="13" t="s">
        <v>13</v>
      </c>
      <c r="CD660" s="13">
        <v>272</v>
      </c>
      <c r="CE660" s="13">
        <v>1</v>
      </c>
      <c r="CF660" s="13">
        <v>7</v>
      </c>
      <c r="CG660" s="13" t="s">
        <v>3268</v>
      </c>
    </row>
    <row r="661" spans="1:85">
      <c r="A661" s="13" t="s">
        <v>3413</v>
      </c>
      <c r="C661" s="13" t="s">
        <v>3341</v>
      </c>
      <c r="D661" s="14" t="s">
        <v>830</v>
      </c>
      <c r="G661" s="13" t="s">
        <v>674</v>
      </c>
      <c r="H661" s="13" t="s">
        <v>3915</v>
      </c>
      <c r="J661" s="14" t="s">
        <v>868</v>
      </c>
      <c r="K661" s="13" t="s">
        <v>3895</v>
      </c>
      <c r="L661" s="13" t="s">
        <v>902</v>
      </c>
      <c r="N661" s="13">
        <v>136</v>
      </c>
      <c r="O661" s="2">
        <f t="shared" si="58"/>
        <v>0.50370370370370365</v>
      </c>
      <c r="R661" s="13">
        <v>270</v>
      </c>
      <c r="V661" s="13">
        <v>37</v>
      </c>
      <c r="W661" s="13">
        <v>65.900000000000006</v>
      </c>
      <c r="X661" s="13">
        <v>11.1</v>
      </c>
      <c r="BY661" s="13" t="s">
        <v>3575</v>
      </c>
      <c r="BZ661" s="13" t="s">
        <v>3576</v>
      </c>
      <c r="CA661" s="13">
        <v>2024</v>
      </c>
      <c r="CB661" s="21">
        <v>46003</v>
      </c>
      <c r="CC661" s="13" t="s">
        <v>13</v>
      </c>
      <c r="CD661" s="13">
        <v>272</v>
      </c>
      <c r="CE661" s="13">
        <v>1</v>
      </c>
      <c r="CF661" s="13">
        <v>7</v>
      </c>
      <c r="CG661" s="13" t="s">
        <v>3268</v>
      </c>
    </row>
    <row r="662" spans="1:85">
      <c r="A662" s="13" t="s">
        <v>3413</v>
      </c>
      <c r="C662" s="13" t="s">
        <v>3341</v>
      </c>
      <c r="D662" s="14" t="s">
        <v>830</v>
      </c>
      <c r="G662" s="13" t="s">
        <v>674</v>
      </c>
      <c r="H662" s="13" t="s">
        <v>2198</v>
      </c>
      <c r="J662" s="14" t="s">
        <v>868</v>
      </c>
      <c r="K662" s="13" t="s">
        <v>3895</v>
      </c>
      <c r="L662" s="13" t="s">
        <v>902</v>
      </c>
      <c r="N662" s="13">
        <v>136</v>
      </c>
      <c r="O662" s="2">
        <f t="shared" si="58"/>
        <v>0.50370370370370365</v>
      </c>
      <c r="R662" s="13">
        <v>270</v>
      </c>
      <c r="V662" s="13">
        <v>37</v>
      </c>
      <c r="W662" s="13">
        <v>65.900000000000006</v>
      </c>
      <c r="X662" s="13">
        <v>11.1</v>
      </c>
      <c r="BY662" s="13" t="s">
        <v>3575</v>
      </c>
      <c r="BZ662" s="13" t="s">
        <v>3576</v>
      </c>
      <c r="CA662" s="13">
        <v>2024</v>
      </c>
      <c r="CB662" s="21">
        <v>46003</v>
      </c>
      <c r="CC662" s="13" t="s">
        <v>13</v>
      </c>
      <c r="CD662" s="13">
        <v>272</v>
      </c>
      <c r="CE662" s="13">
        <v>1</v>
      </c>
      <c r="CF662" s="13">
        <v>7</v>
      </c>
      <c r="CG662" s="13" t="s">
        <v>3268</v>
      </c>
    </row>
    <row r="663" spans="1:85">
      <c r="A663" s="13" t="s">
        <v>3413</v>
      </c>
      <c r="C663" s="13" t="s">
        <v>3341</v>
      </c>
      <c r="D663" s="14" t="s">
        <v>830</v>
      </c>
      <c r="G663" s="13" t="s">
        <v>674</v>
      </c>
      <c r="H663" s="13" t="s">
        <v>2337</v>
      </c>
      <c r="J663" s="14" t="s">
        <v>868</v>
      </c>
      <c r="K663" s="13" t="s">
        <v>3895</v>
      </c>
      <c r="L663" s="13" t="s">
        <v>902</v>
      </c>
      <c r="N663" s="13">
        <v>136</v>
      </c>
      <c r="O663" s="2">
        <f t="shared" si="58"/>
        <v>0.50370370370370365</v>
      </c>
      <c r="R663" s="13">
        <v>270</v>
      </c>
      <c r="V663" s="13">
        <v>37</v>
      </c>
      <c r="W663" s="13">
        <v>65.900000000000006</v>
      </c>
      <c r="X663" s="13">
        <v>11.1</v>
      </c>
      <c r="BY663" s="13" t="s">
        <v>3575</v>
      </c>
      <c r="BZ663" s="13" t="s">
        <v>3576</v>
      </c>
      <c r="CA663" s="13">
        <v>2024</v>
      </c>
      <c r="CB663" s="21">
        <v>46003</v>
      </c>
      <c r="CC663" s="13" t="s">
        <v>13</v>
      </c>
      <c r="CD663" s="13">
        <v>272</v>
      </c>
      <c r="CE663" s="13">
        <v>1</v>
      </c>
      <c r="CF663" s="13">
        <v>7</v>
      </c>
      <c r="CG663" s="13" t="s">
        <v>3268</v>
      </c>
    </row>
    <row r="664" spans="1:85">
      <c r="A664" s="13" t="s">
        <v>3413</v>
      </c>
      <c r="C664" s="13" t="s">
        <v>3341</v>
      </c>
      <c r="D664" s="14" t="s">
        <v>830</v>
      </c>
      <c r="G664" s="13" t="s">
        <v>674</v>
      </c>
      <c r="H664" s="13" t="s">
        <v>2476</v>
      </c>
      <c r="J664" s="14" t="s">
        <v>868</v>
      </c>
      <c r="K664" s="13" t="s">
        <v>3895</v>
      </c>
      <c r="L664" s="13" t="s">
        <v>902</v>
      </c>
      <c r="N664" s="13">
        <v>136</v>
      </c>
      <c r="O664" s="2">
        <f t="shared" si="58"/>
        <v>0.50370370370370365</v>
      </c>
      <c r="R664" s="13">
        <v>270</v>
      </c>
      <c r="V664" s="13">
        <v>37</v>
      </c>
      <c r="W664" s="13">
        <v>65.900000000000006</v>
      </c>
      <c r="X664" s="13">
        <v>11.1</v>
      </c>
      <c r="BY664" s="13" t="s">
        <v>3575</v>
      </c>
      <c r="BZ664" s="13" t="s">
        <v>3576</v>
      </c>
      <c r="CA664" s="13">
        <v>2024</v>
      </c>
      <c r="CB664" s="21">
        <v>46003</v>
      </c>
      <c r="CC664" s="13" t="s">
        <v>13</v>
      </c>
      <c r="CD664" s="13">
        <v>272</v>
      </c>
      <c r="CE664" s="13">
        <v>1</v>
      </c>
      <c r="CF664" s="13">
        <v>7</v>
      </c>
      <c r="CG664" s="13" t="s">
        <v>3268</v>
      </c>
    </row>
    <row r="665" spans="1:85">
      <c r="A665" s="13" t="s">
        <v>3413</v>
      </c>
      <c r="C665" s="13" t="s">
        <v>3341</v>
      </c>
      <c r="D665" s="14" t="s">
        <v>830</v>
      </c>
      <c r="G665" s="13" t="s">
        <v>674</v>
      </c>
      <c r="H665" s="13" t="s">
        <v>2530</v>
      </c>
      <c r="J665" s="14" t="s">
        <v>868</v>
      </c>
      <c r="K665" s="13" t="s">
        <v>3895</v>
      </c>
      <c r="L665" s="13" t="s">
        <v>902</v>
      </c>
      <c r="N665" s="13">
        <v>136</v>
      </c>
      <c r="O665" s="2">
        <f t="shared" si="58"/>
        <v>0.50370370370370365</v>
      </c>
      <c r="R665" s="13">
        <v>270</v>
      </c>
      <c r="V665" s="13">
        <v>37</v>
      </c>
      <c r="W665" s="13">
        <v>65.900000000000006</v>
      </c>
      <c r="X665" s="13">
        <v>11.1</v>
      </c>
      <c r="BY665" s="13" t="s">
        <v>3575</v>
      </c>
      <c r="BZ665" s="13" t="s">
        <v>3576</v>
      </c>
      <c r="CA665" s="13">
        <v>2024</v>
      </c>
      <c r="CB665" s="21">
        <v>46003</v>
      </c>
      <c r="CC665" s="13" t="s">
        <v>13</v>
      </c>
      <c r="CD665" s="13">
        <v>272</v>
      </c>
      <c r="CE665" s="13">
        <v>1</v>
      </c>
      <c r="CF665" s="13">
        <v>7</v>
      </c>
      <c r="CG665" s="13" t="s">
        <v>3268</v>
      </c>
    </row>
    <row r="666" spans="1:85">
      <c r="A666" s="13" t="s">
        <v>3413</v>
      </c>
      <c r="C666" s="13" t="s">
        <v>3341</v>
      </c>
      <c r="D666" s="14" t="s">
        <v>830</v>
      </c>
      <c r="G666" s="13" t="s">
        <v>674</v>
      </c>
      <c r="H666" s="13" t="s">
        <v>2543</v>
      </c>
      <c r="J666" s="14" t="s">
        <v>868</v>
      </c>
      <c r="K666" s="13" t="s">
        <v>3895</v>
      </c>
      <c r="L666" s="13" t="s">
        <v>902</v>
      </c>
      <c r="N666" s="13">
        <v>136</v>
      </c>
      <c r="O666" s="2">
        <f t="shared" si="58"/>
        <v>0.50370370370370365</v>
      </c>
      <c r="R666" s="13">
        <v>270</v>
      </c>
      <c r="V666" s="13">
        <v>37</v>
      </c>
      <c r="W666" s="13">
        <v>65.900000000000006</v>
      </c>
      <c r="X666" s="13">
        <v>11.1</v>
      </c>
      <c r="BY666" s="13" t="s">
        <v>3575</v>
      </c>
      <c r="BZ666" s="13" t="s">
        <v>3576</v>
      </c>
      <c r="CA666" s="13">
        <v>2024</v>
      </c>
      <c r="CB666" s="21">
        <v>46003</v>
      </c>
      <c r="CC666" s="13" t="s">
        <v>13</v>
      </c>
      <c r="CD666" s="13">
        <v>272</v>
      </c>
      <c r="CE666" s="13">
        <v>1</v>
      </c>
      <c r="CF666" s="13">
        <v>7</v>
      </c>
      <c r="CG666" s="13" t="s">
        <v>3268</v>
      </c>
    </row>
    <row r="667" spans="1:85">
      <c r="A667" s="13" t="s">
        <v>3413</v>
      </c>
      <c r="C667" s="13" t="s">
        <v>3341</v>
      </c>
      <c r="D667" s="14" t="s">
        <v>830</v>
      </c>
      <c r="G667" s="13" t="s">
        <v>674</v>
      </c>
      <c r="H667" s="13" t="s">
        <v>2525</v>
      </c>
      <c r="J667" s="14" t="s">
        <v>868</v>
      </c>
      <c r="K667" s="13" t="s">
        <v>3895</v>
      </c>
      <c r="L667" s="13" t="s">
        <v>902</v>
      </c>
      <c r="N667" s="13">
        <v>136</v>
      </c>
      <c r="O667" s="2">
        <f t="shared" si="58"/>
        <v>0.50370370370370365</v>
      </c>
      <c r="R667" s="13">
        <v>270</v>
      </c>
      <c r="V667" s="13">
        <v>37</v>
      </c>
      <c r="W667" s="13">
        <v>65.900000000000006</v>
      </c>
      <c r="X667" s="13">
        <v>11.1</v>
      </c>
      <c r="BY667" s="13" t="s">
        <v>3575</v>
      </c>
      <c r="BZ667" s="13" t="s">
        <v>3576</v>
      </c>
      <c r="CA667" s="13">
        <v>2024</v>
      </c>
      <c r="CB667" s="21">
        <v>46003</v>
      </c>
      <c r="CC667" s="13" t="s">
        <v>13</v>
      </c>
      <c r="CD667" s="13">
        <v>272</v>
      </c>
      <c r="CE667" s="13">
        <v>1</v>
      </c>
      <c r="CF667" s="13">
        <v>7</v>
      </c>
      <c r="CG667" s="13" t="s">
        <v>3268</v>
      </c>
    </row>
    <row r="668" spans="1:85">
      <c r="A668" s="13" t="s">
        <v>3413</v>
      </c>
      <c r="C668" s="13" t="s">
        <v>3341</v>
      </c>
      <c r="D668" s="14" t="s">
        <v>830</v>
      </c>
      <c r="G668" s="13" t="s">
        <v>674</v>
      </c>
      <c r="H668" s="13" t="s">
        <v>2528</v>
      </c>
      <c r="J668" s="14" t="s">
        <v>868</v>
      </c>
      <c r="K668" s="13" t="s">
        <v>3895</v>
      </c>
      <c r="L668" s="13" t="s">
        <v>902</v>
      </c>
      <c r="N668" s="13">
        <v>136</v>
      </c>
      <c r="O668" s="2">
        <f t="shared" si="58"/>
        <v>0.50370370370370365</v>
      </c>
      <c r="R668" s="13">
        <v>270</v>
      </c>
      <c r="V668" s="13">
        <v>37</v>
      </c>
      <c r="W668" s="13">
        <v>65.900000000000006</v>
      </c>
      <c r="X668" s="13">
        <v>11.1</v>
      </c>
      <c r="BY668" s="13" t="s">
        <v>3575</v>
      </c>
      <c r="BZ668" s="13" t="s">
        <v>3576</v>
      </c>
      <c r="CA668" s="13">
        <v>2024</v>
      </c>
      <c r="CB668" s="21">
        <v>46003</v>
      </c>
      <c r="CC668" s="13" t="s">
        <v>13</v>
      </c>
      <c r="CD668" s="13">
        <v>272</v>
      </c>
      <c r="CE668" s="13">
        <v>1</v>
      </c>
      <c r="CF668" s="13">
        <v>7</v>
      </c>
      <c r="CG668" s="13" t="s">
        <v>3268</v>
      </c>
    </row>
    <row r="669" spans="1:85">
      <c r="A669" s="13" t="s">
        <v>3413</v>
      </c>
      <c r="C669" s="13" t="s">
        <v>3341</v>
      </c>
      <c r="D669" s="14" t="s">
        <v>830</v>
      </c>
      <c r="G669" s="13" t="s">
        <v>674</v>
      </c>
      <c r="H669" s="13" t="s">
        <v>3916</v>
      </c>
      <c r="J669" s="14" t="s">
        <v>868</v>
      </c>
      <c r="K669" s="13" t="s">
        <v>3895</v>
      </c>
      <c r="L669" s="13" t="s">
        <v>902</v>
      </c>
      <c r="N669" s="13">
        <v>136</v>
      </c>
      <c r="O669" s="2">
        <f t="shared" si="58"/>
        <v>0.50370370370370365</v>
      </c>
      <c r="R669" s="13">
        <v>270</v>
      </c>
      <c r="V669" s="13">
        <v>37</v>
      </c>
      <c r="W669" s="13">
        <v>65.900000000000006</v>
      </c>
      <c r="X669" s="13">
        <v>11.1</v>
      </c>
      <c r="BY669" s="13" t="s">
        <v>3575</v>
      </c>
      <c r="BZ669" s="13" t="s">
        <v>3576</v>
      </c>
      <c r="CA669" s="13">
        <v>2024</v>
      </c>
      <c r="CB669" s="21">
        <v>46003</v>
      </c>
      <c r="CC669" s="13" t="s">
        <v>13</v>
      </c>
      <c r="CD669" s="13">
        <v>272</v>
      </c>
      <c r="CE669" s="13">
        <v>1</v>
      </c>
      <c r="CF669" s="13">
        <v>7</v>
      </c>
      <c r="CG669" s="13" t="s">
        <v>3268</v>
      </c>
    </row>
    <row r="670" spans="1:85">
      <c r="A670" s="13" t="s">
        <v>3413</v>
      </c>
      <c r="C670" s="13" t="s">
        <v>3341</v>
      </c>
      <c r="D670" s="14" t="s">
        <v>830</v>
      </c>
      <c r="G670" s="13" t="s">
        <v>674</v>
      </c>
      <c r="H670" s="13" t="s">
        <v>3917</v>
      </c>
      <c r="J670" s="14" t="s">
        <v>868</v>
      </c>
      <c r="K670" s="13" t="s">
        <v>3895</v>
      </c>
      <c r="L670" s="13" t="s">
        <v>902</v>
      </c>
      <c r="N670" s="13">
        <v>136</v>
      </c>
      <c r="O670" s="2">
        <f t="shared" si="58"/>
        <v>0.50370370370370365</v>
      </c>
      <c r="R670" s="13">
        <v>270</v>
      </c>
      <c r="V670" s="13">
        <v>37</v>
      </c>
      <c r="W670" s="13">
        <v>65.900000000000006</v>
      </c>
      <c r="X670" s="13">
        <v>11.1</v>
      </c>
      <c r="BY670" s="13" t="s">
        <v>3575</v>
      </c>
      <c r="BZ670" s="13" t="s">
        <v>3576</v>
      </c>
      <c r="CA670" s="13">
        <v>2024</v>
      </c>
      <c r="CB670" s="21">
        <v>46003</v>
      </c>
      <c r="CC670" s="13" t="s">
        <v>13</v>
      </c>
      <c r="CD670" s="13">
        <v>272</v>
      </c>
      <c r="CE670" s="13">
        <v>1</v>
      </c>
      <c r="CF670" s="13">
        <v>7</v>
      </c>
      <c r="CG670" s="13" t="s">
        <v>3268</v>
      </c>
    </row>
    <row r="671" spans="1:85">
      <c r="A671" s="13" t="s">
        <v>3413</v>
      </c>
      <c r="C671" s="13" t="s">
        <v>3341</v>
      </c>
      <c r="D671" s="14" t="s">
        <v>830</v>
      </c>
      <c r="G671" s="13" t="s">
        <v>673</v>
      </c>
      <c r="H671" s="13" t="s">
        <v>2954</v>
      </c>
      <c r="J671" s="14" t="s">
        <v>868</v>
      </c>
      <c r="K671" s="13" t="s">
        <v>3895</v>
      </c>
      <c r="L671" s="13" t="s">
        <v>902</v>
      </c>
      <c r="N671" s="13">
        <v>136</v>
      </c>
      <c r="O671" s="2">
        <f t="shared" si="58"/>
        <v>0.50370370370370365</v>
      </c>
      <c r="R671" s="13">
        <v>270</v>
      </c>
      <c r="V671" s="13">
        <v>37</v>
      </c>
      <c r="W671" s="13">
        <v>65.900000000000006</v>
      </c>
      <c r="X671" s="13">
        <v>11.1</v>
      </c>
      <c r="BY671" s="13" t="s">
        <v>3575</v>
      </c>
      <c r="BZ671" s="13" t="s">
        <v>3576</v>
      </c>
      <c r="CA671" s="13">
        <v>2024</v>
      </c>
      <c r="CB671" s="21">
        <v>46003</v>
      </c>
      <c r="CC671" s="13" t="s">
        <v>13</v>
      </c>
      <c r="CD671" s="13">
        <v>272</v>
      </c>
      <c r="CE671" s="13">
        <v>1</v>
      </c>
      <c r="CF671" s="13">
        <v>7</v>
      </c>
      <c r="CG671" s="13" t="s">
        <v>3268</v>
      </c>
    </row>
    <row r="672" spans="1:85">
      <c r="A672" s="13" t="s">
        <v>3413</v>
      </c>
      <c r="C672" s="13" t="s">
        <v>3341</v>
      </c>
      <c r="D672" s="14" t="s">
        <v>830</v>
      </c>
      <c r="G672" s="13" t="s">
        <v>673</v>
      </c>
      <c r="H672" s="13" t="s">
        <v>2958</v>
      </c>
      <c r="J672" s="14" t="s">
        <v>868</v>
      </c>
      <c r="K672" s="13" t="s">
        <v>3895</v>
      </c>
      <c r="L672" s="13" t="s">
        <v>902</v>
      </c>
      <c r="N672" s="13">
        <v>136</v>
      </c>
      <c r="O672" s="2">
        <f t="shared" si="58"/>
        <v>0.50370370370370365</v>
      </c>
      <c r="R672" s="13">
        <v>270</v>
      </c>
      <c r="V672" s="13">
        <v>37</v>
      </c>
      <c r="W672" s="13">
        <v>65.900000000000006</v>
      </c>
      <c r="X672" s="13">
        <v>11.1</v>
      </c>
      <c r="BY672" s="13" t="s">
        <v>3575</v>
      </c>
      <c r="BZ672" s="13" t="s">
        <v>3576</v>
      </c>
      <c r="CA672" s="13">
        <v>2024</v>
      </c>
      <c r="CB672" s="21">
        <v>46003</v>
      </c>
      <c r="CC672" s="13" t="s">
        <v>13</v>
      </c>
      <c r="CD672" s="13">
        <v>272</v>
      </c>
      <c r="CE672" s="13">
        <v>1</v>
      </c>
      <c r="CF672" s="13">
        <v>7</v>
      </c>
      <c r="CG672" s="13" t="s">
        <v>3268</v>
      </c>
    </row>
    <row r="673" spans="1:85">
      <c r="A673" s="13" t="s">
        <v>3413</v>
      </c>
      <c r="C673" s="13" t="s">
        <v>3341</v>
      </c>
      <c r="D673" s="14" t="s">
        <v>830</v>
      </c>
      <c r="G673" s="13" t="s">
        <v>673</v>
      </c>
      <c r="H673" s="13" t="s">
        <v>2957</v>
      </c>
      <c r="J673" s="14" t="s">
        <v>868</v>
      </c>
      <c r="K673" s="13" t="s">
        <v>3895</v>
      </c>
      <c r="L673" s="13" t="s">
        <v>902</v>
      </c>
      <c r="N673" s="13">
        <v>136</v>
      </c>
      <c r="O673" s="2">
        <f t="shared" si="58"/>
        <v>0.50370370370370365</v>
      </c>
      <c r="R673" s="13">
        <v>270</v>
      </c>
      <c r="V673" s="13">
        <v>37</v>
      </c>
      <c r="W673" s="13">
        <v>65.900000000000006</v>
      </c>
      <c r="X673" s="13">
        <v>11.1</v>
      </c>
      <c r="BY673" s="13" t="s">
        <v>3575</v>
      </c>
      <c r="BZ673" s="13" t="s">
        <v>3576</v>
      </c>
      <c r="CA673" s="13">
        <v>2024</v>
      </c>
      <c r="CB673" s="21">
        <v>46003</v>
      </c>
      <c r="CC673" s="13" t="s">
        <v>13</v>
      </c>
      <c r="CD673" s="13">
        <v>272</v>
      </c>
      <c r="CE673" s="13">
        <v>1</v>
      </c>
      <c r="CF673" s="13">
        <v>7</v>
      </c>
      <c r="CG673" s="13" t="s">
        <v>3268</v>
      </c>
    </row>
    <row r="674" spans="1:85">
      <c r="A674" s="13" t="s">
        <v>3413</v>
      </c>
      <c r="C674" s="13" t="s">
        <v>3341</v>
      </c>
      <c r="D674" s="14" t="s">
        <v>830</v>
      </c>
      <c r="G674" s="13" t="s">
        <v>673</v>
      </c>
      <c r="H674" s="13" t="s">
        <v>3918</v>
      </c>
      <c r="J674" s="14" t="s">
        <v>868</v>
      </c>
      <c r="K674" s="13" t="s">
        <v>3895</v>
      </c>
      <c r="L674" s="13" t="s">
        <v>902</v>
      </c>
      <c r="N674" s="13">
        <v>136</v>
      </c>
      <c r="O674" s="2">
        <f t="shared" si="58"/>
        <v>0.50370370370370365</v>
      </c>
      <c r="R674" s="13">
        <v>270</v>
      </c>
      <c r="V674" s="13">
        <v>37</v>
      </c>
      <c r="W674" s="13">
        <v>65.900000000000006</v>
      </c>
      <c r="X674" s="13">
        <v>11.1</v>
      </c>
      <c r="BY674" s="13" t="s">
        <v>3575</v>
      </c>
      <c r="BZ674" s="13" t="s">
        <v>3576</v>
      </c>
      <c r="CA674" s="13">
        <v>2024</v>
      </c>
      <c r="CB674" s="21">
        <v>46003</v>
      </c>
      <c r="CC674" s="13" t="s">
        <v>13</v>
      </c>
      <c r="CD674" s="13">
        <v>272</v>
      </c>
      <c r="CE674" s="13">
        <v>1</v>
      </c>
      <c r="CF674" s="13">
        <v>7</v>
      </c>
      <c r="CG674" s="13" t="s">
        <v>3268</v>
      </c>
    </row>
    <row r="675" spans="1:85">
      <c r="A675" s="13" t="s">
        <v>3413</v>
      </c>
      <c r="C675" s="13" t="s">
        <v>3341</v>
      </c>
      <c r="D675" s="14" t="s">
        <v>830</v>
      </c>
      <c r="G675" s="13" t="s">
        <v>673</v>
      </c>
      <c r="H675" s="13" t="s">
        <v>2378</v>
      </c>
      <c r="J675" s="14" t="s">
        <v>868</v>
      </c>
      <c r="K675" s="13" t="s">
        <v>3895</v>
      </c>
      <c r="L675" s="13" t="s">
        <v>902</v>
      </c>
      <c r="N675" s="13">
        <v>136</v>
      </c>
      <c r="O675" s="2">
        <f t="shared" si="58"/>
        <v>0.50370370370370365</v>
      </c>
      <c r="R675" s="13">
        <v>270</v>
      </c>
      <c r="V675" s="13">
        <v>37</v>
      </c>
      <c r="W675" s="13">
        <v>65.900000000000006</v>
      </c>
      <c r="X675" s="13">
        <v>11.1</v>
      </c>
      <c r="BY675" s="13" t="s">
        <v>3575</v>
      </c>
      <c r="BZ675" s="13" t="s">
        <v>3576</v>
      </c>
      <c r="CA675" s="13">
        <v>2024</v>
      </c>
      <c r="CB675" s="21">
        <v>46003</v>
      </c>
      <c r="CC675" s="13" t="s">
        <v>13</v>
      </c>
      <c r="CD675" s="13">
        <v>272</v>
      </c>
      <c r="CE675" s="13">
        <v>1</v>
      </c>
      <c r="CF675" s="13">
        <v>7</v>
      </c>
      <c r="CG675" s="13" t="s">
        <v>3268</v>
      </c>
    </row>
    <row r="676" spans="1:85">
      <c r="A676" s="13" t="s">
        <v>3413</v>
      </c>
      <c r="C676" s="13" t="s">
        <v>3341</v>
      </c>
      <c r="D676" s="14" t="s">
        <v>830</v>
      </c>
      <c r="G676" s="13" t="s">
        <v>3927</v>
      </c>
      <c r="H676" s="13" t="s">
        <v>3919</v>
      </c>
      <c r="J676" s="14" t="s">
        <v>868</v>
      </c>
      <c r="K676" s="13" t="s">
        <v>3895</v>
      </c>
      <c r="L676" s="13" t="s">
        <v>902</v>
      </c>
      <c r="N676" s="13">
        <v>136</v>
      </c>
      <c r="O676" s="2">
        <f t="shared" si="58"/>
        <v>0.50370370370370365</v>
      </c>
      <c r="R676" s="13">
        <v>270</v>
      </c>
      <c r="V676" s="13">
        <v>37</v>
      </c>
      <c r="W676" s="13">
        <v>65.900000000000006</v>
      </c>
      <c r="X676" s="13">
        <v>11.1</v>
      </c>
      <c r="BY676" s="13" t="s">
        <v>3575</v>
      </c>
      <c r="BZ676" s="13" t="s">
        <v>3576</v>
      </c>
      <c r="CA676" s="13">
        <v>2024</v>
      </c>
      <c r="CB676" s="21">
        <v>46003</v>
      </c>
      <c r="CC676" s="13" t="s">
        <v>13</v>
      </c>
      <c r="CD676" s="13">
        <v>272</v>
      </c>
      <c r="CE676" s="13">
        <v>1</v>
      </c>
      <c r="CF676" s="13">
        <v>7</v>
      </c>
      <c r="CG676" s="13" t="s">
        <v>3268</v>
      </c>
    </row>
    <row r="677" spans="1:85">
      <c r="A677" s="13" t="s">
        <v>3413</v>
      </c>
      <c r="C677" s="13" t="s">
        <v>3341</v>
      </c>
      <c r="D677" s="14" t="s">
        <v>830</v>
      </c>
      <c r="G677" s="13" t="s">
        <v>3927</v>
      </c>
      <c r="H677" s="13" t="s">
        <v>3920</v>
      </c>
      <c r="J677" s="14" t="s">
        <v>868</v>
      </c>
      <c r="K677" s="13" t="s">
        <v>3895</v>
      </c>
      <c r="L677" s="13" t="s">
        <v>902</v>
      </c>
      <c r="N677" s="13">
        <v>136</v>
      </c>
      <c r="O677" s="2">
        <f t="shared" si="58"/>
        <v>0.50370370370370365</v>
      </c>
      <c r="R677" s="13">
        <v>270</v>
      </c>
      <c r="V677" s="13">
        <v>37</v>
      </c>
      <c r="W677" s="13">
        <v>65.900000000000006</v>
      </c>
      <c r="X677" s="13">
        <v>11.1</v>
      </c>
      <c r="BY677" s="13" t="s">
        <v>3575</v>
      </c>
      <c r="BZ677" s="13" t="s">
        <v>3576</v>
      </c>
      <c r="CA677" s="13">
        <v>2024</v>
      </c>
      <c r="CB677" s="21">
        <v>46003</v>
      </c>
      <c r="CC677" s="13" t="s">
        <v>13</v>
      </c>
      <c r="CD677" s="13">
        <v>272</v>
      </c>
      <c r="CE677" s="13">
        <v>1</v>
      </c>
      <c r="CF677" s="13">
        <v>7</v>
      </c>
      <c r="CG677" s="13" t="s">
        <v>3268</v>
      </c>
    </row>
    <row r="678" spans="1:85">
      <c r="A678" s="13" t="s">
        <v>3413</v>
      </c>
      <c r="C678" s="13" t="s">
        <v>3341</v>
      </c>
      <c r="D678" s="14" t="s">
        <v>830</v>
      </c>
      <c r="G678" s="13" t="s">
        <v>3927</v>
      </c>
      <c r="H678" s="13" t="s">
        <v>3921</v>
      </c>
      <c r="J678" s="14" t="s">
        <v>868</v>
      </c>
      <c r="K678" s="13" t="s">
        <v>3895</v>
      </c>
      <c r="L678" s="13" t="s">
        <v>902</v>
      </c>
      <c r="N678" s="13">
        <v>136</v>
      </c>
      <c r="O678" s="2">
        <f t="shared" si="58"/>
        <v>0.50370370370370365</v>
      </c>
      <c r="R678" s="13">
        <v>270</v>
      </c>
      <c r="V678" s="13">
        <v>37</v>
      </c>
      <c r="W678" s="13">
        <v>65.900000000000006</v>
      </c>
      <c r="X678" s="13">
        <v>11.1</v>
      </c>
      <c r="BY678" s="13" t="s">
        <v>3575</v>
      </c>
      <c r="BZ678" s="13" t="s">
        <v>3576</v>
      </c>
      <c r="CA678" s="13">
        <v>2024</v>
      </c>
      <c r="CB678" s="21">
        <v>46003</v>
      </c>
      <c r="CC678" s="13" t="s">
        <v>13</v>
      </c>
      <c r="CD678" s="13">
        <v>272</v>
      </c>
      <c r="CE678" s="13">
        <v>1</v>
      </c>
      <c r="CF678" s="13">
        <v>7</v>
      </c>
      <c r="CG678" s="13" t="s">
        <v>3268</v>
      </c>
    </row>
    <row r="679" spans="1:85">
      <c r="A679" s="13" t="s">
        <v>3413</v>
      </c>
      <c r="C679" s="13" t="s">
        <v>3341</v>
      </c>
      <c r="D679" s="14" t="s">
        <v>830</v>
      </c>
      <c r="G679" s="13" t="s">
        <v>3927</v>
      </c>
      <c r="H679" s="13" t="s">
        <v>3922</v>
      </c>
      <c r="J679" s="14" t="s">
        <v>868</v>
      </c>
      <c r="K679" s="13" t="s">
        <v>3895</v>
      </c>
      <c r="L679" s="13" t="s">
        <v>902</v>
      </c>
      <c r="N679" s="13">
        <v>136</v>
      </c>
      <c r="O679" s="2">
        <f t="shared" si="58"/>
        <v>0.50370370370370365</v>
      </c>
      <c r="R679" s="13">
        <v>270</v>
      </c>
      <c r="V679" s="13">
        <v>37</v>
      </c>
      <c r="W679" s="13">
        <v>65.900000000000006</v>
      </c>
      <c r="X679" s="13">
        <v>11.1</v>
      </c>
      <c r="BY679" s="13" t="s">
        <v>3575</v>
      </c>
      <c r="BZ679" s="13" t="s">
        <v>3576</v>
      </c>
      <c r="CA679" s="13">
        <v>2024</v>
      </c>
      <c r="CB679" s="21">
        <v>46003</v>
      </c>
      <c r="CC679" s="13" t="s">
        <v>13</v>
      </c>
      <c r="CD679" s="13">
        <v>272</v>
      </c>
      <c r="CE679" s="13">
        <v>1</v>
      </c>
      <c r="CF679" s="13">
        <v>7</v>
      </c>
      <c r="CG679" s="13" t="s">
        <v>3268</v>
      </c>
    </row>
    <row r="680" spans="1:85">
      <c r="A680" s="13" t="s">
        <v>3413</v>
      </c>
      <c r="C680" s="13" t="s">
        <v>3341</v>
      </c>
      <c r="D680" s="14" t="s">
        <v>830</v>
      </c>
      <c r="G680" s="13" t="s">
        <v>3927</v>
      </c>
      <c r="H680" s="13" t="s">
        <v>3923</v>
      </c>
      <c r="J680" s="14" t="s">
        <v>868</v>
      </c>
      <c r="K680" s="13" t="s">
        <v>3895</v>
      </c>
      <c r="L680" s="13" t="s">
        <v>902</v>
      </c>
      <c r="N680" s="13">
        <v>136</v>
      </c>
      <c r="O680" s="2">
        <f t="shared" si="58"/>
        <v>0.50370370370370365</v>
      </c>
      <c r="R680" s="13">
        <v>270</v>
      </c>
      <c r="V680" s="13">
        <v>37</v>
      </c>
      <c r="W680" s="13">
        <v>65.900000000000006</v>
      </c>
      <c r="X680" s="13">
        <v>11.1</v>
      </c>
      <c r="BY680" s="13" t="s">
        <v>3575</v>
      </c>
      <c r="BZ680" s="13" t="s">
        <v>3576</v>
      </c>
      <c r="CA680" s="13">
        <v>2024</v>
      </c>
      <c r="CB680" s="21">
        <v>46003</v>
      </c>
      <c r="CC680" s="13" t="s">
        <v>13</v>
      </c>
      <c r="CD680" s="13">
        <v>272</v>
      </c>
      <c r="CE680" s="13">
        <v>1</v>
      </c>
      <c r="CF680" s="13">
        <v>7</v>
      </c>
      <c r="CG680" s="13" t="s">
        <v>3268</v>
      </c>
    </row>
    <row r="681" spans="1:85">
      <c r="A681" s="13" t="s">
        <v>3413</v>
      </c>
      <c r="C681" s="13" t="s">
        <v>3341</v>
      </c>
      <c r="D681" s="14" t="s">
        <v>830</v>
      </c>
      <c r="G681" s="13" t="s">
        <v>3927</v>
      </c>
      <c r="H681" s="13" t="s">
        <v>3924</v>
      </c>
      <c r="J681" s="14" t="s">
        <v>868</v>
      </c>
      <c r="K681" s="13" t="s">
        <v>3895</v>
      </c>
      <c r="L681" s="13" t="s">
        <v>902</v>
      </c>
      <c r="N681" s="13">
        <v>136</v>
      </c>
      <c r="O681" s="2">
        <f t="shared" si="58"/>
        <v>0.50370370370370365</v>
      </c>
      <c r="R681" s="13">
        <v>270</v>
      </c>
      <c r="V681" s="13">
        <v>37</v>
      </c>
      <c r="W681" s="13">
        <v>65.900000000000006</v>
      </c>
      <c r="X681" s="13">
        <v>11.1</v>
      </c>
      <c r="BY681" s="13" t="s">
        <v>3575</v>
      </c>
      <c r="BZ681" s="13" t="s">
        <v>3576</v>
      </c>
      <c r="CA681" s="13">
        <v>2024</v>
      </c>
      <c r="CB681" s="21">
        <v>46003</v>
      </c>
      <c r="CC681" s="13" t="s">
        <v>13</v>
      </c>
      <c r="CD681" s="13">
        <v>272</v>
      </c>
      <c r="CE681" s="13">
        <v>1</v>
      </c>
      <c r="CF681" s="13">
        <v>7</v>
      </c>
      <c r="CG681" s="13" t="s">
        <v>3268</v>
      </c>
    </row>
    <row r="682" spans="1:85">
      <c r="A682" s="13" t="s">
        <v>3413</v>
      </c>
      <c r="C682" s="13" t="s">
        <v>3341</v>
      </c>
      <c r="D682" s="14" t="s">
        <v>830</v>
      </c>
      <c r="G682" s="13" t="s">
        <v>3927</v>
      </c>
      <c r="H682" s="13" t="s">
        <v>3925</v>
      </c>
      <c r="J682" s="14" t="s">
        <v>868</v>
      </c>
      <c r="K682" s="13" t="s">
        <v>3895</v>
      </c>
      <c r="L682" s="13" t="s">
        <v>902</v>
      </c>
      <c r="N682" s="13">
        <v>136</v>
      </c>
      <c r="O682" s="2">
        <f t="shared" si="58"/>
        <v>0.50370370370370365</v>
      </c>
      <c r="R682" s="13">
        <v>270</v>
      </c>
      <c r="V682" s="13">
        <v>37</v>
      </c>
      <c r="W682" s="13">
        <v>65.900000000000006</v>
      </c>
      <c r="X682" s="13">
        <v>11.1</v>
      </c>
      <c r="BY682" s="13" t="s">
        <v>3575</v>
      </c>
      <c r="BZ682" s="13" t="s">
        <v>3576</v>
      </c>
      <c r="CA682" s="13">
        <v>2024</v>
      </c>
      <c r="CB682" s="21">
        <v>46003</v>
      </c>
      <c r="CC682" s="13" t="s">
        <v>13</v>
      </c>
      <c r="CD682" s="13">
        <v>272</v>
      </c>
      <c r="CE682" s="13">
        <v>1</v>
      </c>
      <c r="CF682" s="13">
        <v>7</v>
      </c>
      <c r="CG682" s="13" t="s">
        <v>3268</v>
      </c>
    </row>
    <row r="683" spans="1:85">
      <c r="A683" s="13" t="s">
        <v>3413</v>
      </c>
      <c r="C683" s="13" t="s">
        <v>3341</v>
      </c>
      <c r="D683" s="14" t="s">
        <v>830</v>
      </c>
      <c r="G683" s="13" t="s">
        <v>3927</v>
      </c>
      <c r="H683" s="13" t="s">
        <v>3926</v>
      </c>
      <c r="J683" s="14" t="s">
        <v>868</v>
      </c>
      <c r="K683" s="13" t="s">
        <v>3895</v>
      </c>
      <c r="L683" s="13" t="s">
        <v>902</v>
      </c>
      <c r="N683" s="13">
        <v>136</v>
      </c>
      <c r="O683" s="2">
        <f t="shared" si="58"/>
        <v>0.50370370370370365</v>
      </c>
      <c r="R683" s="13">
        <v>270</v>
      </c>
      <c r="V683" s="13">
        <v>37</v>
      </c>
      <c r="W683" s="13">
        <v>65.900000000000006</v>
      </c>
      <c r="X683" s="13">
        <v>11.1</v>
      </c>
      <c r="BY683" s="13" t="s">
        <v>3575</v>
      </c>
      <c r="BZ683" s="13" t="s">
        <v>3576</v>
      </c>
      <c r="CA683" s="13">
        <v>2024</v>
      </c>
      <c r="CB683" s="21">
        <v>46003</v>
      </c>
      <c r="CC683" s="13" t="s">
        <v>13</v>
      </c>
      <c r="CD683" s="13">
        <v>272</v>
      </c>
      <c r="CE683" s="13">
        <v>1</v>
      </c>
      <c r="CF683" s="13">
        <v>7</v>
      </c>
      <c r="CG683" s="13" t="s">
        <v>3268</v>
      </c>
    </row>
    <row r="684" spans="1:85">
      <c r="A684" s="13" t="s">
        <v>3413</v>
      </c>
      <c r="C684" s="13" t="s">
        <v>3341</v>
      </c>
      <c r="D684" s="14" t="s">
        <v>830</v>
      </c>
      <c r="G684" s="13" t="s">
        <v>672</v>
      </c>
      <c r="H684" s="13" t="s">
        <v>675</v>
      </c>
      <c r="J684" s="14" t="s">
        <v>868</v>
      </c>
      <c r="K684" s="13" t="s">
        <v>3895</v>
      </c>
      <c r="L684" s="13" t="s">
        <v>902</v>
      </c>
      <c r="N684" s="13">
        <v>136</v>
      </c>
      <c r="O684" s="2">
        <f t="shared" si="58"/>
        <v>0.50370370370370365</v>
      </c>
      <c r="R684" s="13">
        <v>270</v>
      </c>
      <c r="V684" s="13">
        <v>37</v>
      </c>
      <c r="W684" s="13">
        <v>65.900000000000006</v>
      </c>
      <c r="X684" s="13">
        <v>11.1</v>
      </c>
      <c r="BY684" s="13" t="s">
        <v>3575</v>
      </c>
      <c r="BZ684" s="13" t="s">
        <v>3576</v>
      </c>
      <c r="CA684" s="13">
        <v>2024</v>
      </c>
      <c r="CB684" s="21">
        <v>46003</v>
      </c>
      <c r="CC684" s="13" t="s">
        <v>13</v>
      </c>
      <c r="CD684" s="13">
        <v>272</v>
      </c>
      <c r="CE684" s="13">
        <v>1</v>
      </c>
      <c r="CF684" s="13">
        <v>7</v>
      </c>
      <c r="CG684" s="13" t="s">
        <v>3268</v>
      </c>
    </row>
    <row r="685" spans="1:85">
      <c r="A685" s="13" t="s">
        <v>1726</v>
      </c>
      <c r="B685" s="13" t="s">
        <v>1892</v>
      </c>
      <c r="C685" s="13" t="s">
        <v>408</v>
      </c>
      <c r="D685" s="13" t="s">
        <v>818</v>
      </c>
      <c r="E685" s="13" t="s">
        <v>630</v>
      </c>
      <c r="F685" s="13" t="s">
        <v>951</v>
      </c>
      <c r="G685" s="13" t="s">
        <v>674</v>
      </c>
      <c r="H685" s="13" t="s">
        <v>675</v>
      </c>
      <c r="J685" s="13" t="s">
        <v>586</v>
      </c>
      <c r="K685" s="14" t="s">
        <v>2798</v>
      </c>
      <c r="L685" s="16" t="s">
        <v>652</v>
      </c>
      <c r="M685" s="16"/>
      <c r="N685" s="13">
        <v>58</v>
      </c>
      <c r="O685" s="2">
        <f t="shared" si="58"/>
        <v>0.54205607476635509</v>
      </c>
      <c r="P685" s="13">
        <v>27</v>
      </c>
      <c r="Q685" s="17">
        <f>P685/S685</f>
        <v>0.35526315789473684</v>
      </c>
      <c r="R685" s="13">
        <v>107</v>
      </c>
      <c r="S685" s="13">
        <v>76</v>
      </c>
      <c r="V685" s="13">
        <v>26</v>
      </c>
      <c r="W685" s="13">
        <v>61.9</v>
      </c>
      <c r="X685" s="13">
        <v>10.7</v>
      </c>
      <c r="AB685" s="13">
        <v>58.7</v>
      </c>
      <c r="AC685" s="13">
        <v>8.5</v>
      </c>
      <c r="AP685" s="13">
        <v>0.93</v>
      </c>
      <c r="BY685" s="13" t="s">
        <v>404</v>
      </c>
      <c r="BZ685" s="13" t="s">
        <v>405</v>
      </c>
      <c r="CA685" s="13">
        <v>2021</v>
      </c>
      <c r="CB685" s="13" t="s">
        <v>357</v>
      </c>
      <c r="CC685" s="13" t="s">
        <v>26</v>
      </c>
      <c r="CD685" s="13">
        <v>8</v>
      </c>
      <c r="CE685" s="13">
        <v>9</v>
      </c>
      <c r="CF685" s="13" t="s">
        <v>406</v>
      </c>
      <c r="CG685" s="13" t="s">
        <v>407</v>
      </c>
    </row>
    <row r="686" spans="1:85">
      <c r="A686" s="13" t="s">
        <v>1726</v>
      </c>
      <c r="B686" s="13" t="s">
        <v>1892</v>
      </c>
      <c r="C686" s="13" t="s">
        <v>408</v>
      </c>
      <c r="D686" s="13" t="s">
        <v>818</v>
      </c>
      <c r="E686" s="13" t="s">
        <v>630</v>
      </c>
      <c r="F686" s="13" t="s">
        <v>951</v>
      </c>
      <c r="G686" s="13" t="s">
        <v>674</v>
      </c>
      <c r="H686" s="13" t="s">
        <v>807</v>
      </c>
      <c r="J686" s="13" t="s">
        <v>586</v>
      </c>
      <c r="K686" s="14" t="s">
        <v>2798</v>
      </c>
      <c r="L686" s="16" t="s">
        <v>652</v>
      </c>
      <c r="M686" s="16"/>
      <c r="N686" s="13">
        <v>58</v>
      </c>
      <c r="O686" s="2">
        <f t="shared" si="58"/>
        <v>0.54205607476635509</v>
      </c>
      <c r="P686" s="13">
        <v>27</v>
      </c>
      <c r="Q686" s="17">
        <f>P686/S686</f>
        <v>0.35526315789473684</v>
      </c>
      <c r="R686" s="13">
        <v>107</v>
      </c>
      <c r="S686" s="13">
        <v>76</v>
      </c>
      <c r="V686" s="13">
        <v>26</v>
      </c>
      <c r="W686" s="13">
        <v>61.9</v>
      </c>
      <c r="X686" s="13">
        <v>10.7</v>
      </c>
      <c r="AB686" s="13">
        <v>58.7</v>
      </c>
      <c r="AC686" s="13">
        <v>8.5</v>
      </c>
      <c r="AP686" s="13">
        <v>0.87</v>
      </c>
      <c r="BY686" s="13" t="s">
        <v>404</v>
      </c>
      <c r="BZ686" s="13" t="s">
        <v>405</v>
      </c>
      <c r="CA686" s="13">
        <v>2021</v>
      </c>
      <c r="CB686" s="13" t="s">
        <v>357</v>
      </c>
      <c r="CC686" s="13" t="s">
        <v>26</v>
      </c>
      <c r="CD686" s="13">
        <v>8</v>
      </c>
      <c r="CE686" s="13">
        <v>9</v>
      </c>
      <c r="CF686" s="13" t="s">
        <v>406</v>
      </c>
      <c r="CG686" s="13" t="s">
        <v>407</v>
      </c>
    </row>
    <row r="687" spans="1:85">
      <c r="A687" s="13" t="s">
        <v>1726</v>
      </c>
      <c r="B687" s="13" t="s">
        <v>1892</v>
      </c>
      <c r="C687" s="13" t="s">
        <v>408</v>
      </c>
      <c r="D687" s="13" t="s">
        <v>818</v>
      </c>
      <c r="E687" s="13" t="s">
        <v>630</v>
      </c>
      <c r="F687" s="13" t="s">
        <v>951</v>
      </c>
      <c r="G687" s="13" t="s">
        <v>674</v>
      </c>
      <c r="H687" s="13" t="s">
        <v>952</v>
      </c>
      <c r="J687" s="13" t="s">
        <v>586</v>
      </c>
      <c r="K687" s="14" t="s">
        <v>2798</v>
      </c>
      <c r="L687" s="16" t="s">
        <v>585</v>
      </c>
      <c r="M687" s="16"/>
      <c r="N687" s="13">
        <v>58</v>
      </c>
      <c r="O687" s="2">
        <f t="shared" si="58"/>
        <v>0.54205607476635509</v>
      </c>
      <c r="P687" s="13">
        <v>27</v>
      </c>
      <c r="Q687" s="17">
        <f>P687/S687</f>
        <v>0.35526315789473684</v>
      </c>
      <c r="R687" s="13">
        <v>107</v>
      </c>
      <c r="S687" s="13">
        <v>76</v>
      </c>
      <c r="V687" s="13">
        <v>26</v>
      </c>
      <c r="W687" s="13">
        <v>61.9</v>
      </c>
      <c r="X687" s="13">
        <v>10.7</v>
      </c>
      <c r="AB687" s="13">
        <v>58.7</v>
      </c>
      <c r="AC687" s="13">
        <v>8.5</v>
      </c>
      <c r="BY687" s="13" t="s">
        <v>404</v>
      </c>
      <c r="BZ687" s="13" t="s">
        <v>405</v>
      </c>
      <c r="CA687" s="13">
        <v>2021</v>
      </c>
      <c r="CB687" s="13" t="s">
        <v>357</v>
      </c>
      <c r="CC687" s="13" t="s">
        <v>26</v>
      </c>
      <c r="CD687" s="13">
        <v>8</v>
      </c>
      <c r="CE687" s="13">
        <v>9</v>
      </c>
      <c r="CF687" s="13" t="s">
        <v>406</v>
      </c>
      <c r="CG687" s="13" t="s">
        <v>407</v>
      </c>
    </row>
    <row r="688" spans="1:85">
      <c r="A688" s="13" t="s">
        <v>1726</v>
      </c>
      <c r="B688" s="13" t="s">
        <v>1892</v>
      </c>
      <c r="C688" s="13" t="s">
        <v>408</v>
      </c>
      <c r="D688" s="13" t="s">
        <v>818</v>
      </c>
      <c r="E688" s="13" t="s">
        <v>630</v>
      </c>
      <c r="F688" s="13" t="s">
        <v>951</v>
      </c>
      <c r="G688" s="13" t="s">
        <v>674</v>
      </c>
      <c r="H688" s="13" t="s">
        <v>953</v>
      </c>
      <c r="J688" s="13" t="s">
        <v>586</v>
      </c>
      <c r="K688" s="14" t="s">
        <v>2798</v>
      </c>
      <c r="L688" s="16" t="s">
        <v>585</v>
      </c>
      <c r="M688" s="16"/>
      <c r="N688" s="13">
        <v>58</v>
      </c>
      <c r="O688" s="2">
        <f t="shared" si="58"/>
        <v>0.54205607476635509</v>
      </c>
      <c r="P688" s="13">
        <v>27</v>
      </c>
      <c r="Q688" s="17">
        <f>P688/S688</f>
        <v>0.35526315789473684</v>
      </c>
      <c r="R688" s="13">
        <v>107</v>
      </c>
      <c r="S688" s="13">
        <v>76</v>
      </c>
      <c r="V688" s="13">
        <v>26</v>
      </c>
      <c r="W688" s="13">
        <v>61.9</v>
      </c>
      <c r="X688" s="13">
        <v>10.7</v>
      </c>
      <c r="AB688" s="13">
        <v>58.7</v>
      </c>
      <c r="AC688" s="13">
        <v>8.5</v>
      </c>
      <c r="AP688" s="13">
        <v>0.72</v>
      </c>
      <c r="BY688" s="13" t="s">
        <v>404</v>
      </c>
      <c r="BZ688" s="13" t="s">
        <v>405</v>
      </c>
      <c r="CA688" s="13">
        <v>2021</v>
      </c>
      <c r="CB688" s="13" t="s">
        <v>357</v>
      </c>
      <c r="CC688" s="13" t="s">
        <v>26</v>
      </c>
      <c r="CD688" s="13">
        <v>8</v>
      </c>
      <c r="CE688" s="13">
        <v>9</v>
      </c>
      <c r="CF688" s="13" t="s">
        <v>406</v>
      </c>
      <c r="CG688" s="13" t="s">
        <v>407</v>
      </c>
    </row>
    <row r="689" spans="1:85">
      <c r="A689" s="13" t="s">
        <v>3414</v>
      </c>
      <c r="B689" s="16"/>
      <c r="C689" s="13" t="s">
        <v>3342</v>
      </c>
      <c r="D689" s="14" t="s">
        <v>831</v>
      </c>
      <c r="G689" s="13" t="s">
        <v>674</v>
      </c>
      <c r="H689" s="13" t="s">
        <v>675</v>
      </c>
      <c r="J689" s="14" t="s">
        <v>703</v>
      </c>
      <c r="K689" s="13" t="s">
        <v>3930</v>
      </c>
      <c r="L689" s="13" t="s">
        <v>652</v>
      </c>
      <c r="BY689" s="13" t="s">
        <v>3577</v>
      </c>
      <c r="BZ689" s="13" t="s">
        <v>3578</v>
      </c>
      <c r="CA689" s="13">
        <v>2024</v>
      </c>
      <c r="CB689" s="13" t="s">
        <v>44</v>
      </c>
      <c r="CC689" s="13" t="s">
        <v>260</v>
      </c>
      <c r="CD689" s="13">
        <v>122</v>
      </c>
      <c r="CF689" s="13" t="s">
        <v>3579</v>
      </c>
      <c r="CG689" s="13" t="s">
        <v>3269</v>
      </c>
    </row>
    <row r="690" spans="1:85">
      <c r="A690" s="13" t="s">
        <v>3414</v>
      </c>
      <c r="B690" s="16"/>
      <c r="C690" s="13" t="s">
        <v>3342</v>
      </c>
      <c r="D690" s="14" t="s">
        <v>831</v>
      </c>
      <c r="G690" s="13" t="s">
        <v>674</v>
      </c>
      <c r="H690" s="13" t="s">
        <v>767</v>
      </c>
      <c r="J690" s="14" t="s">
        <v>703</v>
      </c>
      <c r="K690" s="13" t="s">
        <v>3930</v>
      </c>
      <c r="L690" s="13" t="s">
        <v>902</v>
      </c>
      <c r="BY690" s="13" t="s">
        <v>3577</v>
      </c>
      <c r="BZ690" s="13" t="s">
        <v>3578</v>
      </c>
      <c r="CA690" s="13">
        <v>2024</v>
      </c>
      <c r="CB690" s="13" t="s">
        <v>44</v>
      </c>
      <c r="CC690" s="13" t="s">
        <v>260</v>
      </c>
      <c r="CD690" s="13">
        <v>122</v>
      </c>
      <c r="CF690" s="13" t="s">
        <v>3579</v>
      </c>
      <c r="CG690" s="13" t="s">
        <v>3269</v>
      </c>
    </row>
    <row r="691" spans="1:85">
      <c r="A691" s="13" t="s">
        <v>3415</v>
      </c>
      <c r="C691" s="13" t="s">
        <v>3343</v>
      </c>
      <c r="D691" s="14" t="s">
        <v>2039</v>
      </c>
      <c r="E691" s="13" t="s">
        <v>630</v>
      </c>
      <c r="G691" s="13" t="s">
        <v>673</v>
      </c>
      <c r="H691" s="13" t="s">
        <v>675</v>
      </c>
      <c r="J691" s="14" t="s">
        <v>712</v>
      </c>
      <c r="K691" s="13" t="s">
        <v>3931</v>
      </c>
      <c r="L691" s="13" t="s">
        <v>585</v>
      </c>
      <c r="N691" s="13">
        <v>26</v>
      </c>
      <c r="O691" s="2">
        <f t="shared" ref="O691:O704" si="60">N691/R691</f>
        <v>0.60465116279069764</v>
      </c>
      <c r="P691" s="13">
        <v>18</v>
      </c>
      <c r="Q691" s="17">
        <f>P691/S691</f>
        <v>0.5625</v>
      </c>
      <c r="R691" s="13">
        <v>43</v>
      </c>
      <c r="S691" s="13">
        <v>32</v>
      </c>
      <c r="W691" s="13">
        <v>59.51</v>
      </c>
      <c r="X691" s="13">
        <v>11.1</v>
      </c>
      <c r="AB691" s="13">
        <v>54.1</v>
      </c>
      <c r="AC691" s="13">
        <v>13</v>
      </c>
      <c r="BY691" s="13" t="s">
        <v>3580</v>
      </c>
      <c r="BZ691" s="13" t="s">
        <v>3581</v>
      </c>
      <c r="CA691" s="13">
        <v>2024</v>
      </c>
      <c r="CB691" s="21">
        <v>45976</v>
      </c>
      <c r="CC691" s="13" t="s">
        <v>61</v>
      </c>
      <c r="CD691" s="13">
        <v>14</v>
      </c>
      <c r="CE691" s="13">
        <v>1</v>
      </c>
      <c r="CF691" s="13">
        <v>28110</v>
      </c>
      <c r="CG691" s="13" t="s">
        <v>3270</v>
      </c>
    </row>
    <row r="692" spans="1:85">
      <c r="A692" s="13" t="s">
        <v>3416</v>
      </c>
      <c r="C692" s="13" t="s">
        <v>3344</v>
      </c>
      <c r="D692" s="14" t="s">
        <v>830</v>
      </c>
      <c r="E692" s="13" t="s">
        <v>630</v>
      </c>
      <c r="F692" s="13" t="s">
        <v>3932</v>
      </c>
      <c r="G692" s="13" t="s">
        <v>674</v>
      </c>
      <c r="H692" s="13" t="s">
        <v>3933</v>
      </c>
      <c r="J692" s="14" t="s">
        <v>703</v>
      </c>
      <c r="K692" s="13" t="s">
        <v>3934</v>
      </c>
      <c r="L692" s="13" t="s">
        <v>2362</v>
      </c>
      <c r="M692" s="13" t="s">
        <v>3935</v>
      </c>
      <c r="N692" s="13">
        <v>39</v>
      </c>
      <c r="O692" s="2">
        <f t="shared" si="60"/>
        <v>0.63934426229508201</v>
      </c>
      <c r="R692" s="13">
        <v>61</v>
      </c>
      <c r="S692" s="13">
        <v>30</v>
      </c>
      <c r="V692" s="13">
        <v>12</v>
      </c>
      <c r="W692" s="13">
        <v>62.88</v>
      </c>
      <c r="X692" s="13">
        <v>12.6</v>
      </c>
      <c r="AG692" s="13" t="s">
        <v>3936</v>
      </c>
      <c r="BY692" s="13" t="s">
        <v>3582</v>
      </c>
      <c r="BZ692" s="13" t="s">
        <v>3583</v>
      </c>
      <c r="CA692" s="13">
        <v>2024</v>
      </c>
      <c r="CC692" s="13" t="s">
        <v>3584</v>
      </c>
      <c r="CD692" s="13">
        <v>11</v>
      </c>
      <c r="CF692" s="13">
        <v>1507498</v>
      </c>
      <c r="CG692" s="13" t="s">
        <v>3271</v>
      </c>
    </row>
    <row r="693" spans="1:85">
      <c r="A693" s="13" t="s">
        <v>1727</v>
      </c>
      <c r="C693" s="13" t="s">
        <v>413</v>
      </c>
      <c r="D693" s="13" t="s">
        <v>818</v>
      </c>
      <c r="E693" s="13" t="s">
        <v>630</v>
      </c>
      <c r="F693" s="13" t="s">
        <v>954</v>
      </c>
      <c r="G693" s="13" t="s">
        <v>702</v>
      </c>
      <c r="H693" s="13" t="s">
        <v>958</v>
      </c>
      <c r="J693" s="13" t="s">
        <v>745</v>
      </c>
      <c r="L693" s="13" t="s">
        <v>1974</v>
      </c>
      <c r="M693" s="13" t="s">
        <v>956</v>
      </c>
      <c r="N693" s="13">
        <v>30</v>
      </c>
      <c r="O693" s="2">
        <f t="shared" si="60"/>
        <v>0.5</v>
      </c>
      <c r="P693" s="13">
        <v>15</v>
      </c>
      <c r="Q693" s="17">
        <f t="shared" ref="Q693:Q704" si="61">P693/S693</f>
        <v>0.6</v>
      </c>
      <c r="R693" s="13">
        <v>60</v>
      </c>
      <c r="S693" s="13">
        <v>25</v>
      </c>
      <c r="Y693" s="13">
        <v>67</v>
      </c>
      <c r="AD693" s="13">
        <v>56</v>
      </c>
      <c r="AG693" s="13" t="s">
        <v>957</v>
      </c>
      <c r="AJ693" s="13">
        <v>82.5</v>
      </c>
      <c r="AM693" s="13">
        <v>62.5</v>
      </c>
      <c r="AP693" s="13">
        <v>0.75800000000000001</v>
      </c>
      <c r="AR693" s="13">
        <v>0.64200000000000002</v>
      </c>
      <c r="AS693" s="13">
        <v>0.874</v>
      </c>
      <c r="BB693" s="13">
        <v>2.5</v>
      </c>
      <c r="BY693" s="13" t="s">
        <v>409</v>
      </c>
      <c r="BZ693" s="13" t="s">
        <v>410</v>
      </c>
      <c r="CA693" s="13">
        <v>2023</v>
      </c>
      <c r="CB693" s="21">
        <v>45410</v>
      </c>
      <c r="CC693" s="13" t="s">
        <v>411</v>
      </c>
      <c r="CD693" s="13">
        <v>11</v>
      </c>
      <c r="CE693" s="13">
        <v>5</v>
      </c>
      <c r="CG693" s="13" t="s">
        <v>412</v>
      </c>
    </row>
    <row r="694" spans="1:85">
      <c r="A694" s="13" t="s">
        <v>1727</v>
      </c>
      <c r="C694" s="13" t="s">
        <v>413</v>
      </c>
      <c r="D694" s="13" t="s">
        <v>818</v>
      </c>
      <c r="E694" s="13" t="s">
        <v>630</v>
      </c>
      <c r="F694" s="13" t="s">
        <v>954</v>
      </c>
      <c r="G694" s="13" t="s">
        <v>702</v>
      </c>
      <c r="H694" s="13" t="s">
        <v>955</v>
      </c>
      <c r="J694" s="13" t="s">
        <v>745</v>
      </c>
      <c r="L694" s="13" t="s">
        <v>1974</v>
      </c>
      <c r="M694" s="13" t="s">
        <v>956</v>
      </c>
      <c r="N694" s="13">
        <v>30</v>
      </c>
      <c r="O694" s="2">
        <f t="shared" si="60"/>
        <v>0.5</v>
      </c>
      <c r="P694" s="13">
        <v>15</v>
      </c>
      <c r="Q694" s="17">
        <f t="shared" si="61"/>
        <v>0.6</v>
      </c>
      <c r="R694" s="13">
        <v>60</v>
      </c>
      <c r="S694" s="13">
        <v>25</v>
      </c>
      <c r="Y694" s="13">
        <v>67</v>
      </c>
      <c r="AD694" s="13">
        <v>56</v>
      </c>
      <c r="AG694" s="13" t="s">
        <v>957</v>
      </c>
      <c r="AJ694" s="13">
        <v>82.5</v>
      </c>
      <c r="AM694" s="13">
        <v>62.5</v>
      </c>
      <c r="AP694" s="13">
        <v>0.746</v>
      </c>
      <c r="AR694" s="13">
        <v>0.60899999999999999</v>
      </c>
      <c r="AS694" s="13">
        <v>0.88400000000000001</v>
      </c>
      <c r="BB694" s="13">
        <v>2.5</v>
      </c>
      <c r="BY694" s="13" t="s">
        <v>409</v>
      </c>
      <c r="BZ694" s="13" t="s">
        <v>410</v>
      </c>
      <c r="CA694" s="13">
        <v>2023</v>
      </c>
      <c r="CB694" s="21">
        <v>45410</v>
      </c>
      <c r="CC694" s="13" t="s">
        <v>411</v>
      </c>
      <c r="CD694" s="13">
        <v>11</v>
      </c>
      <c r="CE694" s="13">
        <v>5</v>
      </c>
      <c r="CG694" s="13" t="s">
        <v>412</v>
      </c>
    </row>
    <row r="695" spans="1:85">
      <c r="A695" s="13" t="s">
        <v>1728</v>
      </c>
      <c r="B695" s="13" t="s">
        <v>1894</v>
      </c>
      <c r="C695" s="13" t="s">
        <v>418</v>
      </c>
      <c r="D695" s="13" t="s">
        <v>827</v>
      </c>
      <c r="E695" s="13" t="s">
        <v>630</v>
      </c>
      <c r="F695" s="13" t="s">
        <v>959</v>
      </c>
      <c r="G695" s="13" t="s">
        <v>674</v>
      </c>
      <c r="H695" s="13" t="s">
        <v>858</v>
      </c>
      <c r="J695" s="13" t="s">
        <v>712</v>
      </c>
      <c r="K695" s="14" t="s">
        <v>4088</v>
      </c>
      <c r="L695" s="16" t="s">
        <v>585</v>
      </c>
      <c r="M695" s="16"/>
      <c r="N695" s="13">
        <v>46</v>
      </c>
      <c r="O695" s="2">
        <f t="shared" si="60"/>
        <v>0.66666666666666663</v>
      </c>
      <c r="P695" s="13">
        <v>37</v>
      </c>
      <c r="Q695" s="17">
        <f t="shared" si="61"/>
        <v>0.6271186440677966</v>
      </c>
      <c r="R695" s="13">
        <v>69</v>
      </c>
      <c r="S695" s="13">
        <v>59</v>
      </c>
      <c r="V695" s="13">
        <v>0</v>
      </c>
      <c r="W695" s="13">
        <v>51.46</v>
      </c>
      <c r="AB695" s="13">
        <v>51.76</v>
      </c>
      <c r="AG695" s="13" t="s">
        <v>639</v>
      </c>
      <c r="AH695" s="13">
        <v>37.58</v>
      </c>
      <c r="AJ695" s="13">
        <v>91.3</v>
      </c>
      <c r="AM695" s="13">
        <v>91.5</v>
      </c>
      <c r="AP695" s="13">
        <v>0.92400000000000004</v>
      </c>
      <c r="BB695" s="13">
        <v>113.1</v>
      </c>
      <c r="BG695" s="13">
        <v>82.98</v>
      </c>
      <c r="BH695" s="13">
        <v>102.65</v>
      </c>
      <c r="BM695" s="13">
        <v>25.19</v>
      </c>
      <c r="BR695" s="13">
        <v>23.09</v>
      </c>
      <c r="BS695" s="13">
        <v>15.23</v>
      </c>
      <c r="BX695" s="13" t="s">
        <v>635</v>
      </c>
      <c r="BY695" s="13" t="s">
        <v>414</v>
      </c>
      <c r="BZ695" s="13" t="s">
        <v>415</v>
      </c>
      <c r="CA695" s="13">
        <v>2021</v>
      </c>
      <c r="CC695" s="13" t="s">
        <v>416</v>
      </c>
      <c r="CD695" s="13">
        <v>12</v>
      </c>
      <c r="CF695" s="13">
        <v>663637</v>
      </c>
      <c r="CG695" s="13" t="s">
        <v>417</v>
      </c>
    </row>
    <row r="696" spans="1:85">
      <c r="A696" s="13" t="s">
        <v>1728</v>
      </c>
      <c r="B696" s="13" t="s">
        <v>1894</v>
      </c>
      <c r="C696" s="13" t="s">
        <v>418</v>
      </c>
      <c r="D696" s="13" t="s">
        <v>827</v>
      </c>
      <c r="E696" s="13" t="s">
        <v>630</v>
      </c>
      <c r="F696" s="13" t="s">
        <v>959</v>
      </c>
      <c r="G696" s="13" t="s">
        <v>672</v>
      </c>
      <c r="H696" s="13" t="s">
        <v>858</v>
      </c>
      <c r="J696" s="13" t="s">
        <v>712</v>
      </c>
      <c r="K696" s="14" t="s">
        <v>4088</v>
      </c>
      <c r="L696" s="16" t="s">
        <v>585</v>
      </c>
      <c r="M696" s="16"/>
      <c r="N696" s="13">
        <v>46</v>
      </c>
      <c r="O696" s="2">
        <f t="shared" si="60"/>
        <v>0.66666666666666663</v>
      </c>
      <c r="P696" s="13">
        <v>37</v>
      </c>
      <c r="Q696" s="17">
        <f t="shared" si="61"/>
        <v>0.6271186440677966</v>
      </c>
      <c r="R696" s="13">
        <v>69</v>
      </c>
      <c r="S696" s="13">
        <v>59</v>
      </c>
      <c r="V696" s="13">
        <v>0</v>
      </c>
      <c r="W696" s="13">
        <v>51.46</v>
      </c>
      <c r="AB696" s="13">
        <v>51.76</v>
      </c>
      <c r="AG696" s="13" t="s">
        <v>639</v>
      </c>
      <c r="AH696" s="13">
        <v>15.08</v>
      </c>
      <c r="AJ696" s="13">
        <v>94.2</v>
      </c>
      <c r="AM696" s="13">
        <v>30.5</v>
      </c>
      <c r="AP696" s="13">
        <v>0.58799999999999997</v>
      </c>
      <c r="BB696" s="13">
        <v>35.9</v>
      </c>
      <c r="BG696" s="13">
        <v>29.67</v>
      </c>
      <c r="BH696" s="13">
        <v>18.05</v>
      </c>
      <c r="BM696" s="13">
        <v>30.81</v>
      </c>
      <c r="BR696" s="13">
        <v>25.75</v>
      </c>
      <c r="BS696" s="13">
        <v>24.25</v>
      </c>
      <c r="BX696" s="13">
        <v>8.5999999999999993E-2</v>
      </c>
      <c r="BY696" s="13" t="s">
        <v>414</v>
      </c>
      <c r="BZ696" s="13" t="s">
        <v>415</v>
      </c>
      <c r="CA696" s="13">
        <v>2021</v>
      </c>
      <c r="CC696" s="13" t="s">
        <v>416</v>
      </c>
      <c r="CD696" s="13">
        <v>12</v>
      </c>
      <c r="CF696" s="13">
        <v>663637</v>
      </c>
      <c r="CG696" s="13" t="s">
        <v>417</v>
      </c>
    </row>
    <row r="697" spans="1:85">
      <c r="A697" s="13" t="s">
        <v>1728</v>
      </c>
      <c r="B697" s="13" t="s">
        <v>1894</v>
      </c>
      <c r="C697" s="13" t="s">
        <v>418</v>
      </c>
      <c r="D697" s="13" t="s">
        <v>827</v>
      </c>
      <c r="E697" s="13" t="s">
        <v>630</v>
      </c>
      <c r="F697" s="13" t="s">
        <v>959</v>
      </c>
      <c r="G697" s="13" t="s">
        <v>674</v>
      </c>
      <c r="H697" s="13" t="s">
        <v>960</v>
      </c>
      <c r="J697" s="13" t="s">
        <v>712</v>
      </c>
      <c r="K697" s="14" t="s">
        <v>4088</v>
      </c>
      <c r="L697" s="16" t="s">
        <v>585</v>
      </c>
      <c r="M697" s="16"/>
      <c r="N697" s="13">
        <v>46</v>
      </c>
      <c r="O697" s="2">
        <f t="shared" si="60"/>
        <v>0.66666666666666663</v>
      </c>
      <c r="P697" s="13">
        <v>37</v>
      </c>
      <c r="Q697" s="17">
        <f t="shared" si="61"/>
        <v>0.6271186440677966</v>
      </c>
      <c r="R697" s="13">
        <v>69</v>
      </c>
      <c r="S697" s="13">
        <v>59</v>
      </c>
      <c r="V697" s="13">
        <v>0</v>
      </c>
      <c r="W697" s="13">
        <v>51.46</v>
      </c>
      <c r="AB697" s="13">
        <v>51.76</v>
      </c>
      <c r="AG697" s="13" t="s">
        <v>639</v>
      </c>
      <c r="AH697" s="13">
        <v>0.86</v>
      </c>
      <c r="AJ697" s="13">
        <v>82.6</v>
      </c>
      <c r="AM697" s="13">
        <v>67.8</v>
      </c>
      <c r="AP697" s="13">
        <v>0.76500000000000001</v>
      </c>
      <c r="BG697" s="13">
        <v>1.19</v>
      </c>
      <c r="BH697" s="13">
        <v>0.65</v>
      </c>
      <c r="BR697" s="13">
        <v>0.57999999999999996</v>
      </c>
      <c r="BS697" s="13">
        <v>0.55000000000000004</v>
      </c>
      <c r="BX697" s="13">
        <v>1E-3</v>
      </c>
      <c r="BY697" s="13" t="s">
        <v>414</v>
      </c>
      <c r="BZ697" s="13" t="s">
        <v>415</v>
      </c>
      <c r="CA697" s="13">
        <v>2021</v>
      </c>
      <c r="CC697" s="13" t="s">
        <v>416</v>
      </c>
      <c r="CD697" s="13">
        <v>12</v>
      </c>
      <c r="CF697" s="13">
        <v>663637</v>
      </c>
      <c r="CG697" s="13" t="s">
        <v>417</v>
      </c>
    </row>
    <row r="698" spans="1:85">
      <c r="A698" s="13" t="s">
        <v>1728</v>
      </c>
      <c r="B698" s="13" t="s">
        <v>1894</v>
      </c>
      <c r="C698" s="13" t="s">
        <v>418</v>
      </c>
      <c r="D698" s="13" t="s">
        <v>827</v>
      </c>
      <c r="E698" s="13" t="s">
        <v>630</v>
      </c>
      <c r="F698" s="13" t="s">
        <v>959</v>
      </c>
      <c r="G698" s="13" t="s">
        <v>672</v>
      </c>
      <c r="H698" s="13" t="s">
        <v>960</v>
      </c>
      <c r="J698" s="13" t="s">
        <v>712</v>
      </c>
      <c r="K698" s="14" t="s">
        <v>4088</v>
      </c>
      <c r="L698" s="16" t="s">
        <v>585</v>
      </c>
      <c r="M698" s="16"/>
      <c r="N698" s="13">
        <v>46</v>
      </c>
      <c r="O698" s="2">
        <f t="shared" si="60"/>
        <v>0.66666666666666663</v>
      </c>
      <c r="P698" s="13">
        <v>37</v>
      </c>
      <c r="Q698" s="17">
        <f t="shared" si="61"/>
        <v>0.6271186440677966</v>
      </c>
      <c r="R698" s="13">
        <v>69</v>
      </c>
      <c r="S698" s="13">
        <v>59</v>
      </c>
      <c r="V698" s="13">
        <v>0</v>
      </c>
      <c r="W698" s="13">
        <v>51.46</v>
      </c>
      <c r="AB698" s="13">
        <v>51.76</v>
      </c>
      <c r="AG698" s="13" t="s">
        <v>961</v>
      </c>
      <c r="AH698" s="13">
        <v>2.31</v>
      </c>
      <c r="AJ698" s="13">
        <v>56.5</v>
      </c>
      <c r="AM698" s="13">
        <v>66.099999999999994</v>
      </c>
      <c r="AP698" s="13">
        <v>0.59499999999999997</v>
      </c>
      <c r="BG698" s="13">
        <v>2.4500000000000002</v>
      </c>
      <c r="BH698" s="13">
        <v>1.77</v>
      </c>
      <c r="BR698" s="13">
        <v>1.91</v>
      </c>
      <c r="BS698" s="13">
        <v>1.97</v>
      </c>
      <c r="BX698" s="13">
        <v>6.5000000000000002E-2</v>
      </c>
      <c r="BY698" s="13" t="s">
        <v>414</v>
      </c>
      <c r="BZ698" s="13" t="s">
        <v>415</v>
      </c>
      <c r="CA698" s="13">
        <v>2021</v>
      </c>
      <c r="CC698" s="13" t="s">
        <v>416</v>
      </c>
      <c r="CD698" s="13">
        <v>12</v>
      </c>
      <c r="CF698" s="13">
        <v>663637</v>
      </c>
      <c r="CG698" s="13" t="s">
        <v>417</v>
      </c>
    </row>
    <row r="699" spans="1:85">
      <c r="A699" s="13" t="s">
        <v>1729</v>
      </c>
      <c r="B699" s="13" t="s">
        <v>1895</v>
      </c>
      <c r="C699" s="13" t="s">
        <v>423</v>
      </c>
      <c r="D699" s="13" t="s">
        <v>831</v>
      </c>
      <c r="E699" s="13" t="s">
        <v>963</v>
      </c>
      <c r="F699" s="13" t="s">
        <v>964</v>
      </c>
      <c r="G699" s="13" t="s">
        <v>673</v>
      </c>
      <c r="H699" s="13" t="s">
        <v>962</v>
      </c>
      <c r="J699" s="13" t="s">
        <v>703</v>
      </c>
      <c r="K699" s="14" t="s">
        <v>4093</v>
      </c>
      <c r="L699" s="13" t="s">
        <v>585</v>
      </c>
      <c r="M699" s="13" t="s">
        <v>877</v>
      </c>
      <c r="N699" s="13">
        <v>36</v>
      </c>
      <c r="O699" s="2">
        <f t="shared" si="60"/>
        <v>0.48</v>
      </c>
      <c r="P699" s="13">
        <v>40</v>
      </c>
      <c r="Q699" s="17">
        <f t="shared" si="61"/>
        <v>0.45454545454545453</v>
      </c>
      <c r="R699" s="13">
        <v>75</v>
      </c>
      <c r="S699" s="13">
        <v>88</v>
      </c>
      <c r="U699" s="15">
        <v>0.1</v>
      </c>
      <c r="V699" s="13">
        <v>12</v>
      </c>
      <c r="W699" s="13">
        <v>64.099999999999994</v>
      </c>
      <c r="X699" s="13">
        <v>10.1</v>
      </c>
      <c r="AG699" s="13" t="s">
        <v>639</v>
      </c>
      <c r="BB699" s="13">
        <v>17235.3</v>
      </c>
      <c r="BC699" s="13">
        <v>1033.2</v>
      </c>
      <c r="BM699" s="13">
        <v>9098.68</v>
      </c>
      <c r="BN699" s="13">
        <v>1210.76</v>
      </c>
      <c r="BX699" s="13" t="s">
        <v>701</v>
      </c>
      <c r="BY699" s="13" t="s">
        <v>419</v>
      </c>
      <c r="BZ699" s="13" t="s">
        <v>420</v>
      </c>
      <c r="CA699" s="13">
        <v>2022</v>
      </c>
      <c r="CC699" s="13" t="s">
        <v>421</v>
      </c>
      <c r="CD699" s="13">
        <v>12</v>
      </c>
      <c r="CE699" s="13">
        <v>5</v>
      </c>
      <c r="CG699" s="13" t="s">
        <v>422</v>
      </c>
    </row>
    <row r="700" spans="1:85">
      <c r="A700" s="13" t="s">
        <v>1729</v>
      </c>
      <c r="B700" s="13" t="s">
        <v>1895</v>
      </c>
      <c r="C700" s="13" t="s">
        <v>423</v>
      </c>
      <c r="D700" s="13" t="s">
        <v>831</v>
      </c>
      <c r="E700" s="13" t="s">
        <v>630</v>
      </c>
      <c r="F700" s="13" t="s">
        <v>965</v>
      </c>
      <c r="G700" s="13" t="s">
        <v>672</v>
      </c>
      <c r="H700" s="13" t="s">
        <v>962</v>
      </c>
      <c r="J700" s="13" t="s">
        <v>703</v>
      </c>
      <c r="K700" s="14" t="s">
        <v>4093</v>
      </c>
      <c r="L700" s="13" t="s">
        <v>652</v>
      </c>
      <c r="N700" s="13">
        <v>17</v>
      </c>
      <c r="O700" s="2">
        <f t="shared" si="60"/>
        <v>0.5</v>
      </c>
      <c r="P700" s="13">
        <v>4</v>
      </c>
      <c r="Q700" s="17">
        <f t="shared" si="61"/>
        <v>0.36363636363636365</v>
      </c>
      <c r="R700" s="13">
        <v>34</v>
      </c>
      <c r="S700" s="13">
        <v>11</v>
      </c>
      <c r="AB700" s="13">
        <v>60.3</v>
      </c>
      <c r="AC700" s="13">
        <v>18.7</v>
      </c>
      <c r="AG700" s="13" t="s">
        <v>639</v>
      </c>
      <c r="BB700" s="13">
        <v>1.35</v>
      </c>
      <c r="BC700" s="13">
        <v>0.66</v>
      </c>
      <c r="BM700" s="13">
        <v>0.32</v>
      </c>
      <c r="BN700" s="13">
        <v>0.16</v>
      </c>
      <c r="BX700" s="13" t="s">
        <v>761</v>
      </c>
      <c r="BY700" s="13" t="s">
        <v>419</v>
      </c>
      <c r="BZ700" s="13" t="s">
        <v>420</v>
      </c>
      <c r="CA700" s="13">
        <v>2022</v>
      </c>
      <c r="CC700" s="13" t="s">
        <v>421</v>
      </c>
      <c r="CD700" s="13">
        <v>12</v>
      </c>
      <c r="CE700" s="13">
        <v>5</v>
      </c>
      <c r="CG700" s="13" t="s">
        <v>422</v>
      </c>
    </row>
    <row r="701" spans="1:85">
      <c r="A701" s="13" t="s">
        <v>1729</v>
      </c>
      <c r="B701" s="13" t="s">
        <v>1895</v>
      </c>
      <c r="C701" s="13" t="s">
        <v>423</v>
      </c>
      <c r="D701" s="13" t="s">
        <v>831</v>
      </c>
      <c r="E701" s="13" t="s">
        <v>720</v>
      </c>
      <c r="G701" s="13" t="s">
        <v>672</v>
      </c>
      <c r="H701" s="13" t="s">
        <v>962</v>
      </c>
      <c r="J701" s="13" t="s">
        <v>703</v>
      </c>
      <c r="K701" s="14" t="s">
        <v>4093</v>
      </c>
      <c r="L701" s="13" t="s">
        <v>652</v>
      </c>
      <c r="N701" s="13">
        <v>17</v>
      </c>
      <c r="O701" s="2">
        <f t="shared" si="60"/>
        <v>0.5</v>
      </c>
      <c r="P701" s="13">
        <v>3</v>
      </c>
      <c r="Q701" s="17">
        <f t="shared" si="61"/>
        <v>0.3</v>
      </c>
      <c r="R701" s="13">
        <v>34</v>
      </c>
      <c r="S701" s="13">
        <v>10</v>
      </c>
      <c r="AB701" s="13">
        <v>66.900000000000006</v>
      </c>
      <c r="AC701" s="13">
        <v>8.8000000000000007</v>
      </c>
      <c r="AG701" s="13" t="s">
        <v>639</v>
      </c>
      <c r="BB701" s="13">
        <v>1.35</v>
      </c>
      <c r="BC701" s="13">
        <v>0.66</v>
      </c>
      <c r="BM701" s="13">
        <v>1.36</v>
      </c>
      <c r="BN701" s="13">
        <v>1.1299999999999999</v>
      </c>
      <c r="BX701" s="13" t="s">
        <v>761</v>
      </c>
      <c r="BY701" s="13" t="s">
        <v>419</v>
      </c>
      <c r="BZ701" s="13" t="s">
        <v>420</v>
      </c>
      <c r="CA701" s="13">
        <v>2022</v>
      </c>
      <c r="CC701" s="13" t="s">
        <v>421</v>
      </c>
      <c r="CD701" s="13">
        <v>12</v>
      </c>
      <c r="CE701" s="13">
        <v>5</v>
      </c>
      <c r="CG701" s="13" t="s">
        <v>422</v>
      </c>
    </row>
    <row r="702" spans="1:85">
      <c r="A702" s="13" t="s">
        <v>1729</v>
      </c>
      <c r="B702" s="13" t="s">
        <v>1895</v>
      </c>
      <c r="C702" s="13" t="s">
        <v>423</v>
      </c>
      <c r="D702" s="13" t="s">
        <v>831</v>
      </c>
      <c r="E702" s="13" t="s">
        <v>966</v>
      </c>
      <c r="F702" s="13" t="s">
        <v>967</v>
      </c>
      <c r="G702" s="13" t="s">
        <v>672</v>
      </c>
      <c r="H702" s="13" t="s">
        <v>962</v>
      </c>
      <c r="J702" s="13" t="s">
        <v>703</v>
      </c>
      <c r="K702" s="14" t="s">
        <v>4093</v>
      </c>
      <c r="L702" s="13" t="s">
        <v>652</v>
      </c>
      <c r="N702" s="13">
        <v>17</v>
      </c>
      <c r="O702" s="2">
        <f t="shared" si="60"/>
        <v>0.5</v>
      </c>
      <c r="P702" s="13">
        <v>10</v>
      </c>
      <c r="Q702" s="17">
        <f t="shared" si="61"/>
        <v>0.52631578947368418</v>
      </c>
      <c r="R702" s="13">
        <v>34</v>
      </c>
      <c r="S702" s="13">
        <v>19</v>
      </c>
      <c r="AB702" s="13">
        <v>44.3</v>
      </c>
      <c r="AC702" s="13">
        <v>21.5</v>
      </c>
      <c r="AG702" s="13" t="s">
        <v>639</v>
      </c>
      <c r="BB702" s="13">
        <v>1.35</v>
      </c>
      <c r="BC702" s="13">
        <v>0.66</v>
      </c>
      <c r="BM702" s="13">
        <v>0.53</v>
      </c>
      <c r="BN702" s="13">
        <v>0.3</v>
      </c>
      <c r="BX702" s="13" t="s">
        <v>761</v>
      </c>
      <c r="BY702" s="13" t="s">
        <v>419</v>
      </c>
      <c r="BZ702" s="13" t="s">
        <v>420</v>
      </c>
      <c r="CA702" s="13">
        <v>2022</v>
      </c>
      <c r="CC702" s="13" t="s">
        <v>421</v>
      </c>
      <c r="CD702" s="13">
        <v>12</v>
      </c>
      <c r="CE702" s="13">
        <v>5</v>
      </c>
      <c r="CG702" s="13" t="s">
        <v>422</v>
      </c>
    </row>
    <row r="703" spans="1:85">
      <c r="A703" s="13" t="s">
        <v>1729</v>
      </c>
      <c r="B703" s="13" t="s">
        <v>1895</v>
      </c>
      <c r="C703" s="13" t="s">
        <v>423</v>
      </c>
      <c r="D703" s="13" t="s">
        <v>831</v>
      </c>
      <c r="E703" s="13" t="s">
        <v>963</v>
      </c>
      <c r="F703" s="13" t="s">
        <v>964</v>
      </c>
      <c r="G703" s="13" t="s">
        <v>673</v>
      </c>
      <c r="H703" s="13" t="s">
        <v>968</v>
      </c>
      <c r="J703" s="13" t="s">
        <v>703</v>
      </c>
      <c r="K703" s="14" t="s">
        <v>4093</v>
      </c>
      <c r="L703" s="13" t="s">
        <v>585</v>
      </c>
      <c r="N703" s="13">
        <v>36</v>
      </c>
      <c r="O703" s="2">
        <f t="shared" si="60"/>
        <v>0.48</v>
      </c>
      <c r="P703" s="13">
        <v>40</v>
      </c>
      <c r="Q703" s="17">
        <f t="shared" si="61"/>
        <v>0.45454545454545453</v>
      </c>
      <c r="R703" s="13">
        <v>75</v>
      </c>
      <c r="S703" s="13">
        <v>88</v>
      </c>
      <c r="U703" s="15">
        <v>0.1</v>
      </c>
      <c r="V703" s="13">
        <v>12</v>
      </c>
      <c r="W703" s="13">
        <v>64.099999999999994</v>
      </c>
      <c r="X703" s="13">
        <v>10.1</v>
      </c>
      <c r="AG703" s="13" t="s">
        <v>639</v>
      </c>
      <c r="BB703" s="13">
        <v>9054.7900000000009</v>
      </c>
      <c r="BC703" s="13">
        <v>927.77</v>
      </c>
      <c r="BM703" s="13">
        <v>12522.61</v>
      </c>
      <c r="BN703" s="13">
        <v>885.46</v>
      </c>
      <c r="BX703" s="13" t="s">
        <v>635</v>
      </c>
      <c r="BY703" s="13" t="s">
        <v>419</v>
      </c>
      <c r="BZ703" s="13" t="s">
        <v>420</v>
      </c>
      <c r="CA703" s="13">
        <v>2022</v>
      </c>
      <c r="CC703" s="13" t="s">
        <v>421</v>
      </c>
      <c r="CD703" s="13">
        <v>12</v>
      </c>
      <c r="CE703" s="13">
        <v>5</v>
      </c>
      <c r="CG703" s="13" t="s">
        <v>422</v>
      </c>
    </row>
    <row r="704" spans="1:85">
      <c r="A704" s="13" t="s">
        <v>1729</v>
      </c>
      <c r="B704" s="13" t="s">
        <v>1895</v>
      </c>
      <c r="C704" s="13" t="s">
        <v>423</v>
      </c>
      <c r="D704" s="13" t="s">
        <v>831</v>
      </c>
      <c r="E704" s="13" t="s">
        <v>963</v>
      </c>
      <c r="F704" s="13" t="s">
        <v>964</v>
      </c>
      <c r="G704" s="13" t="s">
        <v>673</v>
      </c>
      <c r="H704" s="13" t="s">
        <v>969</v>
      </c>
      <c r="J704" s="13" t="s">
        <v>703</v>
      </c>
      <c r="K704" s="14" t="s">
        <v>4093</v>
      </c>
      <c r="L704" s="13" t="s">
        <v>585</v>
      </c>
      <c r="N704" s="13">
        <v>36</v>
      </c>
      <c r="O704" s="2">
        <f t="shared" si="60"/>
        <v>0.48</v>
      </c>
      <c r="P704" s="13">
        <v>40</v>
      </c>
      <c r="Q704" s="17">
        <f t="shared" si="61"/>
        <v>0.45454545454545453</v>
      </c>
      <c r="R704" s="13">
        <v>75</v>
      </c>
      <c r="S704" s="13">
        <v>88</v>
      </c>
      <c r="U704" s="15">
        <v>0.1</v>
      </c>
      <c r="V704" s="13">
        <v>12</v>
      </c>
      <c r="W704" s="13">
        <v>64.099999999999994</v>
      </c>
      <c r="X704" s="13">
        <v>10.1</v>
      </c>
      <c r="AG704" s="13" t="s">
        <v>639</v>
      </c>
      <c r="AH704" s="13">
        <v>1.4</v>
      </c>
      <c r="AJ704" s="13">
        <v>77</v>
      </c>
      <c r="AM704" s="13">
        <v>67</v>
      </c>
      <c r="AP704" s="13">
        <v>0.8</v>
      </c>
      <c r="AR704" s="13">
        <v>0.71299999999999997</v>
      </c>
      <c r="AS704" s="13">
        <v>0.88600000000000001</v>
      </c>
      <c r="BB704" s="13">
        <v>2.5299999999999998</v>
      </c>
      <c r="BC704" s="13">
        <v>0.38400000000000001</v>
      </c>
      <c r="BM704" s="13">
        <v>0.88</v>
      </c>
      <c r="BN704" s="13">
        <v>0.13400000000000001</v>
      </c>
      <c r="BX704" s="13" t="s">
        <v>701</v>
      </c>
      <c r="BY704" s="13" t="s">
        <v>419</v>
      </c>
      <c r="BZ704" s="13" t="s">
        <v>420</v>
      </c>
      <c r="CA704" s="13">
        <v>2022</v>
      </c>
      <c r="CC704" s="13" t="s">
        <v>421</v>
      </c>
      <c r="CD704" s="13">
        <v>12</v>
      </c>
      <c r="CE704" s="13">
        <v>5</v>
      </c>
      <c r="CG704" s="13" t="s">
        <v>422</v>
      </c>
    </row>
    <row r="705" spans="1:85">
      <c r="A705" s="13" t="s">
        <v>3417</v>
      </c>
      <c r="C705" s="13" t="s">
        <v>3345</v>
      </c>
      <c r="D705" s="16" t="s">
        <v>4179</v>
      </c>
      <c r="H705" s="13" t="s">
        <v>3885</v>
      </c>
      <c r="J705" s="14"/>
      <c r="BY705" s="13" t="s">
        <v>3585</v>
      </c>
      <c r="BZ705" s="13" t="s">
        <v>3586</v>
      </c>
      <c r="CA705" s="13">
        <v>2025</v>
      </c>
      <c r="CC705" s="13" t="s">
        <v>349</v>
      </c>
      <c r="CD705" s="13">
        <v>32</v>
      </c>
      <c r="CE705" s="13">
        <v>1</v>
      </c>
      <c r="CG705" s="13" t="s">
        <v>3272</v>
      </c>
    </row>
    <row r="706" spans="1:85">
      <c r="A706" s="13" t="s">
        <v>3418</v>
      </c>
      <c r="C706" s="13" t="s">
        <v>3346</v>
      </c>
      <c r="D706" s="14" t="s">
        <v>820</v>
      </c>
      <c r="E706" s="13" t="s">
        <v>630</v>
      </c>
      <c r="F706" s="13" t="s">
        <v>3937</v>
      </c>
      <c r="G706" s="13" t="s">
        <v>672</v>
      </c>
      <c r="H706" s="13" t="s">
        <v>648</v>
      </c>
      <c r="J706" s="14" t="s">
        <v>647</v>
      </c>
      <c r="K706" s="14" t="s">
        <v>3940</v>
      </c>
      <c r="L706" s="13" t="s">
        <v>585</v>
      </c>
      <c r="M706" s="13" t="s">
        <v>3938</v>
      </c>
      <c r="N706" s="13">
        <v>25</v>
      </c>
      <c r="O706" s="2">
        <f t="shared" ref="O706:O737" si="62">N706/R706</f>
        <v>0.52083333333333337</v>
      </c>
      <c r="P706" s="13">
        <v>29</v>
      </c>
      <c r="Q706" s="17">
        <f>P706/S706</f>
        <v>0.4264705882352941</v>
      </c>
      <c r="R706" s="13">
        <v>48</v>
      </c>
      <c r="S706" s="13">
        <v>68</v>
      </c>
      <c r="V706" s="13">
        <v>0</v>
      </c>
      <c r="W706" s="13">
        <v>65</v>
      </c>
      <c r="X706" s="13">
        <v>12.09</v>
      </c>
      <c r="AB706" s="13">
        <v>68</v>
      </c>
      <c r="AC706" s="13">
        <v>10.8</v>
      </c>
      <c r="AG706" s="13" t="s">
        <v>639</v>
      </c>
      <c r="AH706" s="13">
        <v>568.29999999999995</v>
      </c>
      <c r="AI706" s="13" t="s">
        <v>3766</v>
      </c>
      <c r="AJ706" s="13">
        <v>85.11</v>
      </c>
      <c r="AM706" s="13">
        <v>98.53</v>
      </c>
      <c r="AP706" s="13">
        <v>0.97</v>
      </c>
      <c r="AR706" s="13">
        <v>0.95</v>
      </c>
      <c r="AS706" s="13">
        <v>0.99590000000000001</v>
      </c>
      <c r="BB706" s="13">
        <v>797.07</v>
      </c>
      <c r="BC706" s="13">
        <f t="shared" ref="BC706:BC715" si="63">BD706*SQRT(R706)</f>
        <v>220.59399085197219</v>
      </c>
      <c r="BD706" s="13">
        <v>31.84</v>
      </c>
      <c r="BM706" s="13">
        <v>316.14999999999998</v>
      </c>
      <c r="BN706" s="13">
        <f t="shared" ref="BN706:BN715" si="64">BO706*SQRT(S706)</f>
        <v>136.88710677050634</v>
      </c>
      <c r="BO706" s="13">
        <v>16.600000000000001</v>
      </c>
      <c r="BX706" s="13" t="s">
        <v>2050</v>
      </c>
      <c r="BY706" s="13" t="s">
        <v>3587</v>
      </c>
      <c r="BZ706" s="13" t="s">
        <v>3588</v>
      </c>
      <c r="CA706" s="13">
        <v>2024</v>
      </c>
      <c r="CC706" s="13" t="s">
        <v>135</v>
      </c>
      <c r="CD706" s="13">
        <v>6</v>
      </c>
      <c r="CE706" s="13">
        <v>4</v>
      </c>
      <c r="CF706" s="13" t="s">
        <v>3589</v>
      </c>
      <c r="CG706" s="13" t="s">
        <v>3273</v>
      </c>
    </row>
    <row r="707" spans="1:85">
      <c r="A707" s="13" t="s">
        <v>3418</v>
      </c>
      <c r="C707" s="13" t="s">
        <v>3346</v>
      </c>
      <c r="D707" s="14" t="s">
        <v>820</v>
      </c>
      <c r="E707" s="13" t="s">
        <v>630</v>
      </c>
      <c r="F707" s="13" t="s">
        <v>3937</v>
      </c>
      <c r="G707" s="13" t="s">
        <v>672</v>
      </c>
      <c r="H707" s="13" t="s">
        <v>675</v>
      </c>
      <c r="J707" s="14" t="s">
        <v>647</v>
      </c>
      <c r="K707" s="14" t="s">
        <v>3940</v>
      </c>
      <c r="L707" s="13" t="s">
        <v>585</v>
      </c>
      <c r="M707" s="13" t="s">
        <v>3943</v>
      </c>
      <c r="N707" s="13">
        <v>25</v>
      </c>
      <c r="O707" s="2">
        <f t="shared" si="62"/>
        <v>0.52083333333333337</v>
      </c>
      <c r="Q707" s="17">
        <v>0.4264705882352941</v>
      </c>
      <c r="R707" s="13">
        <v>48</v>
      </c>
      <c r="S707" s="13">
        <v>39</v>
      </c>
      <c r="V707" s="13">
        <v>0</v>
      </c>
      <c r="W707" s="13">
        <v>65</v>
      </c>
      <c r="X707" s="13">
        <v>12.09</v>
      </c>
      <c r="AB707" s="13">
        <v>68</v>
      </c>
      <c r="AC707" s="13">
        <v>10.8</v>
      </c>
      <c r="AG707" s="13" t="s">
        <v>639</v>
      </c>
      <c r="AH707" s="13">
        <v>1513</v>
      </c>
      <c r="AI707" s="13" t="s">
        <v>3766</v>
      </c>
      <c r="AJ707" s="13">
        <v>95.45</v>
      </c>
      <c r="AM707" s="13">
        <v>97.37</v>
      </c>
      <c r="AP707" s="13">
        <v>0.99</v>
      </c>
      <c r="AR707" s="13">
        <v>0.98</v>
      </c>
      <c r="AS707" s="13">
        <v>1</v>
      </c>
      <c r="BB707" s="13">
        <v>4565.63</v>
      </c>
      <c r="BC707" s="13">
        <f t="shared" si="63"/>
        <v>1827.4521660497708</v>
      </c>
      <c r="BD707" s="13">
        <v>263.77</v>
      </c>
      <c r="BM707" s="13">
        <v>847.86</v>
      </c>
      <c r="BN707" s="13">
        <f t="shared" si="64"/>
        <v>1338.7402209166646</v>
      </c>
      <c r="BO707" s="13">
        <v>214.37</v>
      </c>
      <c r="BX707" s="13" t="s">
        <v>2050</v>
      </c>
      <c r="BY707" s="13" t="s">
        <v>3587</v>
      </c>
      <c r="BZ707" s="13" t="s">
        <v>3588</v>
      </c>
      <c r="CA707" s="13">
        <v>2024</v>
      </c>
      <c r="CC707" s="13" t="s">
        <v>135</v>
      </c>
      <c r="CD707" s="13">
        <v>6</v>
      </c>
      <c r="CE707" s="13">
        <v>4</v>
      </c>
      <c r="CF707" s="13" t="s">
        <v>3589</v>
      </c>
      <c r="CG707" s="13" t="s">
        <v>3273</v>
      </c>
    </row>
    <row r="708" spans="1:85">
      <c r="A708" s="13" t="s">
        <v>3418</v>
      </c>
      <c r="C708" s="13" t="s">
        <v>3346</v>
      </c>
      <c r="D708" s="14" t="s">
        <v>820</v>
      </c>
      <c r="E708" s="13" t="s">
        <v>3939</v>
      </c>
      <c r="G708" s="13" t="s">
        <v>672</v>
      </c>
      <c r="H708" s="13" t="s">
        <v>648</v>
      </c>
      <c r="J708" s="14" t="s">
        <v>647</v>
      </c>
      <c r="K708" s="14" t="s">
        <v>3940</v>
      </c>
      <c r="L708" s="13" t="s">
        <v>585</v>
      </c>
      <c r="M708" s="13" t="s">
        <v>3938</v>
      </c>
      <c r="N708" s="13">
        <v>25</v>
      </c>
      <c r="O708" s="2">
        <f t="shared" si="62"/>
        <v>0.52083333333333337</v>
      </c>
      <c r="P708" s="13">
        <v>6</v>
      </c>
      <c r="Q708" s="17">
        <f t="shared" ref="Q708:Q738" si="65">P708/S708</f>
        <v>0.35294117647058826</v>
      </c>
      <c r="R708" s="13">
        <v>48</v>
      </c>
      <c r="S708" s="13">
        <v>17</v>
      </c>
      <c r="V708" s="13">
        <v>0</v>
      </c>
      <c r="W708" s="13">
        <v>65</v>
      </c>
      <c r="X708" s="13">
        <v>12.09</v>
      </c>
      <c r="AB708" s="13">
        <v>51</v>
      </c>
      <c r="AC708" s="13">
        <v>17.600000000000001</v>
      </c>
      <c r="AG708" s="13" t="s">
        <v>639</v>
      </c>
      <c r="AH708" s="13">
        <v>451.1</v>
      </c>
      <c r="AI708" s="13" t="s">
        <v>3766</v>
      </c>
      <c r="AJ708" s="13">
        <v>100</v>
      </c>
      <c r="AM708" s="13">
        <v>95.7</v>
      </c>
      <c r="AP708" s="13">
        <v>0.99</v>
      </c>
      <c r="AR708" s="13">
        <v>0.98</v>
      </c>
      <c r="AS708" s="13">
        <v>1</v>
      </c>
      <c r="BB708" s="13">
        <v>797.07</v>
      </c>
      <c r="BC708" s="13">
        <f t="shared" si="63"/>
        <v>220.59399085197219</v>
      </c>
      <c r="BD708" s="13">
        <v>31.84</v>
      </c>
      <c r="BM708" s="13">
        <v>252.2</v>
      </c>
      <c r="BN708" s="13">
        <f t="shared" si="64"/>
        <v>95.491126289305015</v>
      </c>
      <c r="BO708" s="13">
        <v>23.16</v>
      </c>
      <c r="BX708" s="13" t="s">
        <v>2050</v>
      </c>
      <c r="BY708" s="13" t="s">
        <v>3587</v>
      </c>
      <c r="BZ708" s="13" t="s">
        <v>3588</v>
      </c>
      <c r="CA708" s="13">
        <v>2024</v>
      </c>
      <c r="CC708" s="13" t="s">
        <v>135</v>
      </c>
      <c r="CD708" s="13">
        <v>6</v>
      </c>
      <c r="CE708" s="13">
        <v>4</v>
      </c>
      <c r="CF708" s="13" t="s">
        <v>3589</v>
      </c>
      <c r="CG708" s="13" t="s">
        <v>3273</v>
      </c>
    </row>
    <row r="709" spans="1:85">
      <c r="A709" s="13" t="s">
        <v>3418</v>
      </c>
      <c r="C709" s="13" t="s">
        <v>3346</v>
      </c>
      <c r="D709" s="14" t="s">
        <v>820</v>
      </c>
      <c r="E709" s="13" t="s">
        <v>3939</v>
      </c>
      <c r="G709" s="13" t="s">
        <v>672</v>
      </c>
      <c r="H709" s="13" t="s">
        <v>675</v>
      </c>
      <c r="J709" s="14" t="s">
        <v>647</v>
      </c>
      <c r="K709" s="14" t="s">
        <v>3940</v>
      </c>
      <c r="L709" s="13" t="s">
        <v>585</v>
      </c>
      <c r="M709" s="13" t="s">
        <v>3943</v>
      </c>
      <c r="N709" s="13">
        <v>25</v>
      </c>
      <c r="O709" s="2">
        <f t="shared" si="62"/>
        <v>0.52083333333333337</v>
      </c>
      <c r="P709" s="13">
        <v>6</v>
      </c>
      <c r="Q709" s="17">
        <f t="shared" si="65"/>
        <v>0.35294117647058826</v>
      </c>
      <c r="R709" s="13">
        <v>48</v>
      </c>
      <c r="S709" s="13">
        <v>17</v>
      </c>
      <c r="V709" s="13">
        <v>0</v>
      </c>
      <c r="W709" s="13">
        <v>65</v>
      </c>
      <c r="X709" s="13">
        <v>12.09</v>
      </c>
      <c r="AB709" s="13">
        <v>51</v>
      </c>
      <c r="AC709" s="13">
        <v>17.600000000000001</v>
      </c>
      <c r="AG709" s="13" t="s">
        <v>639</v>
      </c>
      <c r="AH709" s="13">
        <v>3219</v>
      </c>
      <c r="AI709" s="13" t="s">
        <v>3766</v>
      </c>
      <c r="AJ709" s="13">
        <v>64.7</v>
      </c>
      <c r="AM709" s="13">
        <v>81.819999999999993</v>
      </c>
      <c r="AP709" s="13">
        <v>0.71</v>
      </c>
      <c r="AR709" s="13">
        <v>0.53</v>
      </c>
      <c r="AS709" s="13">
        <v>0.88600000000000001</v>
      </c>
      <c r="BB709" s="13">
        <v>4565.63</v>
      </c>
      <c r="BC709" s="13">
        <f t="shared" si="63"/>
        <v>1827.4521660497708</v>
      </c>
      <c r="BD709" s="13">
        <v>263.77</v>
      </c>
      <c r="BM709" s="13">
        <v>2900.11</v>
      </c>
      <c r="BN709" s="13">
        <f t="shared" si="64"/>
        <v>3596.1727266637236</v>
      </c>
      <c r="BO709" s="13">
        <v>872.2</v>
      </c>
      <c r="BX709" s="13">
        <v>0.82099999999999995</v>
      </c>
      <c r="BY709" s="13" t="s">
        <v>3587</v>
      </c>
      <c r="BZ709" s="13" t="s">
        <v>3588</v>
      </c>
      <c r="CA709" s="13">
        <v>2024</v>
      </c>
      <c r="CC709" s="13" t="s">
        <v>135</v>
      </c>
      <c r="CD709" s="13">
        <v>6</v>
      </c>
      <c r="CE709" s="13">
        <v>4</v>
      </c>
      <c r="CF709" s="13" t="s">
        <v>3589</v>
      </c>
      <c r="CG709" s="13" t="s">
        <v>3273</v>
      </c>
    </row>
    <row r="710" spans="1:85">
      <c r="A710" s="13" t="s">
        <v>3418</v>
      </c>
      <c r="C710" s="13" t="s">
        <v>3346</v>
      </c>
      <c r="D710" s="14" t="s">
        <v>820</v>
      </c>
      <c r="E710" s="13" t="s">
        <v>696</v>
      </c>
      <c r="F710" s="13" t="s">
        <v>3942</v>
      </c>
      <c r="G710" s="13" t="s">
        <v>672</v>
      </c>
      <c r="H710" s="13" t="s">
        <v>648</v>
      </c>
      <c r="J710" s="14" t="s">
        <v>647</v>
      </c>
      <c r="K710" s="14" t="s">
        <v>3940</v>
      </c>
      <c r="L710" s="13" t="s">
        <v>585</v>
      </c>
      <c r="M710" s="13" t="s">
        <v>3938</v>
      </c>
      <c r="N710" s="13">
        <v>25</v>
      </c>
      <c r="O710" s="2">
        <f t="shared" si="62"/>
        <v>0.52083333333333337</v>
      </c>
      <c r="P710" s="13">
        <v>17</v>
      </c>
      <c r="Q710" s="17">
        <f t="shared" si="65"/>
        <v>0.68</v>
      </c>
      <c r="R710" s="13">
        <v>48</v>
      </c>
      <c r="S710" s="13">
        <v>25</v>
      </c>
      <c r="V710" s="13">
        <v>0</v>
      </c>
      <c r="W710" s="13">
        <v>65</v>
      </c>
      <c r="X710" s="13">
        <v>12.09</v>
      </c>
      <c r="AB710" s="13">
        <v>50</v>
      </c>
      <c r="AC710" s="13">
        <v>20.100000000000001</v>
      </c>
      <c r="AG710" s="13" t="s">
        <v>639</v>
      </c>
      <c r="AH710" s="13">
        <v>409.1</v>
      </c>
      <c r="AI710" s="13" t="s">
        <v>3766</v>
      </c>
      <c r="AJ710" s="13">
        <v>88</v>
      </c>
      <c r="AM710" s="13">
        <v>97.87</v>
      </c>
      <c r="AP710" s="13">
        <v>0.96199999999999997</v>
      </c>
      <c r="AR710" s="13">
        <v>0.9</v>
      </c>
      <c r="AS710" s="13">
        <v>1</v>
      </c>
      <c r="BB710" s="13">
        <v>797.07</v>
      </c>
      <c r="BC710" s="13">
        <f t="shared" si="63"/>
        <v>220.59399085197219</v>
      </c>
      <c r="BD710" s="13">
        <v>31.84</v>
      </c>
      <c r="BM710" s="13">
        <v>270.24</v>
      </c>
      <c r="BN710" s="13">
        <f t="shared" si="64"/>
        <v>161.14999999999998</v>
      </c>
      <c r="BO710" s="13">
        <v>32.229999999999997</v>
      </c>
      <c r="BX710" s="13" t="s">
        <v>2050</v>
      </c>
      <c r="BY710" s="13" t="s">
        <v>3587</v>
      </c>
      <c r="BZ710" s="13" t="s">
        <v>3588</v>
      </c>
      <c r="CA710" s="13">
        <v>2024</v>
      </c>
      <c r="CC710" s="13" t="s">
        <v>135</v>
      </c>
      <c r="CD710" s="13">
        <v>6</v>
      </c>
      <c r="CE710" s="13">
        <v>4</v>
      </c>
      <c r="CF710" s="13" t="s">
        <v>3589</v>
      </c>
      <c r="CG710" s="13" t="s">
        <v>3273</v>
      </c>
    </row>
    <row r="711" spans="1:85">
      <c r="A711" s="13" t="s">
        <v>3418</v>
      </c>
      <c r="C711" s="13" t="s">
        <v>3346</v>
      </c>
      <c r="D711" s="14" t="s">
        <v>820</v>
      </c>
      <c r="E711" s="13" t="s">
        <v>696</v>
      </c>
      <c r="F711" s="13" t="s">
        <v>3942</v>
      </c>
      <c r="G711" s="13" t="s">
        <v>672</v>
      </c>
      <c r="H711" s="13" t="s">
        <v>675</v>
      </c>
      <c r="J711" s="14" t="s">
        <v>647</v>
      </c>
      <c r="K711" s="14" t="s">
        <v>3940</v>
      </c>
      <c r="L711" s="13" t="s">
        <v>585</v>
      </c>
      <c r="M711" s="13" t="s">
        <v>3943</v>
      </c>
      <c r="N711" s="13">
        <v>25</v>
      </c>
      <c r="O711" s="2">
        <f t="shared" si="62"/>
        <v>0.52083333333333337</v>
      </c>
      <c r="P711" s="13">
        <v>17</v>
      </c>
      <c r="Q711" s="17">
        <f t="shared" si="65"/>
        <v>0.68</v>
      </c>
      <c r="R711" s="13">
        <v>48</v>
      </c>
      <c r="S711" s="13">
        <v>25</v>
      </c>
      <c r="V711" s="13">
        <v>0</v>
      </c>
      <c r="W711" s="13">
        <v>65</v>
      </c>
      <c r="X711" s="13">
        <v>12.09</v>
      </c>
      <c r="AB711" s="13">
        <v>50</v>
      </c>
      <c r="AC711" s="13">
        <v>20.100000000000001</v>
      </c>
      <c r="AG711" s="13" t="s">
        <v>639</v>
      </c>
      <c r="AH711" s="13">
        <v>1273</v>
      </c>
      <c r="AI711" s="13" t="s">
        <v>3766</v>
      </c>
      <c r="AJ711" s="13">
        <v>88</v>
      </c>
      <c r="AM711" s="13">
        <v>97.87</v>
      </c>
      <c r="AP711" s="13">
        <v>0.92</v>
      </c>
      <c r="AR711" s="13">
        <v>0.82</v>
      </c>
      <c r="AS711" s="13">
        <v>1</v>
      </c>
      <c r="BB711" s="13">
        <v>4565.63</v>
      </c>
      <c r="BC711" s="13">
        <f t="shared" si="63"/>
        <v>1827.4521660497708</v>
      </c>
      <c r="BD711" s="13">
        <v>263.77</v>
      </c>
      <c r="BM711" s="13">
        <v>1156.4000000000001</v>
      </c>
      <c r="BN711" s="13">
        <f t="shared" si="64"/>
        <v>1783</v>
      </c>
      <c r="BO711" s="13">
        <v>356.6</v>
      </c>
      <c r="BX711" s="13" t="s">
        <v>2050</v>
      </c>
      <c r="BY711" s="13" t="s">
        <v>3587</v>
      </c>
      <c r="BZ711" s="13" t="s">
        <v>3588</v>
      </c>
      <c r="CA711" s="13">
        <v>2024</v>
      </c>
      <c r="CC711" s="13" t="s">
        <v>135</v>
      </c>
      <c r="CD711" s="13">
        <v>6</v>
      </c>
      <c r="CE711" s="13">
        <v>4</v>
      </c>
      <c r="CF711" s="13" t="s">
        <v>3589</v>
      </c>
      <c r="CG711" s="13" t="s">
        <v>3273</v>
      </c>
    </row>
    <row r="712" spans="1:85">
      <c r="A712" s="13" t="s">
        <v>3418</v>
      </c>
      <c r="C712" s="13" t="s">
        <v>3346</v>
      </c>
      <c r="D712" s="14" t="s">
        <v>820</v>
      </c>
      <c r="E712" s="13" t="s">
        <v>3941</v>
      </c>
      <c r="F712" s="13" t="s">
        <v>3944</v>
      </c>
      <c r="G712" s="13" t="s">
        <v>672</v>
      </c>
      <c r="H712" s="13" t="s">
        <v>648</v>
      </c>
      <c r="J712" s="14" t="s">
        <v>647</v>
      </c>
      <c r="K712" s="14" t="s">
        <v>3940</v>
      </c>
      <c r="L712" s="13" t="s">
        <v>585</v>
      </c>
      <c r="M712" s="13" t="s">
        <v>3938</v>
      </c>
      <c r="N712" s="13">
        <v>25</v>
      </c>
      <c r="O712" s="2">
        <f t="shared" si="62"/>
        <v>0.52083333333333337</v>
      </c>
      <c r="P712" s="13">
        <v>4</v>
      </c>
      <c r="Q712" s="17">
        <f t="shared" si="65"/>
        <v>0.5714285714285714</v>
      </c>
      <c r="R712" s="13">
        <v>48</v>
      </c>
      <c r="S712" s="13">
        <v>7</v>
      </c>
      <c r="V712" s="13">
        <v>0</v>
      </c>
      <c r="W712" s="13">
        <v>65</v>
      </c>
      <c r="X712" s="13">
        <v>12.09</v>
      </c>
      <c r="AB712" s="13">
        <v>42</v>
      </c>
      <c r="AC712" s="13">
        <v>13.8</v>
      </c>
      <c r="AG712" s="13" t="s">
        <v>639</v>
      </c>
      <c r="AH712" s="13">
        <v>364.4</v>
      </c>
      <c r="AI712" s="13" t="s">
        <v>3766</v>
      </c>
      <c r="AJ712" s="13">
        <v>100</v>
      </c>
      <c r="AM712" s="13">
        <v>100</v>
      </c>
      <c r="AP712" s="13">
        <v>1</v>
      </c>
      <c r="AR712" s="13">
        <v>1</v>
      </c>
      <c r="AS712" s="13">
        <v>1</v>
      </c>
      <c r="BB712" s="13">
        <v>797.07</v>
      </c>
      <c r="BC712" s="13">
        <f t="shared" si="63"/>
        <v>220.59399085197219</v>
      </c>
      <c r="BD712" s="13">
        <v>31.84</v>
      </c>
      <c r="BM712" s="13">
        <v>228.91</v>
      </c>
      <c r="BN712" s="13">
        <f t="shared" si="64"/>
        <v>77.255938283086053</v>
      </c>
      <c r="BO712" s="13">
        <v>29.2</v>
      </c>
      <c r="BX712" s="13" t="s">
        <v>2050</v>
      </c>
      <c r="BY712" s="13" t="s">
        <v>3587</v>
      </c>
      <c r="BZ712" s="13" t="s">
        <v>3588</v>
      </c>
      <c r="CA712" s="13">
        <v>2024</v>
      </c>
      <c r="CC712" s="13" t="s">
        <v>135</v>
      </c>
      <c r="CD712" s="13">
        <v>6</v>
      </c>
      <c r="CE712" s="13">
        <v>4</v>
      </c>
      <c r="CF712" s="13" t="s">
        <v>3589</v>
      </c>
      <c r="CG712" s="13" t="s">
        <v>3273</v>
      </c>
    </row>
    <row r="713" spans="1:85">
      <c r="A713" s="13" t="s">
        <v>3418</v>
      </c>
      <c r="C713" s="13" t="s">
        <v>3346</v>
      </c>
      <c r="D713" s="14" t="s">
        <v>820</v>
      </c>
      <c r="E713" s="13" t="s">
        <v>3941</v>
      </c>
      <c r="F713" s="13" t="s">
        <v>3944</v>
      </c>
      <c r="G713" s="13" t="s">
        <v>672</v>
      </c>
      <c r="H713" s="13" t="s">
        <v>675</v>
      </c>
      <c r="J713" s="14" t="s">
        <v>647</v>
      </c>
      <c r="K713" s="14" t="s">
        <v>3940</v>
      </c>
      <c r="L713" s="13" t="s">
        <v>585</v>
      </c>
      <c r="M713" s="13" t="s">
        <v>3943</v>
      </c>
      <c r="N713" s="13">
        <v>25</v>
      </c>
      <c r="O713" s="2">
        <f t="shared" si="62"/>
        <v>0.52083333333333337</v>
      </c>
      <c r="P713" s="13">
        <v>4</v>
      </c>
      <c r="Q713" s="17">
        <f t="shared" si="65"/>
        <v>0.5714285714285714</v>
      </c>
      <c r="R713" s="13">
        <v>48</v>
      </c>
      <c r="S713" s="13">
        <v>7</v>
      </c>
      <c r="V713" s="13">
        <v>0</v>
      </c>
      <c r="W713" s="13">
        <v>65</v>
      </c>
      <c r="X713" s="13">
        <v>12.09</v>
      </c>
      <c r="AB713" s="13">
        <v>42</v>
      </c>
      <c r="AC713" s="13">
        <v>13.8</v>
      </c>
      <c r="AG713" s="13" t="s">
        <v>639</v>
      </c>
      <c r="AH713" s="13">
        <v>3338</v>
      </c>
      <c r="AI713" s="13" t="s">
        <v>3766</v>
      </c>
      <c r="AJ713" s="13">
        <v>71.430000000000007</v>
      </c>
      <c r="AM713" s="13">
        <v>77.3</v>
      </c>
      <c r="AP713" s="13">
        <v>0.69</v>
      </c>
      <c r="AR713" s="13">
        <v>0.41880000000000001</v>
      </c>
      <c r="AS713" s="13">
        <v>0.96430000000000005</v>
      </c>
      <c r="BB713" s="13">
        <v>4565.63</v>
      </c>
      <c r="BC713" s="13">
        <f t="shared" si="63"/>
        <v>1827.4521660497708</v>
      </c>
      <c r="BD713" s="13">
        <v>263.77</v>
      </c>
      <c r="BM713" s="13">
        <v>3169.75</v>
      </c>
      <c r="BN713" s="13">
        <f t="shared" si="64"/>
        <v>2901.4631752789837</v>
      </c>
      <c r="BO713" s="13">
        <v>1096.6500000000001</v>
      </c>
      <c r="BX713" s="13">
        <v>0.63</v>
      </c>
      <c r="BY713" s="13" t="s">
        <v>3587</v>
      </c>
      <c r="BZ713" s="13" t="s">
        <v>3588</v>
      </c>
      <c r="CA713" s="13">
        <v>2024</v>
      </c>
      <c r="CC713" s="13" t="s">
        <v>135</v>
      </c>
      <c r="CD713" s="13">
        <v>6</v>
      </c>
      <c r="CE713" s="13">
        <v>4</v>
      </c>
      <c r="CF713" s="13" t="s">
        <v>3589</v>
      </c>
      <c r="CG713" s="13" t="s">
        <v>3273</v>
      </c>
    </row>
    <row r="714" spans="1:85">
      <c r="A714" s="13" t="s">
        <v>3418</v>
      </c>
      <c r="C714" s="13" t="s">
        <v>3346</v>
      </c>
      <c r="D714" s="14" t="s">
        <v>820</v>
      </c>
      <c r="E714" s="13" t="s">
        <v>630</v>
      </c>
      <c r="G714" s="13" t="s">
        <v>674</v>
      </c>
      <c r="H714" s="13" t="s">
        <v>648</v>
      </c>
      <c r="J714" s="14" t="s">
        <v>647</v>
      </c>
      <c r="K714" s="14" t="s">
        <v>3940</v>
      </c>
      <c r="L714" s="13" t="s">
        <v>585</v>
      </c>
      <c r="M714" s="13" t="s">
        <v>3938</v>
      </c>
      <c r="N714" s="13">
        <v>15</v>
      </c>
      <c r="O714" s="2">
        <f t="shared" si="62"/>
        <v>0.36585365853658536</v>
      </c>
      <c r="P714" s="13">
        <v>19</v>
      </c>
      <c r="Q714" s="17">
        <f t="shared" si="65"/>
        <v>0.52777777777777779</v>
      </c>
      <c r="R714" s="13">
        <v>41</v>
      </c>
      <c r="S714" s="13">
        <v>36</v>
      </c>
      <c r="V714" s="13">
        <v>0</v>
      </c>
      <c r="W714" s="13">
        <v>68.099999999999994</v>
      </c>
      <c r="X714" s="13">
        <v>10</v>
      </c>
      <c r="AB714" s="13">
        <v>61.8</v>
      </c>
      <c r="AC714" s="13">
        <v>11.5</v>
      </c>
      <c r="AG714" s="13" t="s">
        <v>639</v>
      </c>
      <c r="AH714" s="13">
        <v>1910</v>
      </c>
      <c r="AI714" s="13" t="s">
        <v>3766</v>
      </c>
      <c r="AJ714" s="13">
        <v>57.5</v>
      </c>
      <c r="AM714" s="13">
        <v>68.599999999999994</v>
      </c>
      <c r="AP714" s="13">
        <v>0.65</v>
      </c>
      <c r="AR714" s="13">
        <v>0.52</v>
      </c>
      <c r="AS714" s="13">
        <v>0.77</v>
      </c>
      <c r="BB714" s="13">
        <v>2022</v>
      </c>
      <c r="BC714" s="13">
        <f t="shared" si="63"/>
        <v>523.77556262200699</v>
      </c>
      <c r="BD714" s="13">
        <v>81.8</v>
      </c>
      <c r="BM714" s="13">
        <v>1739.43</v>
      </c>
      <c r="BN714" s="13">
        <f t="shared" si="64"/>
        <v>463.79999999999995</v>
      </c>
      <c r="BO714" s="13">
        <v>77.3</v>
      </c>
      <c r="BX714" s="13">
        <v>1.4999999999999999E-2</v>
      </c>
      <c r="BY714" s="13" t="s">
        <v>3587</v>
      </c>
      <c r="BZ714" s="13" t="s">
        <v>3588</v>
      </c>
      <c r="CA714" s="13">
        <v>2024</v>
      </c>
      <c r="CC714" s="13" t="s">
        <v>135</v>
      </c>
      <c r="CD714" s="13">
        <v>6</v>
      </c>
      <c r="CE714" s="13">
        <v>4</v>
      </c>
      <c r="CF714" s="13" t="s">
        <v>3589</v>
      </c>
      <c r="CG714" s="13" t="s">
        <v>3273</v>
      </c>
    </row>
    <row r="715" spans="1:85">
      <c r="A715" s="13" t="s">
        <v>3418</v>
      </c>
      <c r="C715" s="13" t="s">
        <v>3346</v>
      </c>
      <c r="D715" s="14" t="s">
        <v>820</v>
      </c>
      <c r="E715" s="13" t="s">
        <v>630</v>
      </c>
      <c r="G715" s="13" t="s">
        <v>674</v>
      </c>
      <c r="H715" s="13" t="s">
        <v>675</v>
      </c>
      <c r="J715" s="14" t="s">
        <v>647</v>
      </c>
      <c r="K715" s="14" t="s">
        <v>3940</v>
      </c>
      <c r="L715" s="13" t="s">
        <v>652</v>
      </c>
      <c r="M715" s="13" t="s">
        <v>3945</v>
      </c>
      <c r="N715" s="13">
        <v>15</v>
      </c>
      <c r="O715" s="2">
        <f t="shared" si="62"/>
        <v>0.36585365853658536</v>
      </c>
      <c r="P715" s="13">
        <v>19</v>
      </c>
      <c r="Q715" s="17">
        <f t="shared" si="65"/>
        <v>0.52777777777777779</v>
      </c>
      <c r="R715" s="13">
        <v>41</v>
      </c>
      <c r="S715" s="13">
        <v>36</v>
      </c>
      <c r="V715" s="13">
        <v>0</v>
      </c>
      <c r="W715" s="13">
        <v>68.099999999999994</v>
      </c>
      <c r="X715" s="13">
        <v>10</v>
      </c>
      <c r="AB715" s="13">
        <v>61.8</v>
      </c>
      <c r="AC715" s="13">
        <v>11.5</v>
      </c>
      <c r="AG715" s="13" t="s">
        <v>639</v>
      </c>
      <c r="AH715" s="13">
        <v>29.03</v>
      </c>
      <c r="AI715" s="13" t="s">
        <v>3766</v>
      </c>
      <c r="AJ715" s="13">
        <v>86.5</v>
      </c>
      <c r="AM715" s="13">
        <v>100</v>
      </c>
      <c r="AP715" s="13">
        <v>0.98</v>
      </c>
      <c r="AR715" s="13">
        <v>0.95</v>
      </c>
      <c r="AS715" s="13">
        <v>1</v>
      </c>
      <c r="BB715" s="13">
        <v>86</v>
      </c>
      <c r="BC715" s="13">
        <f t="shared" si="63"/>
        <v>78.310209423803741</v>
      </c>
      <c r="BD715" s="13">
        <v>12.23</v>
      </c>
      <c r="BM715" s="13">
        <v>12.69</v>
      </c>
      <c r="BN715" s="13">
        <f t="shared" si="64"/>
        <v>6.8999999999999995</v>
      </c>
      <c r="BO715" s="13">
        <v>1.1499999999999999</v>
      </c>
      <c r="BX715" s="13" t="s">
        <v>2050</v>
      </c>
      <c r="BY715" s="13" t="s">
        <v>3587</v>
      </c>
      <c r="BZ715" s="13" t="s">
        <v>3588</v>
      </c>
      <c r="CA715" s="13">
        <v>2024</v>
      </c>
      <c r="CC715" s="13" t="s">
        <v>135</v>
      </c>
      <c r="CD715" s="13">
        <v>6</v>
      </c>
      <c r="CE715" s="13">
        <v>4</v>
      </c>
      <c r="CF715" s="13" t="s">
        <v>3589</v>
      </c>
      <c r="CG715" s="13" t="s">
        <v>3273</v>
      </c>
    </row>
    <row r="716" spans="1:85">
      <c r="A716" s="13" t="s">
        <v>1897</v>
      </c>
      <c r="B716" s="13" t="s">
        <v>1897</v>
      </c>
      <c r="C716" s="14" t="s">
        <v>1498</v>
      </c>
      <c r="D716" s="14" t="s">
        <v>2772</v>
      </c>
      <c r="E716" s="13" t="s">
        <v>630</v>
      </c>
      <c r="F716" s="13" t="s">
        <v>2821</v>
      </c>
      <c r="G716" s="13" t="s">
        <v>672</v>
      </c>
      <c r="H716" s="13" t="s">
        <v>758</v>
      </c>
      <c r="J716" s="14" t="s">
        <v>868</v>
      </c>
      <c r="K716" s="14" t="s">
        <v>4103</v>
      </c>
      <c r="L716" s="14" t="s">
        <v>585</v>
      </c>
      <c r="M716" s="14" t="s">
        <v>585</v>
      </c>
      <c r="N716" s="13">
        <v>39</v>
      </c>
      <c r="O716" s="2">
        <f t="shared" si="62"/>
        <v>0.66101694915254239</v>
      </c>
      <c r="P716" s="13">
        <v>10</v>
      </c>
      <c r="Q716" s="17">
        <f t="shared" si="65"/>
        <v>0.4</v>
      </c>
      <c r="R716" s="13">
        <v>59</v>
      </c>
      <c r="S716" s="13">
        <v>25</v>
      </c>
      <c r="T716" s="13">
        <v>3</v>
      </c>
      <c r="V716" s="13">
        <v>2</v>
      </c>
      <c r="W716" s="13">
        <v>66</v>
      </c>
      <c r="X716" s="13">
        <v>11.5</v>
      </c>
      <c r="AB716" s="13">
        <v>64.099999999999994</v>
      </c>
      <c r="AC716" s="13">
        <v>14.8</v>
      </c>
      <c r="AG716" s="13" t="s">
        <v>639</v>
      </c>
      <c r="BG716" s="13">
        <v>11464</v>
      </c>
      <c r="BI716" s="13">
        <v>7861</v>
      </c>
      <c r="BJ716" s="13">
        <v>15517</v>
      </c>
      <c r="BR716" s="13">
        <v>7328</v>
      </c>
      <c r="BT716" s="13">
        <v>4889</v>
      </c>
      <c r="BU716" s="13">
        <v>9472</v>
      </c>
      <c r="BX716" s="13" t="s">
        <v>760</v>
      </c>
      <c r="BY716" s="13" t="s">
        <v>1495</v>
      </c>
      <c r="BZ716" s="13" t="s">
        <v>1496</v>
      </c>
      <c r="CA716" s="13">
        <v>2024</v>
      </c>
      <c r="CB716" s="13" t="s">
        <v>119</v>
      </c>
      <c r="CC716" s="13" t="s">
        <v>154</v>
      </c>
      <c r="CD716" s="13">
        <v>463</v>
      </c>
      <c r="CG716" s="13" t="s">
        <v>1497</v>
      </c>
    </row>
    <row r="717" spans="1:85">
      <c r="A717" s="13" t="s">
        <v>1897</v>
      </c>
      <c r="B717" s="13" t="s">
        <v>1897</v>
      </c>
      <c r="C717" s="14" t="s">
        <v>1498</v>
      </c>
      <c r="D717" s="14" t="s">
        <v>2772</v>
      </c>
      <c r="E717" s="13" t="s">
        <v>630</v>
      </c>
      <c r="F717" s="13" t="s">
        <v>2821</v>
      </c>
      <c r="G717" s="13" t="s">
        <v>672</v>
      </c>
      <c r="H717" s="13" t="s">
        <v>675</v>
      </c>
      <c r="J717" s="14" t="s">
        <v>868</v>
      </c>
      <c r="K717" s="14" t="s">
        <v>4103</v>
      </c>
      <c r="L717" s="14" t="s">
        <v>585</v>
      </c>
      <c r="M717" s="14" t="s">
        <v>585</v>
      </c>
      <c r="N717" s="13">
        <v>39</v>
      </c>
      <c r="O717" s="2">
        <f t="shared" si="62"/>
        <v>0.66101694915254239</v>
      </c>
      <c r="P717" s="13">
        <v>10</v>
      </c>
      <c r="Q717" s="17">
        <f t="shared" si="65"/>
        <v>0.4</v>
      </c>
      <c r="R717" s="13">
        <v>59</v>
      </c>
      <c r="S717" s="13">
        <v>25</v>
      </c>
      <c r="T717" s="13">
        <v>3</v>
      </c>
      <c r="V717" s="13">
        <v>2</v>
      </c>
      <c r="W717" s="13">
        <v>66</v>
      </c>
      <c r="X717" s="13">
        <v>11.5</v>
      </c>
      <c r="AB717" s="13">
        <v>64.099999999999994</v>
      </c>
      <c r="AC717" s="13">
        <v>14.8</v>
      </c>
      <c r="AG717" s="13" t="s">
        <v>639</v>
      </c>
      <c r="BG717" s="13">
        <v>5716</v>
      </c>
      <c r="BI717" s="13">
        <v>3771</v>
      </c>
      <c r="BJ717" s="13">
        <v>8854</v>
      </c>
      <c r="BR717" s="13">
        <v>712</v>
      </c>
      <c r="BT717" s="13">
        <v>579</v>
      </c>
      <c r="BU717" s="13">
        <v>1044</v>
      </c>
      <c r="BX717" s="13" t="s">
        <v>701</v>
      </c>
      <c r="BY717" s="13" t="s">
        <v>1495</v>
      </c>
      <c r="BZ717" s="13" t="s">
        <v>1496</v>
      </c>
      <c r="CA717" s="13">
        <v>2024</v>
      </c>
      <c r="CB717" s="13" t="s">
        <v>119</v>
      </c>
      <c r="CC717" s="13" t="s">
        <v>154</v>
      </c>
      <c r="CD717" s="13">
        <v>463</v>
      </c>
      <c r="CG717" s="13" t="s">
        <v>1497</v>
      </c>
    </row>
    <row r="718" spans="1:85">
      <c r="A718" s="13" t="s">
        <v>1897</v>
      </c>
      <c r="B718" s="13" t="s">
        <v>1897</v>
      </c>
      <c r="C718" s="14" t="s">
        <v>1498</v>
      </c>
      <c r="D718" s="14" t="s">
        <v>2772</v>
      </c>
      <c r="E718" s="13" t="s">
        <v>630</v>
      </c>
      <c r="F718" s="13" t="s">
        <v>2821</v>
      </c>
      <c r="G718" s="13" t="s">
        <v>672</v>
      </c>
      <c r="H718" s="13" t="s">
        <v>679</v>
      </c>
      <c r="J718" s="14" t="s">
        <v>868</v>
      </c>
      <c r="K718" s="14" t="s">
        <v>4103</v>
      </c>
      <c r="L718" s="14" t="s">
        <v>585</v>
      </c>
      <c r="M718" s="14" t="s">
        <v>2823</v>
      </c>
      <c r="N718" s="13">
        <v>39</v>
      </c>
      <c r="O718" s="2">
        <f t="shared" si="62"/>
        <v>0.66101694915254239</v>
      </c>
      <c r="P718" s="13">
        <v>10</v>
      </c>
      <c r="Q718" s="17">
        <f t="shared" si="65"/>
        <v>0.4</v>
      </c>
      <c r="R718" s="13">
        <v>59</v>
      </c>
      <c r="S718" s="13">
        <v>25</v>
      </c>
      <c r="T718" s="13">
        <v>3</v>
      </c>
      <c r="V718" s="13">
        <v>2</v>
      </c>
      <c r="W718" s="13">
        <v>66</v>
      </c>
      <c r="X718" s="13">
        <v>11.5</v>
      </c>
      <c r="AB718" s="13">
        <v>64.099999999999994</v>
      </c>
      <c r="AC718" s="13">
        <v>14.8</v>
      </c>
      <c r="AG718" s="13" t="s">
        <v>641</v>
      </c>
      <c r="BG718" s="13">
        <v>205</v>
      </c>
      <c r="BI718" s="13">
        <v>157</v>
      </c>
      <c r="BJ718" s="13">
        <v>277</v>
      </c>
      <c r="BR718" s="13">
        <v>162</v>
      </c>
      <c r="BT718" s="13">
        <v>125</v>
      </c>
      <c r="BU718" s="13">
        <v>187</v>
      </c>
      <c r="BX718" s="13" t="s">
        <v>769</v>
      </c>
      <c r="BY718" s="13" t="s">
        <v>1495</v>
      </c>
      <c r="BZ718" s="13" t="s">
        <v>1496</v>
      </c>
      <c r="CA718" s="13">
        <v>2024</v>
      </c>
      <c r="CB718" s="13" t="s">
        <v>119</v>
      </c>
      <c r="CC718" s="13" t="s">
        <v>154</v>
      </c>
      <c r="CD718" s="13">
        <v>463</v>
      </c>
      <c r="CG718" s="13" t="s">
        <v>1497</v>
      </c>
    </row>
    <row r="719" spans="1:85">
      <c r="A719" s="13" t="s">
        <v>1897</v>
      </c>
      <c r="B719" s="13" t="s">
        <v>1897</v>
      </c>
      <c r="C719" s="14" t="s">
        <v>1498</v>
      </c>
      <c r="D719" s="14" t="s">
        <v>2772</v>
      </c>
      <c r="E719" s="13" t="s">
        <v>630</v>
      </c>
      <c r="F719" s="13" t="s">
        <v>2821</v>
      </c>
      <c r="G719" s="13" t="s">
        <v>672</v>
      </c>
      <c r="H719" s="13" t="s">
        <v>844</v>
      </c>
      <c r="J719" s="14" t="s">
        <v>868</v>
      </c>
      <c r="K719" s="14" t="s">
        <v>4103</v>
      </c>
      <c r="L719" s="14" t="s">
        <v>585</v>
      </c>
      <c r="M719" s="14" t="s">
        <v>2825</v>
      </c>
      <c r="N719" s="13">
        <v>39</v>
      </c>
      <c r="O719" s="2">
        <f t="shared" si="62"/>
        <v>0.66101694915254239</v>
      </c>
      <c r="P719" s="13">
        <v>10</v>
      </c>
      <c r="Q719" s="17">
        <f t="shared" si="65"/>
        <v>0.4</v>
      </c>
      <c r="R719" s="13">
        <v>59</v>
      </c>
      <c r="S719" s="13">
        <v>25</v>
      </c>
      <c r="T719" s="13">
        <v>3</v>
      </c>
      <c r="V719" s="13">
        <v>2</v>
      </c>
      <c r="W719" s="13">
        <v>66</v>
      </c>
      <c r="X719" s="13">
        <v>11.5</v>
      </c>
      <c r="AB719" s="13">
        <v>64.099999999999994</v>
      </c>
      <c r="AC719" s="13">
        <v>14.8</v>
      </c>
      <c r="AG719" s="13" t="s">
        <v>639</v>
      </c>
      <c r="BG719" s="13">
        <v>4758.6000000000004</v>
      </c>
      <c r="BI719" s="13">
        <v>3706.97</v>
      </c>
      <c r="BJ719" s="13">
        <v>5920</v>
      </c>
      <c r="BR719" s="13">
        <v>4605</v>
      </c>
      <c r="BT719" s="13">
        <v>3137</v>
      </c>
      <c r="BU719" s="13">
        <v>5760</v>
      </c>
      <c r="BX719" s="13">
        <v>1</v>
      </c>
      <c r="BY719" s="13" t="s">
        <v>1495</v>
      </c>
      <c r="BZ719" s="13" t="s">
        <v>1496</v>
      </c>
      <c r="CA719" s="13">
        <v>2024</v>
      </c>
      <c r="CB719" s="13" t="s">
        <v>119</v>
      </c>
      <c r="CC719" s="13" t="s">
        <v>154</v>
      </c>
      <c r="CD719" s="13">
        <v>463</v>
      </c>
      <c r="CG719" s="13" t="s">
        <v>1497</v>
      </c>
    </row>
    <row r="720" spans="1:85">
      <c r="A720" s="13" t="s">
        <v>1897</v>
      </c>
      <c r="B720" s="13" t="s">
        <v>1897</v>
      </c>
      <c r="C720" s="14" t="s">
        <v>1498</v>
      </c>
      <c r="D720" s="14" t="s">
        <v>2772</v>
      </c>
      <c r="E720" s="13" t="s">
        <v>630</v>
      </c>
      <c r="F720" s="13" t="s">
        <v>2821</v>
      </c>
      <c r="G720" s="13" t="s">
        <v>672</v>
      </c>
      <c r="H720" s="13" t="s">
        <v>2818</v>
      </c>
      <c r="J720" s="14" t="s">
        <v>868</v>
      </c>
      <c r="K720" s="14" t="s">
        <v>4103</v>
      </c>
      <c r="L720" s="14" t="s">
        <v>585</v>
      </c>
      <c r="M720" s="14" t="s">
        <v>2823</v>
      </c>
      <c r="N720" s="13">
        <v>39</v>
      </c>
      <c r="O720" s="2">
        <f t="shared" si="62"/>
        <v>0.66101694915254239</v>
      </c>
      <c r="P720" s="13">
        <v>10</v>
      </c>
      <c r="Q720" s="17">
        <f t="shared" si="65"/>
        <v>0.4</v>
      </c>
      <c r="R720" s="13">
        <v>59</v>
      </c>
      <c r="S720" s="13">
        <v>25</v>
      </c>
      <c r="T720" s="13">
        <v>3</v>
      </c>
      <c r="V720" s="13">
        <v>2</v>
      </c>
      <c r="W720" s="13">
        <v>66</v>
      </c>
      <c r="X720" s="13">
        <v>11.5</v>
      </c>
      <c r="AB720" s="13">
        <v>64.099999999999994</v>
      </c>
      <c r="AC720" s="13">
        <v>14.8</v>
      </c>
      <c r="AG720" s="13" t="s">
        <v>641</v>
      </c>
      <c r="BG720" s="13">
        <v>235</v>
      </c>
      <c r="BI720" s="13">
        <v>179</v>
      </c>
      <c r="BJ720" s="13">
        <v>304</v>
      </c>
      <c r="BR720" s="13">
        <v>261</v>
      </c>
      <c r="BT720" s="13">
        <v>207</v>
      </c>
      <c r="BU720" s="13">
        <v>349</v>
      </c>
      <c r="BX720" s="13">
        <v>0.48</v>
      </c>
      <c r="BY720" s="13" t="s">
        <v>1495</v>
      </c>
      <c r="BZ720" s="13" t="s">
        <v>1496</v>
      </c>
      <c r="CA720" s="13">
        <v>2024</v>
      </c>
      <c r="CB720" s="13" t="s">
        <v>119</v>
      </c>
      <c r="CC720" s="13" t="s">
        <v>154</v>
      </c>
      <c r="CD720" s="13">
        <v>463</v>
      </c>
      <c r="CG720" s="13" t="s">
        <v>1497</v>
      </c>
    </row>
    <row r="721" spans="1:85">
      <c r="A721" s="13" t="s">
        <v>1897</v>
      </c>
      <c r="B721" s="13" t="s">
        <v>1897</v>
      </c>
      <c r="C721" s="14" t="s">
        <v>1498</v>
      </c>
      <c r="D721" s="14" t="s">
        <v>2772</v>
      </c>
      <c r="E721" s="13" t="s">
        <v>630</v>
      </c>
      <c r="F721" s="13" t="s">
        <v>2821</v>
      </c>
      <c r="G721" s="13" t="s">
        <v>672</v>
      </c>
      <c r="H721" s="13" t="s">
        <v>2819</v>
      </c>
      <c r="J721" s="14" t="s">
        <v>868</v>
      </c>
      <c r="K721" s="14" t="s">
        <v>4103</v>
      </c>
      <c r="L721" s="14" t="s">
        <v>585</v>
      </c>
      <c r="M721" s="14" t="s">
        <v>2823</v>
      </c>
      <c r="N721" s="13">
        <v>39</v>
      </c>
      <c r="O721" s="2">
        <f t="shared" si="62"/>
        <v>0.66101694915254239</v>
      </c>
      <c r="P721" s="13">
        <v>10</v>
      </c>
      <c r="Q721" s="17">
        <f t="shared" si="65"/>
        <v>0.4</v>
      </c>
      <c r="R721" s="13">
        <v>59</v>
      </c>
      <c r="S721" s="13">
        <v>25</v>
      </c>
      <c r="T721" s="13">
        <v>3</v>
      </c>
      <c r="V721" s="13">
        <v>2</v>
      </c>
      <c r="W721" s="13">
        <v>66</v>
      </c>
      <c r="X721" s="13">
        <v>11.5</v>
      </c>
      <c r="AB721" s="13">
        <v>64.099999999999994</v>
      </c>
      <c r="AC721" s="13">
        <v>14.8</v>
      </c>
      <c r="AG721" s="13" t="s">
        <v>641</v>
      </c>
      <c r="BG721" s="13">
        <v>619</v>
      </c>
      <c r="BI721" s="13">
        <v>470</v>
      </c>
      <c r="BJ721" s="13">
        <v>814</v>
      </c>
      <c r="BR721" s="13">
        <v>696</v>
      </c>
      <c r="BT721" s="13">
        <v>488</v>
      </c>
      <c r="BU721" s="13">
        <v>905</v>
      </c>
      <c r="BX721" s="13">
        <v>0.98</v>
      </c>
      <c r="BY721" s="13" t="s">
        <v>1495</v>
      </c>
      <c r="BZ721" s="13" t="s">
        <v>1496</v>
      </c>
      <c r="CA721" s="13">
        <v>2024</v>
      </c>
      <c r="CB721" s="13" t="s">
        <v>119</v>
      </c>
      <c r="CC721" s="13" t="s">
        <v>154</v>
      </c>
      <c r="CD721" s="13">
        <v>463</v>
      </c>
      <c r="CG721" s="13" t="s">
        <v>1497</v>
      </c>
    </row>
    <row r="722" spans="1:85">
      <c r="A722" s="13" t="s">
        <v>1897</v>
      </c>
      <c r="B722" s="13" t="s">
        <v>1897</v>
      </c>
      <c r="C722" s="14" t="s">
        <v>1498</v>
      </c>
      <c r="D722" s="14" t="s">
        <v>2772</v>
      </c>
      <c r="E722" s="13" t="s">
        <v>633</v>
      </c>
      <c r="F722" s="13" t="s">
        <v>2826</v>
      </c>
      <c r="G722" s="13" t="s">
        <v>672</v>
      </c>
      <c r="H722" s="13" t="s">
        <v>758</v>
      </c>
      <c r="J722" s="14" t="s">
        <v>868</v>
      </c>
      <c r="K722" s="14" t="s">
        <v>4103</v>
      </c>
      <c r="L722" s="14" t="s">
        <v>585</v>
      </c>
      <c r="M722" s="14" t="s">
        <v>585</v>
      </c>
      <c r="N722" s="13">
        <v>39</v>
      </c>
      <c r="O722" s="2">
        <f t="shared" si="62"/>
        <v>0.66101694915254239</v>
      </c>
      <c r="P722" s="13">
        <v>17</v>
      </c>
      <c r="Q722" s="17">
        <f t="shared" si="65"/>
        <v>0.77272727272727271</v>
      </c>
      <c r="R722" s="13">
        <v>59</v>
      </c>
      <c r="S722" s="13">
        <v>22</v>
      </c>
      <c r="T722" s="13">
        <v>3</v>
      </c>
      <c r="V722" s="13">
        <v>2</v>
      </c>
      <c r="W722" s="13">
        <v>66</v>
      </c>
      <c r="X722" s="13">
        <v>11.5</v>
      </c>
      <c r="AB722" s="13">
        <v>68.2</v>
      </c>
      <c r="AC722" s="13">
        <v>13.6</v>
      </c>
      <c r="AG722" s="13" t="s">
        <v>639</v>
      </c>
      <c r="BG722" s="13">
        <v>11464</v>
      </c>
      <c r="BI722" s="13">
        <v>7861</v>
      </c>
      <c r="BJ722" s="13">
        <v>15517</v>
      </c>
      <c r="BR722" s="13">
        <v>11900</v>
      </c>
      <c r="BT722" s="13">
        <v>10400</v>
      </c>
      <c r="BU722" s="13">
        <v>15900</v>
      </c>
      <c r="BX722" s="13">
        <v>0.37</v>
      </c>
      <c r="BY722" s="13" t="s">
        <v>1495</v>
      </c>
      <c r="BZ722" s="13" t="s">
        <v>1496</v>
      </c>
      <c r="CA722" s="13">
        <v>2024</v>
      </c>
      <c r="CB722" s="13" t="s">
        <v>119</v>
      </c>
      <c r="CC722" s="13" t="s">
        <v>154</v>
      </c>
      <c r="CD722" s="13">
        <v>463</v>
      </c>
      <c r="CG722" s="13" t="s">
        <v>1497</v>
      </c>
    </row>
    <row r="723" spans="1:85">
      <c r="A723" s="13" t="s">
        <v>1897</v>
      </c>
      <c r="B723" s="13" t="s">
        <v>1897</v>
      </c>
      <c r="C723" s="14" t="s">
        <v>1498</v>
      </c>
      <c r="D723" s="14" t="s">
        <v>2772</v>
      </c>
      <c r="E723" s="13" t="s">
        <v>633</v>
      </c>
      <c r="F723" s="13" t="s">
        <v>2826</v>
      </c>
      <c r="G723" s="13" t="s">
        <v>672</v>
      </c>
      <c r="H723" s="13" t="s">
        <v>675</v>
      </c>
      <c r="J723" s="14" t="s">
        <v>868</v>
      </c>
      <c r="K723" s="14" t="s">
        <v>4103</v>
      </c>
      <c r="L723" s="14" t="s">
        <v>585</v>
      </c>
      <c r="M723" s="14" t="s">
        <v>585</v>
      </c>
      <c r="N723" s="13">
        <v>39</v>
      </c>
      <c r="O723" s="2">
        <f t="shared" si="62"/>
        <v>0.66101694915254239</v>
      </c>
      <c r="P723" s="13">
        <v>17</v>
      </c>
      <c r="Q723" s="17">
        <f t="shared" si="65"/>
        <v>0.77272727272727271</v>
      </c>
      <c r="R723" s="13">
        <v>59</v>
      </c>
      <c r="S723" s="13">
        <v>22</v>
      </c>
      <c r="T723" s="13">
        <v>3</v>
      </c>
      <c r="V723" s="13">
        <v>2</v>
      </c>
      <c r="W723" s="13">
        <v>66</v>
      </c>
      <c r="X723" s="13">
        <v>11.5</v>
      </c>
      <c r="AB723" s="13">
        <v>68.2</v>
      </c>
      <c r="AC723" s="13">
        <v>13.6</v>
      </c>
      <c r="AG723" s="13" t="s">
        <v>639</v>
      </c>
      <c r="BG723" s="13">
        <v>5716</v>
      </c>
      <c r="BI723" s="13">
        <v>3771</v>
      </c>
      <c r="BJ723" s="13">
        <v>8854</v>
      </c>
      <c r="BR723" s="13">
        <v>1240</v>
      </c>
      <c r="BT723" s="13">
        <v>584</v>
      </c>
      <c r="BU723" s="13">
        <v>1493</v>
      </c>
      <c r="BX723" s="13" t="s">
        <v>701</v>
      </c>
      <c r="BY723" s="13" t="s">
        <v>1495</v>
      </c>
      <c r="BZ723" s="13" t="s">
        <v>1496</v>
      </c>
      <c r="CA723" s="13">
        <v>2024</v>
      </c>
      <c r="CB723" s="13" t="s">
        <v>119</v>
      </c>
      <c r="CC723" s="13" t="s">
        <v>154</v>
      </c>
      <c r="CD723" s="13">
        <v>463</v>
      </c>
      <c r="CG723" s="13" t="s">
        <v>1497</v>
      </c>
    </row>
    <row r="724" spans="1:85">
      <c r="A724" s="13" t="s">
        <v>1897</v>
      </c>
      <c r="B724" s="13" t="s">
        <v>1897</v>
      </c>
      <c r="C724" s="14" t="s">
        <v>1498</v>
      </c>
      <c r="D724" s="14" t="s">
        <v>2772</v>
      </c>
      <c r="E724" s="13" t="s">
        <v>633</v>
      </c>
      <c r="F724" s="13" t="s">
        <v>2826</v>
      </c>
      <c r="G724" s="13" t="s">
        <v>672</v>
      </c>
      <c r="H724" s="13" t="s">
        <v>679</v>
      </c>
      <c r="J724" s="14" t="s">
        <v>868</v>
      </c>
      <c r="K724" s="14" t="s">
        <v>4103</v>
      </c>
      <c r="L724" s="14" t="s">
        <v>585</v>
      </c>
      <c r="M724" s="14" t="s">
        <v>2823</v>
      </c>
      <c r="N724" s="13">
        <v>39</v>
      </c>
      <c r="O724" s="2">
        <f t="shared" si="62"/>
        <v>0.66101694915254239</v>
      </c>
      <c r="P724" s="13">
        <v>17</v>
      </c>
      <c r="Q724" s="17">
        <f t="shared" si="65"/>
        <v>0.77272727272727271</v>
      </c>
      <c r="R724" s="13">
        <v>59</v>
      </c>
      <c r="S724" s="13">
        <v>22</v>
      </c>
      <c r="T724" s="13">
        <v>3</v>
      </c>
      <c r="V724" s="13">
        <v>2</v>
      </c>
      <c r="W724" s="13">
        <v>66</v>
      </c>
      <c r="X724" s="13">
        <v>11.5</v>
      </c>
      <c r="AB724" s="13">
        <v>68.2</v>
      </c>
      <c r="AC724" s="13">
        <v>13.6</v>
      </c>
      <c r="AG724" s="13" t="s">
        <v>641</v>
      </c>
      <c r="BG724" s="13">
        <v>205</v>
      </c>
      <c r="BI724" s="13">
        <v>157</v>
      </c>
      <c r="BJ724" s="13">
        <v>277</v>
      </c>
      <c r="BR724" s="13">
        <v>155</v>
      </c>
      <c r="BT724" s="13">
        <v>138</v>
      </c>
      <c r="BU724" s="13">
        <v>185</v>
      </c>
      <c r="BX724" s="13">
        <v>5.8000000000000003E-2</v>
      </c>
      <c r="BY724" s="13" t="s">
        <v>1495</v>
      </c>
      <c r="BZ724" s="13" t="s">
        <v>1496</v>
      </c>
      <c r="CA724" s="13">
        <v>2024</v>
      </c>
      <c r="CB724" s="13" t="s">
        <v>119</v>
      </c>
      <c r="CC724" s="13" t="s">
        <v>154</v>
      </c>
      <c r="CD724" s="13">
        <v>463</v>
      </c>
      <c r="CG724" s="13" t="s">
        <v>1497</v>
      </c>
    </row>
    <row r="725" spans="1:85">
      <c r="A725" s="13" t="s">
        <v>1897</v>
      </c>
      <c r="B725" s="13" t="s">
        <v>1897</v>
      </c>
      <c r="C725" s="14" t="s">
        <v>1498</v>
      </c>
      <c r="D725" s="14" t="s">
        <v>2772</v>
      </c>
      <c r="E725" s="13" t="s">
        <v>633</v>
      </c>
      <c r="F725" s="13" t="s">
        <v>2826</v>
      </c>
      <c r="G725" s="13" t="s">
        <v>672</v>
      </c>
      <c r="H725" s="13" t="s">
        <v>844</v>
      </c>
      <c r="J725" s="14" t="s">
        <v>868</v>
      </c>
      <c r="K725" s="14" t="s">
        <v>4103</v>
      </c>
      <c r="L725" s="14" t="s">
        <v>585</v>
      </c>
      <c r="M725" s="14" t="s">
        <v>2825</v>
      </c>
      <c r="N725" s="13">
        <v>39</v>
      </c>
      <c r="O725" s="2">
        <f t="shared" si="62"/>
        <v>0.66101694915254239</v>
      </c>
      <c r="P725" s="13">
        <v>17</v>
      </c>
      <c r="Q725" s="17">
        <f t="shared" si="65"/>
        <v>0.77272727272727271</v>
      </c>
      <c r="R725" s="13">
        <v>59</v>
      </c>
      <c r="S725" s="13">
        <v>22</v>
      </c>
      <c r="T725" s="13">
        <v>3</v>
      </c>
      <c r="V725" s="13">
        <v>2</v>
      </c>
      <c r="W725" s="13">
        <v>66</v>
      </c>
      <c r="X725" s="13">
        <v>11.5</v>
      </c>
      <c r="AB725" s="13">
        <v>68.2</v>
      </c>
      <c r="AC725" s="13">
        <v>13.6</v>
      </c>
      <c r="AG725" s="13" t="s">
        <v>639</v>
      </c>
      <c r="BG725" s="13">
        <v>4758.6000000000004</v>
      </c>
      <c r="BI725" s="13">
        <v>3706.97</v>
      </c>
      <c r="BJ725" s="13">
        <v>5920</v>
      </c>
      <c r="BR725" s="13">
        <v>4392</v>
      </c>
      <c r="BT725" s="13">
        <v>3534</v>
      </c>
      <c r="BU725" s="13">
        <v>6130</v>
      </c>
      <c r="BX725" s="13">
        <v>0.82</v>
      </c>
      <c r="BY725" s="13" t="s">
        <v>1495</v>
      </c>
      <c r="BZ725" s="13" t="s">
        <v>1496</v>
      </c>
      <c r="CA725" s="13">
        <v>2024</v>
      </c>
      <c r="CB725" s="13" t="s">
        <v>119</v>
      </c>
      <c r="CC725" s="13" t="s">
        <v>154</v>
      </c>
      <c r="CD725" s="13">
        <v>463</v>
      </c>
      <c r="CG725" s="13" t="s">
        <v>1497</v>
      </c>
    </row>
    <row r="726" spans="1:85">
      <c r="A726" s="13" t="s">
        <v>1897</v>
      </c>
      <c r="B726" s="13" t="s">
        <v>1897</v>
      </c>
      <c r="C726" s="14" t="s">
        <v>1498</v>
      </c>
      <c r="D726" s="14" t="s">
        <v>2772</v>
      </c>
      <c r="E726" s="13" t="s">
        <v>633</v>
      </c>
      <c r="F726" s="13" t="s">
        <v>2826</v>
      </c>
      <c r="G726" s="13" t="s">
        <v>672</v>
      </c>
      <c r="H726" s="13" t="s">
        <v>2818</v>
      </c>
      <c r="J726" s="14" t="s">
        <v>868</v>
      </c>
      <c r="K726" s="14" t="s">
        <v>4103</v>
      </c>
      <c r="L726" s="14" t="s">
        <v>585</v>
      </c>
      <c r="M726" s="14" t="s">
        <v>2823</v>
      </c>
      <c r="N726" s="13">
        <v>39</v>
      </c>
      <c r="O726" s="2">
        <f t="shared" si="62"/>
        <v>0.66101694915254239</v>
      </c>
      <c r="P726" s="13">
        <v>17</v>
      </c>
      <c r="Q726" s="17">
        <f t="shared" si="65"/>
        <v>0.77272727272727271</v>
      </c>
      <c r="R726" s="13">
        <v>59</v>
      </c>
      <c r="S726" s="13">
        <v>22</v>
      </c>
      <c r="T726" s="13">
        <v>3</v>
      </c>
      <c r="V726" s="13">
        <v>2</v>
      </c>
      <c r="W726" s="13">
        <v>66</v>
      </c>
      <c r="X726" s="13">
        <v>11.5</v>
      </c>
      <c r="AB726" s="13">
        <v>68.2</v>
      </c>
      <c r="AC726" s="13">
        <v>13.6</v>
      </c>
      <c r="AG726" s="13" t="s">
        <v>641</v>
      </c>
      <c r="BG726" s="13">
        <v>235</v>
      </c>
      <c r="BI726" s="13">
        <v>179</v>
      </c>
      <c r="BJ726" s="13">
        <v>304</v>
      </c>
      <c r="BR726" s="13">
        <v>280</v>
      </c>
      <c r="BT726" s="13">
        <v>239</v>
      </c>
      <c r="BU726" s="13">
        <v>333</v>
      </c>
      <c r="BX726" s="13">
        <v>0.28999999999999998</v>
      </c>
      <c r="BY726" s="13" t="s">
        <v>1495</v>
      </c>
      <c r="BZ726" s="13" t="s">
        <v>1496</v>
      </c>
      <c r="CA726" s="13">
        <v>2024</v>
      </c>
      <c r="CB726" s="13" t="s">
        <v>119</v>
      </c>
      <c r="CC726" s="13" t="s">
        <v>154</v>
      </c>
      <c r="CD726" s="13">
        <v>463</v>
      </c>
      <c r="CG726" s="13" t="s">
        <v>1497</v>
      </c>
    </row>
    <row r="727" spans="1:85">
      <c r="A727" s="13" t="s">
        <v>1897</v>
      </c>
      <c r="B727" s="13" t="s">
        <v>1897</v>
      </c>
      <c r="C727" s="14" t="s">
        <v>1498</v>
      </c>
      <c r="D727" s="14" t="s">
        <v>2772</v>
      </c>
      <c r="E727" s="13" t="s">
        <v>633</v>
      </c>
      <c r="F727" s="13" t="s">
        <v>2826</v>
      </c>
      <c r="G727" s="13" t="s">
        <v>672</v>
      </c>
      <c r="H727" s="13" t="s">
        <v>2819</v>
      </c>
      <c r="J727" s="14" t="s">
        <v>868</v>
      </c>
      <c r="K727" s="14" t="s">
        <v>4103</v>
      </c>
      <c r="L727" s="14" t="s">
        <v>585</v>
      </c>
      <c r="M727" s="14" t="s">
        <v>2823</v>
      </c>
      <c r="N727" s="13">
        <v>39</v>
      </c>
      <c r="O727" s="2">
        <f t="shared" si="62"/>
        <v>0.66101694915254239</v>
      </c>
      <c r="P727" s="13">
        <v>17</v>
      </c>
      <c r="Q727" s="17">
        <f t="shared" si="65"/>
        <v>0.77272727272727271</v>
      </c>
      <c r="R727" s="13">
        <v>59</v>
      </c>
      <c r="S727" s="13">
        <v>22</v>
      </c>
      <c r="T727" s="13">
        <v>3</v>
      </c>
      <c r="V727" s="13">
        <v>2</v>
      </c>
      <c r="W727" s="13">
        <v>66</v>
      </c>
      <c r="X727" s="13">
        <v>11.5</v>
      </c>
      <c r="AB727" s="13">
        <v>68.2</v>
      </c>
      <c r="AC727" s="13">
        <v>13.6</v>
      </c>
      <c r="AG727" s="13" t="s">
        <v>641</v>
      </c>
      <c r="BG727" s="13">
        <v>619</v>
      </c>
      <c r="BI727" s="13">
        <v>470</v>
      </c>
      <c r="BJ727" s="13">
        <v>814</v>
      </c>
      <c r="BR727" s="13">
        <v>718</v>
      </c>
      <c r="BT727" s="13">
        <v>616</v>
      </c>
      <c r="BU727" s="13">
        <v>817</v>
      </c>
      <c r="BX727" s="13">
        <v>0.78</v>
      </c>
      <c r="BY727" s="13" t="s">
        <v>1495</v>
      </c>
      <c r="BZ727" s="13" t="s">
        <v>1496</v>
      </c>
      <c r="CA727" s="13">
        <v>2024</v>
      </c>
      <c r="CB727" s="13" t="s">
        <v>119</v>
      </c>
      <c r="CC727" s="13" t="s">
        <v>154</v>
      </c>
      <c r="CD727" s="13">
        <v>463</v>
      </c>
      <c r="CG727" s="13" t="s">
        <v>1497</v>
      </c>
    </row>
    <row r="728" spans="1:85">
      <c r="A728" s="13" t="s">
        <v>1898</v>
      </c>
      <c r="B728" s="13" t="s">
        <v>1898</v>
      </c>
      <c r="C728" s="14" t="s">
        <v>1503</v>
      </c>
      <c r="D728" s="14" t="s">
        <v>827</v>
      </c>
      <c r="E728" s="13" t="s">
        <v>799</v>
      </c>
      <c r="F728" s="13" t="s">
        <v>2831</v>
      </c>
      <c r="G728" s="13" t="s">
        <v>673</v>
      </c>
      <c r="H728" s="13" t="s">
        <v>2827</v>
      </c>
      <c r="J728" s="14" t="s">
        <v>703</v>
      </c>
      <c r="K728" s="14" t="s">
        <v>2828</v>
      </c>
      <c r="L728" s="14" t="s">
        <v>585</v>
      </c>
      <c r="M728" s="13" t="s">
        <v>2829</v>
      </c>
      <c r="N728" s="13">
        <v>36</v>
      </c>
      <c r="O728" s="2">
        <f t="shared" si="62"/>
        <v>0.5714285714285714</v>
      </c>
      <c r="P728" s="13">
        <v>7</v>
      </c>
      <c r="Q728" s="17">
        <f t="shared" si="65"/>
        <v>0.2413793103448276</v>
      </c>
      <c r="R728" s="13">
        <v>63</v>
      </c>
      <c r="S728" s="13">
        <v>29</v>
      </c>
      <c r="Y728" s="13">
        <v>65</v>
      </c>
      <c r="AD728" s="13">
        <v>50</v>
      </c>
      <c r="AG728" s="13" t="s">
        <v>641</v>
      </c>
      <c r="BG728" s="28">
        <v>5.3760000000000003</v>
      </c>
      <c r="BI728" s="13">
        <v>3.569</v>
      </c>
      <c r="BJ728" s="13">
        <v>7.4219999999999997</v>
      </c>
      <c r="BR728" s="13">
        <v>3.1680000000000001</v>
      </c>
      <c r="BT728" s="28">
        <v>2.4220000000000002</v>
      </c>
      <c r="BU728" s="28">
        <v>4.726</v>
      </c>
      <c r="BV728" s="28"/>
      <c r="BW728" s="28"/>
      <c r="BX728" s="13" t="s">
        <v>635</v>
      </c>
      <c r="BY728" s="13" t="s">
        <v>1499</v>
      </c>
      <c r="BZ728" s="13" t="s">
        <v>1500</v>
      </c>
      <c r="CA728" s="13">
        <v>2021</v>
      </c>
      <c r="CB728" s="13" t="s">
        <v>119</v>
      </c>
      <c r="CC728" s="13" t="s">
        <v>26</v>
      </c>
      <c r="CD728" s="13">
        <v>8</v>
      </c>
      <c r="CE728" s="13">
        <v>8</v>
      </c>
      <c r="CF728" s="13" t="s">
        <v>1501</v>
      </c>
      <c r="CG728" s="13" t="s">
        <v>1502</v>
      </c>
    </row>
    <row r="729" spans="1:85">
      <c r="A729" s="13" t="s">
        <v>1898</v>
      </c>
      <c r="B729" s="13" t="s">
        <v>1898</v>
      </c>
      <c r="C729" s="14" t="s">
        <v>1503</v>
      </c>
      <c r="D729" s="14" t="s">
        <v>827</v>
      </c>
      <c r="E729" s="13" t="s">
        <v>799</v>
      </c>
      <c r="F729" s="13" t="s">
        <v>2831</v>
      </c>
      <c r="G729" s="13" t="s">
        <v>672</v>
      </c>
      <c r="H729" s="13" t="s">
        <v>675</v>
      </c>
      <c r="J729" s="14" t="s">
        <v>703</v>
      </c>
      <c r="K729" s="14" t="s">
        <v>2828</v>
      </c>
      <c r="L729" s="14" t="s">
        <v>585</v>
      </c>
      <c r="N729" s="13">
        <v>36</v>
      </c>
      <c r="O729" s="2">
        <f t="shared" si="62"/>
        <v>0.5714285714285714</v>
      </c>
      <c r="P729" s="13">
        <v>7</v>
      </c>
      <c r="Q729" s="17">
        <f t="shared" si="65"/>
        <v>0.2413793103448276</v>
      </c>
      <c r="R729" s="13">
        <v>63</v>
      </c>
      <c r="S729" s="13">
        <v>29</v>
      </c>
      <c r="Y729" s="13">
        <v>65</v>
      </c>
      <c r="AD729" s="13">
        <v>50</v>
      </c>
      <c r="AG729" s="13" t="s">
        <v>639</v>
      </c>
      <c r="BG729" s="13">
        <v>4357.8</v>
      </c>
      <c r="BI729" s="13">
        <v>1768.3</v>
      </c>
      <c r="BJ729" s="13">
        <v>6429.1</v>
      </c>
      <c r="BR729" s="13">
        <v>376.6</v>
      </c>
      <c r="BT729" s="13">
        <v>240.7</v>
      </c>
      <c r="BU729" s="13">
        <v>557.1</v>
      </c>
      <c r="BX729" s="13" t="s">
        <v>635</v>
      </c>
      <c r="BY729" s="13" t="s">
        <v>1499</v>
      </c>
      <c r="BZ729" s="13" t="s">
        <v>1500</v>
      </c>
      <c r="CA729" s="13">
        <v>2021</v>
      </c>
      <c r="CB729" s="13" t="s">
        <v>119</v>
      </c>
      <c r="CC729" s="13" t="s">
        <v>26</v>
      </c>
      <c r="CD729" s="13">
        <v>8</v>
      </c>
      <c r="CE729" s="13">
        <v>8</v>
      </c>
      <c r="CF729" s="13" t="s">
        <v>1501</v>
      </c>
      <c r="CG729" s="13" t="s">
        <v>1502</v>
      </c>
    </row>
    <row r="730" spans="1:85">
      <c r="A730" s="13" t="s">
        <v>1898</v>
      </c>
      <c r="B730" s="13" t="s">
        <v>1898</v>
      </c>
      <c r="C730" s="14" t="s">
        <v>1503</v>
      </c>
      <c r="D730" s="14" t="s">
        <v>827</v>
      </c>
      <c r="E730" s="13" t="s">
        <v>2832</v>
      </c>
      <c r="F730" s="13" t="s">
        <v>2833</v>
      </c>
      <c r="G730" s="13" t="s">
        <v>673</v>
      </c>
      <c r="H730" s="13" t="s">
        <v>2827</v>
      </c>
      <c r="J730" s="14" t="s">
        <v>703</v>
      </c>
      <c r="K730" s="14" t="s">
        <v>2828</v>
      </c>
      <c r="L730" s="14" t="s">
        <v>585</v>
      </c>
      <c r="M730" s="13" t="s">
        <v>2829</v>
      </c>
      <c r="N730" s="13">
        <v>36</v>
      </c>
      <c r="O730" s="2">
        <f t="shared" si="62"/>
        <v>0.5714285714285714</v>
      </c>
      <c r="P730" s="13">
        <v>17</v>
      </c>
      <c r="Q730" s="17">
        <f t="shared" si="65"/>
        <v>0.65384615384615385</v>
      </c>
      <c r="R730" s="13">
        <v>63</v>
      </c>
      <c r="S730" s="13">
        <v>26</v>
      </c>
      <c r="Y730" s="13">
        <v>65</v>
      </c>
      <c r="AD730" s="13">
        <v>62.5</v>
      </c>
      <c r="AG730" s="13" t="s">
        <v>641</v>
      </c>
      <c r="BG730" s="28">
        <v>5.3760000000000003</v>
      </c>
      <c r="BI730" s="13">
        <v>3.569</v>
      </c>
      <c r="BJ730" s="13">
        <v>7.4219999999999997</v>
      </c>
      <c r="BR730" s="13">
        <v>1.7929999999999999</v>
      </c>
      <c r="BT730" s="13">
        <v>1.2869999999999999</v>
      </c>
      <c r="BU730" s="13">
        <v>2.226</v>
      </c>
      <c r="BX730" s="13" t="s">
        <v>635</v>
      </c>
      <c r="BY730" s="13" t="s">
        <v>1499</v>
      </c>
      <c r="BZ730" s="13" t="s">
        <v>1500</v>
      </c>
      <c r="CA730" s="13">
        <v>2021</v>
      </c>
      <c r="CB730" s="13" t="s">
        <v>119</v>
      </c>
      <c r="CC730" s="13" t="s">
        <v>26</v>
      </c>
      <c r="CD730" s="13">
        <v>8</v>
      </c>
      <c r="CE730" s="13">
        <v>8</v>
      </c>
      <c r="CF730" s="13" t="s">
        <v>1501</v>
      </c>
      <c r="CG730" s="13" t="s">
        <v>1502</v>
      </c>
    </row>
    <row r="731" spans="1:85">
      <c r="A731" s="13" t="s">
        <v>1898</v>
      </c>
      <c r="B731" s="13" t="s">
        <v>1898</v>
      </c>
      <c r="C731" s="14" t="s">
        <v>1503</v>
      </c>
      <c r="D731" s="14" t="s">
        <v>827</v>
      </c>
      <c r="E731" s="13" t="s">
        <v>2832</v>
      </c>
      <c r="F731" s="13" t="s">
        <v>2833</v>
      </c>
      <c r="G731" s="13" t="s">
        <v>672</v>
      </c>
      <c r="H731" s="13" t="s">
        <v>675</v>
      </c>
      <c r="J731" s="14" t="s">
        <v>703</v>
      </c>
      <c r="K731" s="14" t="s">
        <v>2828</v>
      </c>
      <c r="L731" s="14" t="s">
        <v>585</v>
      </c>
      <c r="N731" s="13">
        <v>36</v>
      </c>
      <c r="O731" s="2">
        <f t="shared" si="62"/>
        <v>0.5714285714285714</v>
      </c>
      <c r="P731" s="13">
        <v>17</v>
      </c>
      <c r="Q731" s="17">
        <f t="shared" si="65"/>
        <v>0.65384615384615385</v>
      </c>
      <c r="R731" s="13">
        <v>63</v>
      </c>
      <c r="S731" s="13">
        <v>26</v>
      </c>
      <c r="Y731" s="13">
        <v>65</v>
      </c>
      <c r="AD731" s="13">
        <v>62.5</v>
      </c>
      <c r="AG731" s="13" t="s">
        <v>639</v>
      </c>
      <c r="BG731" s="13">
        <v>4357.8</v>
      </c>
      <c r="BI731" s="13">
        <v>1768.3</v>
      </c>
      <c r="BJ731" s="13">
        <v>6429.1</v>
      </c>
      <c r="BR731" s="13">
        <v>2923.4</v>
      </c>
      <c r="BT731" s="13">
        <v>1469.3</v>
      </c>
      <c r="BU731" s="13">
        <v>6688.4</v>
      </c>
      <c r="BX731" s="13">
        <v>0.55000000000000004</v>
      </c>
      <c r="BY731" s="13" t="s">
        <v>1499</v>
      </c>
      <c r="BZ731" s="13" t="s">
        <v>1500</v>
      </c>
      <c r="CA731" s="13">
        <v>2021</v>
      </c>
      <c r="CB731" s="13" t="s">
        <v>119</v>
      </c>
      <c r="CC731" s="13" t="s">
        <v>26</v>
      </c>
      <c r="CD731" s="13">
        <v>8</v>
      </c>
      <c r="CE731" s="13">
        <v>8</v>
      </c>
      <c r="CF731" s="13" t="s">
        <v>1501</v>
      </c>
      <c r="CG731" s="13" t="s">
        <v>1502</v>
      </c>
    </row>
    <row r="732" spans="1:85">
      <c r="A732" s="13" t="s">
        <v>1898</v>
      </c>
      <c r="B732" s="13" t="s">
        <v>1898</v>
      </c>
      <c r="C732" s="14" t="s">
        <v>1503</v>
      </c>
      <c r="D732" s="14" t="s">
        <v>827</v>
      </c>
      <c r="E732" s="13" t="s">
        <v>2834</v>
      </c>
      <c r="F732" s="13" t="s">
        <v>2835</v>
      </c>
      <c r="G732" s="13" t="s">
        <v>673</v>
      </c>
      <c r="H732" s="13" t="s">
        <v>2827</v>
      </c>
      <c r="J732" s="14" t="s">
        <v>703</v>
      </c>
      <c r="K732" s="14" t="s">
        <v>2828</v>
      </c>
      <c r="L732" s="14" t="s">
        <v>585</v>
      </c>
      <c r="M732" s="13" t="s">
        <v>2829</v>
      </c>
      <c r="N732" s="13">
        <v>36</v>
      </c>
      <c r="O732" s="2">
        <f t="shared" si="62"/>
        <v>0.5714285714285714</v>
      </c>
      <c r="P732" s="13">
        <v>13</v>
      </c>
      <c r="Q732" s="17">
        <f t="shared" si="65"/>
        <v>0.9285714285714286</v>
      </c>
      <c r="R732" s="13">
        <v>63</v>
      </c>
      <c r="S732" s="13">
        <v>14</v>
      </c>
      <c r="Y732" s="13">
        <v>65</v>
      </c>
      <c r="AD732" s="13">
        <v>65</v>
      </c>
      <c r="AG732" s="13" t="s">
        <v>641</v>
      </c>
      <c r="BG732" s="28">
        <v>5.3760000000000003</v>
      </c>
      <c r="BI732" s="13">
        <v>3.569</v>
      </c>
      <c r="BJ732" s="13">
        <v>7.4219999999999997</v>
      </c>
      <c r="BR732" s="13">
        <v>2.21</v>
      </c>
      <c r="BT732" s="28">
        <v>1.3129999999999999</v>
      </c>
      <c r="BU732" s="28">
        <v>4.2930000000000001</v>
      </c>
      <c r="BV732" s="28"/>
      <c r="BW732" s="28"/>
      <c r="BX732" s="13">
        <v>7.0000000000000001E-3</v>
      </c>
      <c r="BY732" s="13" t="s">
        <v>1499</v>
      </c>
      <c r="BZ732" s="13" t="s">
        <v>1500</v>
      </c>
      <c r="CA732" s="13">
        <v>2021</v>
      </c>
      <c r="CB732" s="13" t="s">
        <v>119</v>
      </c>
      <c r="CC732" s="13" t="s">
        <v>26</v>
      </c>
      <c r="CD732" s="13">
        <v>8</v>
      </c>
      <c r="CE732" s="13">
        <v>8</v>
      </c>
      <c r="CF732" s="13" t="s">
        <v>1501</v>
      </c>
      <c r="CG732" s="13" t="s">
        <v>1502</v>
      </c>
    </row>
    <row r="733" spans="1:85">
      <c r="A733" s="13" t="s">
        <v>1898</v>
      </c>
      <c r="B733" s="13" t="s">
        <v>1898</v>
      </c>
      <c r="C733" s="14" t="s">
        <v>1503</v>
      </c>
      <c r="D733" s="14" t="s">
        <v>827</v>
      </c>
      <c r="E733" s="13" t="s">
        <v>2834</v>
      </c>
      <c r="F733" s="13" t="s">
        <v>2835</v>
      </c>
      <c r="G733" s="13" t="s">
        <v>672</v>
      </c>
      <c r="H733" s="13" t="s">
        <v>675</v>
      </c>
      <c r="J733" s="14" t="s">
        <v>703</v>
      </c>
      <c r="K733" s="14" t="s">
        <v>2828</v>
      </c>
      <c r="L733" s="14" t="s">
        <v>585</v>
      </c>
      <c r="N733" s="13">
        <v>36</v>
      </c>
      <c r="O733" s="2">
        <f t="shared" si="62"/>
        <v>0.5714285714285714</v>
      </c>
      <c r="P733" s="13">
        <v>13</v>
      </c>
      <c r="Q733" s="17">
        <f t="shared" si="65"/>
        <v>0.9285714285714286</v>
      </c>
      <c r="R733" s="13">
        <v>63</v>
      </c>
      <c r="S733" s="13">
        <v>14</v>
      </c>
      <c r="Y733" s="13">
        <v>65</v>
      </c>
      <c r="AD733" s="13">
        <v>65</v>
      </c>
      <c r="AG733" s="13" t="s">
        <v>639</v>
      </c>
      <c r="BG733" s="13">
        <v>4357.8</v>
      </c>
      <c r="BI733" s="13">
        <v>1768.3</v>
      </c>
      <c r="BJ733" s="13">
        <v>6429.1</v>
      </c>
      <c r="BR733" s="13">
        <v>1016.7</v>
      </c>
      <c r="BT733" s="28">
        <v>775.9</v>
      </c>
      <c r="BU733" s="28">
        <v>1294.4000000000001</v>
      </c>
      <c r="BV733" s="28"/>
      <c r="BW733" s="28"/>
      <c r="BX733" s="13" t="s">
        <v>635</v>
      </c>
      <c r="BY733" s="13" t="s">
        <v>1499</v>
      </c>
      <c r="BZ733" s="13" t="s">
        <v>1500</v>
      </c>
      <c r="CA733" s="13">
        <v>2021</v>
      </c>
      <c r="CB733" s="13" t="s">
        <v>119</v>
      </c>
      <c r="CC733" s="13" t="s">
        <v>26</v>
      </c>
      <c r="CD733" s="13">
        <v>8</v>
      </c>
      <c r="CE733" s="13">
        <v>8</v>
      </c>
      <c r="CF733" s="13" t="s">
        <v>1501</v>
      </c>
      <c r="CG733" s="13" t="s">
        <v>1502</v>
      </c>
    </row>
    <row r="734" spans="1:85">
      <c r="A734" s="13" t="s">
        <v>1898</v>
      </c>
      <c r="B734" s="13" t="s">
        <v>1898</v>
      </c>
      <c r="C734" s="14" t="s">
        <v>1503</v>
      </c>
      <c r="D734" s="14" t="s">
        <v>827</v>
      </c>
      <c r="E734" s="13" t="s">
        <v>909</v>
      </c>
      <c r="F734" s="13" t="s">
        <v>2835</v>
      </c>
      <c r="G734" s="13" t="s">
        <v>673</v>
      </c>
      <c r="H734" s="13" t="s">
        <v>2827</v>
      </c>
      <c r="J734" s="14" t="s">
        <v>703</v>
      </c>
      <c r="K734" s="14" t="s">
        <v>2828</v>
      </c>
      <c r="L734" s="14" t="s">
        <v>585</v>
      </c>
      <c r="M734" s="13" t="s">
        <v>2829</v>
      </c>
      <c r="N734" s="13">
        <v>36</v>
      </c>
      <c r="O734" s="2">
        <f t="shared" si="62"/>
        <v>0.5714285714285714</v>
      </c>
      <c r="P734" s="13">
        <v>12</v>
      </c>
      <c r="Q734" s="17">
        <f t="shared" si="65"/>
        <v>0.6</v>
      </c>
      <c r="R734" s="13">
        <v>63</v>
      </c>
      <c r="S734" s="13">
        <v>20</v>
      </c>
      <c r="Y734" s="13">
        <v>65</v>
      </c>
      <c r="AD734" s="13">
        <v>65</v>
      </c>
      <c r="AG734" s="13" t="s">
        <v>641</v>
      </c>
      <c r="BG734" s="28">
        <v>5.3760000000000003</v>
      </c>
      <c r="BI734" s="13">
        <v>3.569</v>
      </c>
      <c r="BJ734" s="13">
        <v>7.4219999999999997</v>
      </c>
      <c r="BR734" s="13">
        <v>5.6529999999999996</v>
      </c>
      <c r="BT734" s="13">
        <v>2.9820000000000002</v>
      </c>
      <c r="BU734" s="13">
        <v>7.6539999999999999</v>
      </c>
      <c r="BY734" s="13" t="s">
        <v>1499</v>
      </c>
      <c r="BZ734" s="13" t="s">
        <v>1500</v>
      </c>
      <c r="CA734" s="13">
        <v>2021</v>
      </c>
      <c r="CB734" s="13" t="s">
        <v>119</v>
      </c>
      <c r="CC734" s="13" t="s">
        <v>26</v>
      </c>
      <c r="CD734" s="13">
        <v>8</v>
      </c>
      <c r="CE734" s="13">
        <v>8</v>
      </c>
      <c r="CF734" s="13" t="s">
        <v>1501</v>
      </c>
      <c r="CG734" s="13" t="s">
        <v>1502</v>
      </c>
    </row>
    <row r="735" spans="1:85">
      <c r="A735" s="13" t="s">
        <v>1898</v>
      </c>
      <c r="B735" s="13" t="s">
        <v>1898</v>
      </c>
      <c r="C735" s="14" t="s">
        <v>1503</v>
      </c>
      <c r="D735" s="14" t="s">
        <v>827</v>
      </c>
      <c r="E735" s="13" t="s">
        <v>909</v>
      </c>
      <c r="F735" s="13" t="s">
        <v>2835</v>
      </c>
      <c r="G735" s="13" t="s">
        <v>672</v>
      </c>
      <c r="H735" s="13" t="s">
        <v>675</v>
      </c>
      <c r="J735" s="14" t="s">
        <v>703</v>
      </c>
      <c r="K735" s="14" t="s">
        <v>2828</v>
      </c>
      <c r="L735" s="14" t="s">
        <v>585</v>
      </c>
      <c r="N735" s="13">
        <v>36</v>
      </c>
      <c r="O735" s="2">
        <f t="shared" si="62"/>
        <v>0.5714285714285714</v>
      </c>
      <c r="P735" s="13">
        <v>12</v>
      </c>
      <c r="Q735" s="17">
        <f t="shared" si="65"/>
        <v>0.6</v>
      </c>
      <c r="R735" s="13">
        <v>63</v>
      </c>
      <c r="S735" s="13">
        <v>20</v>
      </c>
      <c r="Y735" s="13">
        <v>65</v>
      </c>
      <c r="AD735" s="13">
        <v>30.5</v>
      </c>
      <c r="AG735" s="13" t="s">
        <v>639</v>
      </c>
      <c r="BG735" s="13">
        <v>4357.8</v>
      </c>
      <c r="BI735" s="13">
        <v>1768.3</v>
      </c>
      <c r="BJ735" s="13">
        <v>6429.1</v>
      </c>
      <c r="BR735" s="13">
        <v>168</v>
      </c>
      <c r="BT735" s="13">
        <v>141</v>
      </c>
      <c r="BU735" s="13">
        <v>203.5</v>
      </c>
      <c r="BY735" s="13" t="s">
        <v>1499</v>
      </c>
      <c r="BZ735" s="13" t="s">
        <v>1500</v>
      </c>
      <c r="CA735" s="13">
        <v>2021</v>
      </c>
      <c r="CB735" s="13" t="s">
        <v>119</v>
      </c>
      <c r="CC735" s="13" t="s">
        <v>26</v>
      </c>
      <c r="CD735" s="13">
        <v>8</v>
      </c>
      <c r="CE735" s="13">
        <v>8</v>
      </c>
      <c r="CF735" s="13" t="s">
        <v>1501</v>
      </c>
      <c r="CG735" s="13" t="s">
        <v>1502</v>
      </c>
    </row>
    <row r="736" spans="1:85">
      <c r="A736" s="13" t="s">
        <v>1898</v>
      </c>
      <c r="B736" s="13" t="s">
        <v>1898</v>
      </c>
      <c r="C736" s="14" t="s">
        <v>1503</v>
      </c>
      <c r="D736" s="14" t="s">
        <v>827</v>
      </c>
      <c r="E736" s="13" t="s">
        <v>939</v>
      </c>
      <c r="F736" s="13" t="s">
        <v>939</v>
      </c>
      <c r="G736" s="13" t="s">
        <v>673</v>
      </c>
      <c r="H736" s="13" t="s">
        <v>2827</v>
      </c>
      <c r="J736" s="14" t="s">
        <v>703</v>
      </c>
      <c r="K736" s="14" t="s">
        <v>2828</v>
      </c>
      <c r="L736" s="14" t="s">
        <v>585</v>
      </c>
      <c r="M736" s="13" t="s">
        <v>2829</v>
      </c>
      <c r="N736" s="13">
        <v>36</v>
      </c>
      <c r="O736" s="2">
        <f t="shared" si="62"/>
        <v>0.5714285714285714</v>
      </c>
      <c r="P736" s="13">
        <v>8</v>
      </c>
      <c r="Q736" s="17">
        <f t="shared" si="65"/>
        <v>1</v>
      </c>
      <c r="R736" s="13">
        <v>63</v>
      </c>
      <c r="S736" s="13">
        <v>8</v>
      </c>
      <c r="Y736" s="13">
        <v>65</v>
      </c>
      <c r="AD736" s="13">
        <v>56.5</v>
      </c>
      <c r="AG736" s="13" t="s">
        <v>641</v>
      </c>
      <c r="BG736" s="28">
        <v>5.3760000000000003</v>
      </c>
      <c r="BI736" s="13">
        <v>3.569</v>
      </c>
      <c r="BJ736" s="13">
        <v>7.4219999999999997</v>
      </c>
      <c r="BR736" s="13">
        <v>10.224</v>
      </c>
      <c r="BT736" s="13">
        <v>8.8960000000000008</v>
      </c>
      <c r="BU736" s="13">
        <v>14.584</v>
      </c>
      <c r="BY736" s="13" t="s">
        <v>1499</v>
      </c>
      <c r="BZ736" s="13" t="s">
        <v>1500</v>
      </c>
      <c r="CA736" s="13">
        <v>2021</v>
      </c>
      <c r="CB736" s="13" t="s">
        <v>119</v>
      </c>
      <c r="CC736" s="13" t="s">
        <v>26</v>
      </c>
      <c r="CD736" s="13">
        <v>8</v>
      </c>
      <c r="CE736" s="13">
        <v>8</v>
      </c>
      <c r="CF736" s="13" t="s">
        <v>1501</v>
      </c>
      <c r="CG736" s="13" t="s">
        <v>1502</v>
      </c>
    </row>
    <row r="737" spans="1:85">
      <c r="A737" s="13" t="s">
        <v>1730</v>
      </c>
      <c r="B737" s="13" t="s">
        <v>1899</v>
      </c>
      <c r="C737" s="13" t="s">
        <v>1989</v>
      </c>
      <c r="D737" s="13" t="s">
        <v>971</v>
      </c>
      <c r="E737" s="13" t="s">
        <v>630</v>
      </c>
      <c r="F737" s="13" t="s">
        <v>970</v>
      </c>
      <c r="G737" s="13" t="s">
        <v>674</v>
      </c>
      <c r="H737" s="13" t="s">
        <v>675</v>
      </c>
      <c r="J737" s="13" t="s">
        <v>637</v>
      </c>
      <c r="K737" s="14" t="s">
        <v>4094</v>
      </c>
      <c r="L737" s="13" t="s">
        <v>652</v>
      </c>
      <c r="N737" s="13">
        <v>30</v>
      </c>
      <c r="O737" s="2">
        <f t="shared" si="62"/>
        <v>0.55555555555555558</v>
      </c>
      <c r="P737" s="13">
        <v>69</v>
      </c>
      <c r="Q737" s="17">
        <f t="shared" si="65"/>
        <v>0.41818181818181815</v>
      </c>
      <c r="R737" s="13">
        <v>54</v>
      </c>
      <c r="S737" s="13">
        <v>165</v>
      </c>
      <c r="V737" s="13">
        <v>54</v>
      </c>
      <c r="Y737" s="13">
        <v>64.400000000000006</v>
      </c>
      <c r="Z737" s="13">
        <v>58</v>
      </c>
      <c r="AA737" s="13">
        <v>71.5</v>
      </c>
      <c r="AD737" s="13">
        <v>56.5</v>
      </c>
      <c r="AE737" s="13">
        <v>45.9</v>
      </c>
      <c r="AF737" s="13">
        <v>66.3</v>
      </c>
      <c r="AG737" s="13" t="s">
        <v>639</v>
      </c>
      <c r="AH737" s="13">
        <v>19</v>
      </c>
      <c r="AJ737" s="13">
        <v>83</v>
      </c>
      <c r="AM737" s="13">
        <v>88</v>
      </c>
      <c r="AP737" s="13">
        <v>0.93</v>
      </c>
      <c r="BB737" s="13">
        <v>64.52</v>
      </c>
      <c r="BC737" s="13">
        <v>63.92</v>
      </c>
      <c r="BG737" s="13">
        <v>39.49</v>
      </c>
      <c r="BI737" s="13">
        <v>23.89</v>
      </c>
      <c r="BJ737" s="13">
        <v>74.42</v>
      </c>
      <c r="BM737" s="13">
        <v>12.08</v>
      </c>
      <c r="BN737" s="13">
        <v>7.57</v>
      </c>
      <c r="BR737" s="13">
        <v>9.8800000000000008</v>
      </c>
      <c r="BT737" s="13">
        <v>7.42</v>
      </c>
      <c r="BU737" s="13">
        <v>13.46</v>
      </c>
      <c r="BX737" s="13" t="s">
        <v>701</v>
      </c>
      <c r="BY737" s="13" t="s">
        <v>424</v>
      </c>
      <c r="BZ737" s="13" t="s">
        <v>425</v>
      </c>
      <c r="CA737" s="13">
        <v>2021</v>
      </c>
      <c r="CB737" s="13" t="s">
        <v>162</v>
      </c>
      <c r="CC737" s="13" t="s">
        <v>195</v>
      </c>
      <c r="CD737" s="13">
        <v>92</v>
      </c>
      <c r="CE737" s="13">
        <v>12</v>
      </c>
      <c r="CF737" s="13" t="s">
        <v>426</v>
      </c>
      <c r="CG737" s="13" t="s">
        <v>427</v>
      </c>
    </row>
    <row r="738" spans="1:85">
      <c r="A738" s="13" t="s">
        <v>1730</v>
      </c>
      <c r="B738" s="13" t="s">
        <v>1899</v>
      </c>
      <c r="C738" s="13" t="s">
        <v>1990</v>
      </c>
      <c r="D738" s="13" t="s">
        <v>972</v>
      </c>
      <c r="E738" s="13" t="s">
        <v>630</v>
      </c>
      <c r="F738" s="13" t="s">
        <v>970</v>
      </c>
      <c r="G738" s="13" t="s">
        <v>674</v>
      </c>
      <c r="H738" s="13" t="s">
        <v>675</v>
      </c>
      <c r="J738" s="13" t="s">
        <v>637</v>
      </c>
      <c r="K738" s="14" t="s">
        <v>4094</v>
      </c>
      <c r="L738" s="13" t="s">
        <v>652</v>
      </c>
      <c r="N738" s="13">
        <v>26</v>
      </c>
      <c r="O738" s="2">
        <f t="shared" ref="O738:O769" si="66">N738/R738</f>
        <v>0.54166666666666663</v>
      </c>
      <c r="P738" s="13">
        <v>69</v>
      </c>
      <c r="Q738" s="17">
        <f t="shared" si="65"/>
        <v>0.41818181818181815</v>
      </c>
      <c r="R738" s="13">
        <v>48</v>
      </c>
      <c r="S738" s="13">
        <v>165</v>
      </c>
      <c r="V738" s="13">
        <v>48</v>
      </c>
      <c r="Y738" s="13">
        <v>62.1</v>
      </c>
      <c r="Z738" s="13">
        <v>58.5</v>
      </c>
      <c r="AA738" s="13">
        <v>66.2</v>
      </c>
      <c r="AD738" s="13">
        <v>56.5</v>
      </c>
      <c r="AE738" s="13">
        <v>45.9</v>
      </c>
      <c r="AF738" s="13">
        <v>66.3</v>
      </c>
      <c r="AG738" s="13" t="s">
        <v>639</v>
      </c>
      <c r="AH738" s="13">
        <v>27.48</v>
      </c>
      <c r="AJ738" s="13">
        <v>94</v>
      </c>
      <c r="AM738" s="13">
        <v>97</v>
      </c>
      <c r="AP738" s="13">
        <v>0.97</v>
      </c>
      <c r="BB738" s="13">
        <v>99.99</v>
      </c>
      <c r="BC738" s="13">
        <v>84.4</v>
      </c>
      <c r="BG738" s="13">
        <v>86.21</v>
      </c>
      <c r="BI738" s="13">
        <v>58.17</v>
      </c>
      <c r="BJ738" s="13">
        <v>118.13</v>
      </c>
      <c r="BM738" s="13">
        <v>12.08</v>
      </c>
      <c r="BN738" s="13">
        <v>7.57</v>
      </c>
      <c r="BR738" s="13">
        <v>9.8800000000000008</v>
      </c>
      <c r="BT738" s="13">
        <v>7.42</v>
      </c>
      <c r="BU738" s="13">
        <v>13.46</v>
      </c>
      <c r="BX738" s="13" t="s">
        <v>701</v>
      </c>
      <c r="BY738" s="13" t="s">
        <v>424</v>
      </c>
      <c r="BZ738" s="13" t="s">
        <v>425</v>
      </c>
      <c r="CA738" s="13">
        <v>2021</v>
      </c>
      <c r="CB738" s="13" t="s">
        <v>162</v>
      </c>
      <c r="CC738" s="13" t="s">
        <v>195</v>
      </c>
      <c r="CD738" s="13">
        <v>92</v>
      </c>
      <c r="CE738" s="13">
        <v>12</v>
      </c>
      <c r="CF738" s="13" t="s">
        <v>426</v>
      </c>
      <c r="CG738" s="13" t="s">
        <v>427</v>
      </c>
    </row>
    <row r="739" spans="1:85">
      <c r="A739" s="13" t="s">
        <v>1731</v>
      </c>
      <c r="C739" s="13" t="s">
        <v>433</v>
      </c>
      <c r="D739" s="13" t="s">
        <v>830</v>
      </c>
      <c r="E739" s="13" t="s">
        <v>630</v>
      </c>
      <c r="G739" s="13" t="s">
        <v>2938</v>
      </c>
      <c r="H739" s="13" t="s">
        <v>976</v>
      </c>
      <c r="J739" s="13" t="s">
        <v>974</v>
      </c>
      <c r="K739" s="13" t="s">
        <v>3638</v>
      </c>
      <c r="L739" s="13" t="s">
        <v>1975</v>
      </c>
      <c r="M739" s="13" t="s">
        <v>975</v>
      </c>
      <c r="N739" s="13">
        <v>6</v>
      </c>
      <c r="O739" s="2">
        <f t="shared" si="66"/>
        <v>0.42857142857142855</v>
      </c>
      <c r="R739" s="13">
        <v>14</v>
      </c>
      <c r="S739" s="13">
        <v>12</v>
      </c>
      <c r="W739" s="13">
        <v>61.5</v>
      </c>
      <c r="X739" s="13">
        <v>11.38</v>
      </c>
      <c r="Y739" s="13">
        <v>64</v>
      </c>
      <c r="Z739" s="13">
        <v>56.25</v>
      </c>
      <c r="AA739" s="13">
        <v>69.5</v>
      </c>
      <c r="AJ739" s="13">
        <v>92.9</v>
      </c>
      <c r="AM739" s="13">
        <v>91.7</v>
      </c>
      <c r="AP739" s="13">
        <v>0.97599999999999998</v>
      </c>
      <c r="AR739" s="13">
        <v>0.93100000000000005</v>
      </c>
      <c r="AS739" s="13">
        <v>1</v>
      </c>
      <c r="BG739" s="13">
        <v>5184</v>
      </c>
      <c r="BR739" s="13">
        <v>1406.25</v>
      </c>
      <c r="BX739" s="13">
        <v>5.8640000000000001E-5</v>
      </c>
      <c r="BY739" s="13" t="s">
        <v>428</v>
      </c>
      <c r="BZ739" s="13" t="s">
        <v>429</v>
      </c>
      <c r="CA739" s="13">
        <v>2019</v>
      </c>
      <c r="CC739" s="13" t="s">
        <v>430</v>
      </c>
      <c r="CD739" s="13">
        <v>1708</v>
      </c>
      <c r="CF739" s="13" t="s">
        <v>431</v>
      </c>
      <c r="CG739" s="13" t="s">
        <v>432</v>
      </c>
    </row>
    <row r="740" spans="1:85">
      <c r="A740" s="13" t="s">
        <v>1731</v>
      </c>
      <c r="C740" s="13" t="s">
        <v>433</v>
      </c>
      <c r="D740" s="13" t="s">
        <v>830</v>
      </c>
      <c r="E740" s="13" t="s">
        <v>630</v>
      </c>
      <c r="G740" s="13" t="s">
        <v>2938</v>
      </c>
      <c r="H740" s="13" t="s">
        <v>977</v>
      </c>
      <c r="J740" s="13" t="s">
        <v>974</v>
      </c>
      <c r="K740" s="13" t="s">
        <v>3638</v>
      </c>
      <c r="L740" s="13" t="s">
        <v>1975</v>
      </c>
      <c r="M740" s="13" t="s">
        <v>975</v>
      </c>
      <c r="N740" s="13">
        <v>6</v>
      </c>
      <c r="O740" s="2">
        <f t="shared" si="66"/>
        <v>0.42857142857142855</v>
      </c>
      <c r="R740" s="13">
        <v>14</v>
      </c>
      <c r="S740" s="13">
        <v>12</v>
      </c>
      <c r="W740" s="13">
        <v>61.5</v>
      </c>
      <c r="X740" s="13">
        <v>11.38</v>
      </c>
      <c r="Y740" s="13">
        <v>64</v>
      </c>
      <c r="Z740" s="13">
        <v>56.25</v>
      </c>
      <c r="AA740" s="13">
        <v>69.5</v>
      </c>
      <c r="AJ740" s="13">
        <v>80</v>
      </c>
      <c r="AM740" s="13">
        <v>88.9</v>
      </c>
      <c r="AP740" s="13">
        <v>0.97599999999999998</v>
      </c>
      <c r="AR740" s="13">
        <v>0.93100000000000005</v>
      </c>
      <c r="AS740" s="13">
        <v>1</v>
      </c>
      <c r="BY740" s="13" t="s">
        <v>428</v>
      </c>
      <c r="BZ740" s="13" t="s">
        <v>429</v>
      </c>
      <c r="CA740" s="13">
        <v>2019</v>
      </c>
      <c r="CC740" s="13" t="s">
        <v>430</v>
      </c>
      <c r="CD740" s="13">
        <v>1708</v>
      </c>
      <c r="CF740" s="13" t="s">
        <v>431</v>
      </c>
      <c r="CG740" s="13" t="s">
        <v>432</v>
      </c>
    </row>
    <row r="741" spans="1:85">
      <c r="A741" s="13" t="s">
        <v>1731</v>
      </c>
      <c r="C741" s="13" t="s">
        <v>433</v>
      </c>
      <c r="D741" s="13" t="s">
        <v>830</v>
      </c>
      <c r="E741" s="13" t="s">
        <v>630</v>
      </c>
      <c r="G741" s="13" t="s">
        <v>2938</v>
      </c>
      <c r="H741" s="13" t="s">
        <v>684</v>
      </c>
      <c r="I741" s="13" t="s">
        <v>978</v>
      </c>
      <c r="J741" s="13" t="s">
        <v>974</v>
      </c>
      <c r="K741" s="13" t="s">
        <v>3638</v>
      </c>
      <c r="L741" s="13" t="s">
        <v>1975</v>
      </c>
      <c r="M741" s="13" t="s">
        <v>975</v>
      </c>
      <c r="N741" s="13">
        <v>6</v>
      </c>
      <c r="O741" s="2">
        <f t="shared" si="66"/>
        <v>0.42857142857142855</v>
      </c>
      <c r="R741" s="13">
        <v>14</v>
      </c>
      <c r="S741" s="13">
        <v>12</v>
      </c>
      <c r="W741" s="13">
        <v>61.5</v>
      </c>
      <c r="X741" s="13">
        <v>11.38</v>
      </c>
      <c r="Y741" s="13">
        <v>64</v>
      </c>
      <c r="Z741" s="13">
        <v>56.25</v>
      </c>
      <c r="AA741" s="13">
        <v>69.5</v>
      </c>
      <c r="AJ741" s="13">
        <v>92.9</v>
      </c>
      <c r="AM741" s="13">
        <v>100</v>
      </c>
      <c r="AP741" s="13">
        <v>0.98799999999999999</v>
      </c>
      <c r="AR741" s="13">
        <v>0.96</v>
      </c>
      <c r="AS741" s="13">
        <v>1</v>
      </c>
      <c r="BY741" s="13" t="s">
        <v>428</v>
      </c>
      <c r="BZ741" s="13" t="s">
        <v>429</v>
      </c>
      <c r="CA741" s="13">
        <v>2019</v>
      </c>
      <c r="CC741" s="13" t="s">
        <v>430</v>
      </c>
      <c r="CD741" s="13">
        <v>1708</v>
      </c>
      <c r="CF741" s="13" t="s">
        <v>431</v>
      </c>
      <c r="CG741" s="13" t="s">
        <v>432</v>
      </c>
    </row>
    <row r="742" spans="1:85">
      <c r="A742" s="13" t="s">
        <v>1732</v>
      </c>
      <c r="C742" s="13" t="s">
        <v>439</v>
      </c>
      <c r="D742" s="13" t="s">
        <v>979</v>
      </c>
      <c r="E742" s="13" t="s">
        <v>630</v>
      </c>
      <c r="G742" s="13" t="s">
        <v>672</v>
      </c>
      <c r="H742" s="13" t="s">
        <v>980</v>
      </c>
      <c r="J742" s="13" t="s">
        <v>669</v>
      </c>
      <c r="K742" s="13" t="s">
        <v>3639</v>
      </c>
      <c r="L742" s="13" t="s">
        <v>585</v>
      </c>
      <c r="N742" s="13">
        <v>10</v>
      </c>
      <c r="O742" s="2">
        <f t="shared" si="66"/>
        <v>0.66666666666666663</v>
      </c>
      <c r="P742" s="13">
        <v>14</v>
      </c>
      <c r="Q742" s="17">
        <f t="shared" ref="Q742:Q756" si="67">P742/S742</f>
        <v>0.7</v>
      </c>
      <c r="R742" s="13">
        <v>15</v>
      </c>
      <c r="S742" s="13">
        <v>20</v>
      </c>
      <c r="W742" s="13">
        <v>70.8</v>
      </c>
      <c r="X742" s="13">
        <v>5.58</v>
      </c>
      <c r="AB742" s="13">
        <v>68.75</v>
      </c>
      <c r="AC742" s="13">
        <v>6.38</v>
      </c>
      <c r="AG742" s="13" t="s">
        <v>639</v>
      </c>
      <c r="AP742" s="13">
        <v>0.54</v>
      </c>
      <c r="BB742" s="13">
        <v>823.12</v>
      </c>
      <c r="BC742" s="13">
        <v>254.32</v>
      </c>
      <c r="BM742" s="13">
        <v>840.14</v>
      </c>
      <c r="BN742" s="13">
        <v>178</v>
      </c>
      <c r="BY742" s="13" t="s">
        <v>434</v>
      </c>
      <c r="BZ742" s="13" t="s">
        <v>435</v>
      </c>
      <c r="CA742" s="13">
        <v>2021</v>
      </c>
      <c r="CB742" s="13" t="s">
        <v>162</v>
      </c>
      <c r="CC742" s="13" t="s">
        <v>436</v>
      </c>
      <c r="CD742" s="13">
        <v>36</v>
      </c>
      <c r="CE742" s="13">
        <v>12</v>
      </c>
      <c r="CF742" s="13" t="s">
        <v>437</v>
      </c>
      <c r="CG742" s="13" t="s">
        <v>438</v>
      </c>
    </row>
    <row r="743" spans="1:85">
      <c r="A743" s="13" t="s">
        <v>1732</v>
      </c>
      <c r="C743" s="13" t="s">
        <v>439</v>
      </c>
      <c r="D743" s="13" t="s">
        <v>979</v>
      </c>
      <c r="E743" s="13" t="s">
        <v>630</v>
      </c>
      <c r="G743" s="13" t="s">
        <v>673</v>
      </c>
      <c r="H743" s="13" t="s">
        <v>980</v>
      </c>
      <c r="J743" s="13" t="s">
        <v>669</v>
      </c>
      <c r="K743" s="13" t="s">
        <v>3639</v>
      </c>
      <c r="L743" s="13" t="s">
        <v>585</v>
      </c>
      <c r="N743" s="13">
        <v>10</v>
      </c>
      <c r="O743" s="2">
        <f t="shared" si="66"/>
        <v>0.66666666666666663</v>
      </c>
      <c r="P743" s="13">
        <v>14</v>
      </c>
      <c r="Q743" s="17">
        <f t="shared" si="67"/>
        <v>0.7</v>
      </c>
      <c r="R743" s="13">
        <v>15</v>
      </c>
      <c r="S743" s="13">
        <v>20</v>
      </c>
      <c r="W743" s="13">
        <v>70.8</v>
      </c>
      <c r="X743" s="13">
        <v>5.58</v>
      </c>
      <c r="AB743" s="13">
        <v>68.75</v>
      </c>
      <c r="AC743" s="13">
        <v>6.38</v>
      </c>
      <c r="AG743" s="13" t="s">
        <v>639</v>
      </c>
      <c r="AP743" s="13">
        <v>0.53300000000000003</v>
      </c>
      <c r="BB743" s="13">
        <v>6195.29</v>
      </c>
      <c r="BC743" s="13">
        <v>3648.78</v>
      </c>
      <c r="BM743" s="13">
        <v>8617.33</v>
      </c>
      <c r="BN743" s="13">
        <v>6299.02</v>
      </c>
      <c r="BY743" s="13" t="s">
        <v>434</v>
      </c>
      <c r="BZ743" s="13" t="s">
        <v>435</v>
      </c>
      <c r="CA743" s="13">
        <v>2021</v>
      </c>
      <c r="CB743" s="13" t="s">
        <v>162</v>
      </c>
      <c r="CC743" s="13" t="s">
        <v>436</v>
      </c>
      <c r="CD743" s="13">
        <v>36</v>
      </c>
      <c r="CE743" s="13">
        <v>12</v>
      </c>
      <c r="CF743" s="13" t="s">
        <v>437</v>
      </c>
      <c r="CG743" s="13" t="s">
        <v>438</v>
      </c>
    </row>
    <row r="744" spans="1:85">
      <c r="A744" s="13" t="s">
        <v>1732</v>
      </c>
      <c r="C744" s="13" t="s">
        <v>439</v>
      </c>
      <c r="D744" s="13" t="s">
        <v>979</v>
      </c>
      <c r="E744" s="13" t="s">
        <v>630</v>
      </c>
      <c r="G744" s="13" t="s">
        <v>672</v>
      </c>
      <c r="H744" s="13" t="s">
        <v>675</v>
      </c>
      <c r="J744" s="13" t="s">
        <v>669</v>
      </c>
      <c r="K744" s="13" t="s">
        <v>3639</v>
      </c>
      <c r="L744" s="13" t="s">
        <v>585</v>
      </c>
      <c r="N744" s="13">
        <v>10</v>
      </c>
      <c r="O744" s="2">
        <f t="shared" si="66"/>
        <v>0.66666666666666663</v>
      </c>
      <c r="P744" s="13">
        <v>14</v>
      </c>
      <c r="Q744" s="17">
        <f t="shared" si="67"/>
        <v>0.7</v>
      </c>
      <c r="R744" s="13">
        <v>15</v>
      </c>
      <c r="S744" s="13">
        <v>20</v>
      </c>
      <c r="W744" s="13">
        <v>70.8</v>
      </c>
      <c r="X744" s="13">
        <v>5.58</v>
      </c>
      <c r="AB744" s="13">
        <v>68.75</v>
      </c>
      <c r="AC744" s="13">
        <v>6.38</v>
      </c>
      <c r="AG744" s="13" t="s">
        <v>639</v>
      </c>
      <c r="AP744" s="13">
        <v>0.86399999999999999</v>
      </c>
      <c r="BB744" s="13">
        <v>2604.3000000000002</v>
      </c>
      <c r="BC744" s="13">
        <v>2421.15</v>
      </c>
      <c r="BM744" s="13">
        <v>922.2</v>
      </c>
      <c r="BN744" s="13">
        <v>446.41</v>
      </c>
      <c r="BY744" s="13" t="s">
        <v>434</v>
      </c>
      <c r="BZ744" s="13" t="s">
        <v>435</v>
      </c>
      <c r="CA744" s="13">
        <v>2021</v>
      </c>
      <c r="CB744" s="13" t="s">
        <v>162</v>
      </c>
      <c r="CC744" s="13" t="s">
        <v>436</v>
      </c>
      <c r="CD744" s="13">
        <v>36</v>
      </c>
      <c r="CE744" s="13">
        <v>12</v>
      </c>
      <c r="CF744" s="13" t="s">
        <v>437</v>
      </c>
      <c r="CG744" s="13" t="s">
        <v>438</v>
      </c>
    </row>
    <row r="745" spans="1:85">
      <c r="A745" s="13" t="s">
        <v>1732</v>
      </c>
      <c r="C745" s="13" t="s">
        <v>439</v>
      </c>
      <c r="D745" s="13" t="s">
        <v>979</v>
      </c>
      <c r="E745" s="13" t="s">
        <v>630</v>
      </c>
      <c r="G745" s="13" t="s">
        <v>673</v>
      </c>
      <c r="H745" s="13" t="s">
        <v>675</v>
      </c>
      <c r="J745" s="13" t="s">
        <v>669</v>
      </c>
      <c r="K745" s="13" t="s">
        <v>3639</v>
      </c>
      <c r="L745" s="13" t="s">
        <v>585</v>
      </c>
      <c r="N745" s="13">
        <v>10</v>
      </c>
      <c r="O745" s="2">
        <f t="shared" si="66"/>
        <v>0.66666666666666663</v>
      </c>
      <c r="P745" s="13">
        <v>14</v>
      </c>
      <c r="Q745" s="17">
        <f t="shared" si="67"/>
        <v>0.7</v>
      </c>
      <c r="R745" s="13">
        <v>15</v>
      </c>
      <c r="S745" s="13">
        <v>20</v>
      </c>
      <c r="W745" s="13">
        <v>70.8</v>
      </c>
      <c r="X745" s="13">
        <v>5.58</v>
      </c>
      <c r="AB745" s="13">
        <v>68.75</v>
      </c>
      <c r="AC745" s="13">
        <v>6.38</v>
      </c>
      <c r="AG745" s="13" t="s">
        <v>639</v>
      </c>
      <c r="AP745" s="13">
        <v>0.71099999999999997</v>
      </c>
      <c r="BB745" s="13">
        <v>34.17</v>
      </c>
      <c r="BC745" s="13">
        <v>32.26</v>
      </c>
      <c r="BM745" s="13">
        <v>17.95</v>
      </c>
      <c r="BN745" s="13">
        <v>8.43</v>
      </c>
      <c r="BY745" s="13" t="s">
        <v>434</v>
      </c>
      <c r="BZ745" s="13" t="s">
        <v>435</v>
      </c>
      <c r="CA745" s="13">
        <v>2021</v>
      </c>
      <c r="CB745" s="13" t="s">
        <v>162</v>
      </c>
      <c r="CC745" s="13" t="s">
        <v>436</v>
      </c>
      <c r="CD745" s="13">
        <v>36</v>
      </c>
      <c r="CE745" s="13">
        <v>12</v>
      </c>
      <c r="CF745" s="13" t="s">
        <v>437</v>
      </c>
      <c r="CG745" s="13" t="s">
        <v>438</v>
      </c>
    </row>
    <row r="746" spans="1:85">
      <c r="A746" s="13" t="s">
        <v>1732</v>
      </c>
      <c r="C746" s="13" t="s">
        <v>439</v>
      </c>
      <c r="D746" s="13" t="s">
        <v>979</v>
      </c>
      <c r="E746" s="13" t="s">
        <v>630</v>
      </c>
      <c r="G746" s="13" t="s">
        <v>672</v>
      </c>
      <c r="H746" s="13" t="s">
        <v>686</v>
      </c>
      <c r="J746" s="13" t="s">
        <v>669</v>
      </c>
      <c r="K746" s="13" t="s">
        <v>3639</v>
      </c>
      <c r="L746" s="13" t="s">
        <v>585</v>
      </c>
      <c r="N746" s="13">
        <v>10</v>
      </c>
      <c r="O746" s="2">
        <f t="shared" si="66"/>
        <v>0.66666666666666663</v>
      </c>
      <c r="P746" s="13">
        <v>14</v>
      </c>
      <c r="Q746" s="17">
        <f t="shared" si="67"/>
        <v>0.7</v>
      </c>
      <c r="R746" s="13">
        <v>15</v>
      </c>
      <c r="S746" s="13">
        <v>20</v>
      </c>
      <c r="W746" s="13">
        <v>70.8</v>
      </c>
      <c r="X746" s="13">
        <v>5.58</v>
      </c>
      <c r="AB746" s="13">
        <v>68.75</v>
      </c>
      <c r="AC746" s="13">
        <v>6.38</v>
      </c>
      <c r="AG746" s="13" t="s">
        <v>641</v>
      </c>
      <c r="AP746" s="13">
        <v>0.78700000000000003</v>
      </c>
      <c r="BB746" s="13">
        <v>0.95</v>
      </c>
      <c r="BC746" s="13">
        <v>0.67</v>
      </c>
      <c r="BM746" s="13">
        <v>0.44</v>
      </c>
      <c r="BN746" s="13">
        <v>0.15</v>
      </c>
      <c r="BY746" s="13" t="s">
        <v>434</v>
      </c>
      <c r="BZ746" s="13" t="s">
        <v>435</v>
      </c>
      <c r="CA746" s="13">
        <v>2021</v>
      </c>
      <c r="CB746" s="13" t="s">
        <v>162</v>
      </c>
      <c r="CC746" s="13" t="s">
        <v>436</v>
      </c>
      <c r="CD746" s="13">
        <v>36</v>
      </c>
      <c r="CE746" s="13">
        <v>12</v>
      </c>
      <c r="CF746" s="13" t="s">
        <v>437</v>
      </c>
      <c r="CG746" s="13" t="s">
        <v>438</v>
      </c>
    </row>
    <row r="747" spans="1:85">
      <c r="A747" s="13" t="s">
        <v>1732</v>
      </c>
      <c r="C747" s="13" t="s">
        <v>439</v>
      </c>
      <c r="D747" s="13" t="s">
        <v>979</v>
      </c>
      <c r="E747" s="13" t="s">
        <v>630</v>
      </c>
      <c r="G747" s="13" t="s">
        <v>672</v>
      </c>
      <c r="H747" s="13" t="s">
        <v>676</v>
      </c>
      <c r="J747" s="13" t="s">
        <v>669</v>
      </c>
      <c r="K747" s="13" t="s">
        <v>3639</v>
      </c>
      <c r="L747" s="13" t="s">
        <v>585</v>
      </c>
      <c r="N747" s="13">
        <v>10</v>
      </c>
      <c r="O747" s="2">
        <f t="shared" si="66"/>
        <v>0.66666666666666663</v>
      </c>
      <c r="P747" s="13">
        <v>14</v>
      </c>
      <c r="Q747" s="17">
        <f t="shared" si="67"/>
        <v>0.7</v>
      </c>
      <c r="R747" s="13">
        <v>15</v>
      </c>
      <c r="S747" s="13">
        <v>20</v>
      </c>
      <c r="W747" s="13">
        <v>70.8</v>
      </c>
      <c r="X747" s="13">
        <v>5.58</v>
      </c>
      <c r="AB747" s="13">
        <v>68.75</v>
      </c>
      <c r="AC747" s="13">
        <v>6.38</v>
      </c>
      <c r="AG747" s="13" t="s">
        <v>639</v>
      </c>
      <c r="AP747" s="13">
        <v>0.71399999999999997</v>
      </c>
      <c r="BB747" s="13">
        <v>80.959999999999994</v>
      </c>
      <c r="BC747" s="13">
        <v>70.239999999999995</v>
      </c>
      <c r="BM747" s="13">
        <v>47.71</v>
      </c>
      <c r="BN747" s="13">
        <v>22.21</v>
      </c>
      <c r="BY747" s="13" t="s">
        <v>434</v>
      </c>
      <c r="BZ747" s="13" t="s">
        <v>435</v>
      </c>
      <c r="CA747" s="13">
        <v>2021</v>
      </c>
      <c r="CB747" s="13" t="s">
        <v>162</v>
      </c>
      <c r="CC747" s="13" t="s">
        <v>436</v>
      </c>
      <c r="CD747" s="13">
        <v>36</v>
      </c>
      <c r="CE747" s="13">
        <v>12</v>
      </c>
      <c r="CF747" s="13" t="s">
        <v>437</v>
      </c>
      <c r="CG747" s="13" t="s">
        <v>438</v>
      </c>
    </row>
    <row r="748" spans="1:85">
      <c r="A748" s="13" t="s">
        <v>1732</v>
      </c>
      <c r="C748" s="13" t="s">
        <v>439</v>
      </c>
      <c r="D748" s="13" t="s">
        <v>979</v>
      </c>
      <c r="E748" s="13" t="s">
        <v>630</v>
      </c>
      <c r="G748" s="13" t="s">
        <v>672</v>
      </c>
      <c r="H748" s="13" t="s">
        <v>757</v>
      </c>
      <c r="J748" s="13" t="s">
        <v>669</v>
      </c>
      <c r="K748" s="13" t="s">
        <v>3639</v>
      </c>
      <c r="L748" s="13" t="s">
        <v>585</v>
      </c>
      <c r="N748" s="13">
        <v>10</v>
      </c>
      <c r="O748" s="2">
        <f t="shared" si="66"/>
        <v>0.66666666666666663</v>
      </c>
      <c r="P748" s="13">
        <v>14</v>
      </c>
      <c r="Q748" s="17">
        <f t="shared" si="67"/>
        <v>0.7</v>
      </c>
      <c r="R748" s="13">
        <v>15</v>
      </c>
      <c r="S748" s="13">
        <v>20</v>
      </c>
      <c r="W748" s="13">
        <v>70.8</v>
      </c>
      <c r="X748" s="13">
        <v>5.58</v>
      </c>
      <c r="AB748" s="13">
        <v>68.75</v>
      </c>
      <c r="AC748" s="13">
        <v>6.38</v>
      </c>
      <c r="AG748" s="13" t="s">
        <v>639</v>
      </c>
      <c r="AP748" s="13">
        <v>0.81799999999999995</v>
      </c>
      <c r="BB748" s="13">
        <v>1935.4</v>
      </c>
      <c r="BC748" s="13">
        <v>441.51</v>
      </c>
      <c r="BM748" s="13">
        <v>1488.83</v>
      </c>
      <c r="BN748" s="13">
        <v>349.73</v>
      </c>
      <c r="BY748" s="13" t="s">
        <v>434</v>
      </c>
      <c r="BZ748" s="13" t="s">
        <v>435</v>
      </c>
      <c r="CA748" s="13">
        <v>2021</v>
      </c>
      <c r="CB748" s="13" t="s">
        <v>162</v>
      </c>
      <c r="CC748" s="13" t="s">
        <v>436</v>
      </c>
      <c r="CD748" s="13">
        <v>36</v>
      </c>
      <c r="CE748" s="13">
        <v>12</v>
      </c>
      <c r="CF748" s="13" t="s">
        <v>437</v>
      </c>
      <c r="CG748" s="13" t="s">
        <v>438</v>
      </c>
    </row>
    <row r="749" spans="1:85">
      <c r="A749" s="13" t="s">
        <v>1732</v>
      </c>
      <c r="C749" s="13" t="s">
        <v>439</v>
      </c>
      <c r="D749" s="13" t="s">
        <v>979</v>
      </c>
      <c r="E749" s="13" t="s">
        <v>630</v>
      </c>
      <c r="G749" s="13" t="s">
        <v>672</v>
      </c>
      <c r="H749" s="13" t="s">
        <v>758</v>
      </c>
      <c r="J749" s="13" t="s">
        <v>669</v>
      </c>
      <c r="K749" s="13" t="s">
        <v>3639</v>
      </c>
      <c r="L749" s="13" t="s">
        <v>585</v>
      </c>
      <c r="N749" s="13">
        <v>10</v>
      </c>
      <c r="O749" s="2">
        <f t="shared" si="66"/>
        <v>0.66666666666666663</v>
      </c>
      <c r="P749" s="13">
        <v>14</v>
      </c>
      <c r="Q749" s="17">
        <f t="shared" si="67"/>
        <v>0.7</v>
      </c>
      <c r="R749" s="13">
        <v>15</v>
      </c>
      <c r="S749" s="13">
        <v>20</v>
      </c>
      <c r="W749" s="13">
        <v>70.8</v>
      </c>
      <c r="X749" s="13">
        <v>5.58</v>
      </c>
      <c r="AB749" s="13">
        <v>68.75</v>
      </c>
      <c r="AC749" s="13">
        <v>6.38</v>
      </c>
      <c r="AG749" s="13" t="s">
        <v>639</v>
      </c>
      <c r="AP749" s="13">
        <v>0.69599999999999995</v>
      </c>
      <c r="BB749" s="13">
        <v>17871.8</v>
      </c>
      <c r="BC749" s="13">
        <v>6445.35</v>
      </c>
      <c r="BM749" s="13">
        <v>12631.69</v>
      </c>
      <c r="BN749" s="13">
        <v>4846.01</v>
      </c>
      <c r="BY749" s="13" t="s">
        <v>434</v>
      </c>
      <c r="BZ749" s="13" t="s">
        <v>435</v>
      </c>
      <c r="CA749" s="13">
        <v>2021</v>
      </c>
      <c r="CB749" s="13" t="s">
        <v>162</v>
      </c>
      <c r="CC749" s="13" t="s">
        <v>436</v>
      </c>
      <c r="CD749" s="13">
        <v>36</v>
      </c>
      <c r="CE749" s="13">
        <v>12</v>
      </c>
      <c r="CF749" s="13" t="s">
        <v>437</v>
      </c>
      <c r="CG749" s="13" t="s">
        <v>438</v>
      </c>
    </row>
    <row r="750" spans="1:85">
      <c r="A750" s="13" t="s">
        <v>1732</v>
      </c>
      <c r="C750" s="13" t="s">
        <v>439</v>
      </c>
      <c r="D750" s="13" t="s">
        <v>979</v>
      </c>
      <c r="E750" s="13" t="s">
        <v>630</v>
      </c>
      <c r="G750" s="13" t="s">
        <v>673</v>
      </c>
      <c r="H750" s="13" t="s">
        <v>758</v>
      </c>
      <c r="J750" s="13" t="s">
        <v>669</v>
      </c>
      <c r="K750" s="13" t="s">
        <v>3639</v>
      </c>
      <c r="L750" s="13" t="s">
        <v>585</v>
      </c>
      <c r="N750" s="13">
        <v>10</v>
      </c>
      <c r="O750" s="2">
        <f t="shared" si="66"/>
        <v>0.66666666666666663</v>
      </c>
      <c r="P750" s="13">
        <v>14</v>
      </c>
      <c r="Q750" s="17">
        <f t="shared" si="67"/>
        <v>0.7</v>
      </c>
      <c r="R750" s="13">
        <v>15</v>
      </c>
      <c r="S750" s="13">
        <v>20</v>
      </c>
      <c r="W750" s="13">
        <v>70.8</v>
      </c>
      <c r="X750" s="13">
        <v>5.58</v>
      </c>
      <c r="AB750" s="13">
        <v>68.75</v>
      </c>
      <c r="AC750" s="13">
        <v>6.38</v>
      </c>
      <c r="AG750" s="13" t="s">
        <v>639</v>
      </c>
      <c r="AP750" s="13">
        <v>0.52900000000000003</v>
      </c>
      <c r="BB750" s="13">
        <v>183.12</v>
      </c>
      <c r="BC750" s="13">
        <v>56.29</v>
      </c>
      <c r="BM750" s="13">
        <v>174.85</v>
      </c>
      <c r="BN750" s="13">
        <v>69.900000000000006</v>
      </c>
      <c r="BY750" s="13" t="s">
        <v>434</v>
      </c>
      <c r="BZ750" s="13" t="s">
        <v>435</v>
      </c>
      <c r="CA750" s="13">
        <v>2021</v>
      </c>
      <c r="CB750" s="13" t="s">
        <v>162</v>
      </c>
      <c r="CC750" s="13" t="s">
        <v>436</v>
      </c>
      <c r="CD750" s="13">
        <v>36</v>
      </c>
      <c r="CE750" s="13">
        <v>12</v>
      </c>
      <c r="CF750" s="13" t="s">
        <v>437</v>
      </c>
      <c r="CG750" s="13" t="s">
        <v>438</v>
      </c>
    </row>
    <row r="751" spans="1:85">
      <c r="A751" s="13" t="s">
        <v>1732</v>
      </c>
      <c r="C751" s="13" t="s">
        <v>439</v>
      </c>
      <c r="D751" s="13" t="s">
        <v>979</v>
      </c>
      <c r="E751" s="13" t="s">
        <v>630</v>
      </c>
      <c r="G751" s="13" t="s">
        <v>672</v>
      </c>
      <c r="H751" s="13" t="s">
        <v>981</v>
      </c>
      <c r="J751" s="13" t="s">
        <v>669</v>
      </c>
      <c r="K751" s="13" t="s">
        <v>3639</v>
      </c>
      <c r="L751" s="13" t="s">
        <v>585</v>
      </c>
      <c r="N751" s="13">
        <v>10</v>
      </c>
      <c r="O751" s="2">
        <f t="shared" si="66"/>
        <v>0.66666666666666663</v>
      </c>
      <c r="P751" s="13">
        <v>14</v>
      </c>
      <c r="Q751" s="17">
        <f t="shared" si="67"/>
        <v>0.7</v>
      </c>
      <c r="R751" s="13">
        <v>15</v>
      </c>
      <c r="S751" s="13">
        <v>20</v>
      </c>
      <c r="W751" s="13">
        <v>70.8</v>
      </c>
      <c r="X751" s="13">
        <v>5.58</v>
      </c>
      <c r="AB751" s="13">
        <v>68.75</v>
      </c>
      <c r="AC751" s="13">
        <v>6.38</v>
      </c>
      <c r="AG751" s="13" t="s">
        <v>639</v>
      </c>
      <c r="AP751" s="13">
        <v>0.82699999999999996</v>
      </c>
      <c r="BB751" s="13">
        <v>3.38</v>
      </c>
      <c r="BC751" s="13">
        <v>1.1499999999999999</v>
      </c>
      <c r="BM751" s="13">
        <v>2.25</v>
      </c>
      <c r="BN751" s="13">
        <v>0.64</v>
      </c>
      <c r="BY751" s="13" t="s">
        <v>434</v>
      </c>
      <c r="BZ751" s="13" t="s">
        <v>435</v>
      </c>
      <c r="CA751" s="13">
        <v>2021</v>
      </c>
      <c r="CB751" s="13" t="s">
        <v>162</v>
      </c>
      <c r="CC751" s="13" t="s">
        <v>436</v>
      </c>
      <c r="CD751" s="13">
        <v>36</v>
      </c>
      <c r="CE751" s="13">
        <v>12</v>
      </c>
      <c r="CF751" s="13" t="s">
        <v>437</v>
      </c>
      <c r="CG751" s="13" t="s">
        <v>438</v>
      </c>
    </row>
    <row r="752" spans="1:85">
      <c r="A752" s="13" t="s">
        <v>1732</v>
      </c>
      <c r="C752" s="13" t="s">
        <v>439</v>
      </c>
      <c r="D752" s="13" t="s">
        <v>979</v>
      </c>
      <c r="E752" s="13" t="s">
        <v>630</v>
      </c>
      <c r="G752" s="13" t="s">
        <v>673</v>
      </c>
      <c r="H752" s="13" t="s">
        <v>981</v>
      </c>
      <c r="J752" s="13" t="s">
        <v>669</v>
      </c>
      <c r="K752" s="13" t="s">
        <v>3639</v>
      </c>
      <c r="L752" s="13" t="s">
        <v>585</v>
      </c>
      <c r="N752" s="13">
        <v>10</v>
      </c>
      <c r="O752" s="2">
        <f t="shared" si="66"/>
        <v>0.66666666666666663</v>
      </c>
      <c r="P752" s="13">
        <v>14</v>
      </c>
      <c r="Q752" s="17">
        <f t="shared" si="67"/>
        <v>0.7</v>
      </c>
      <c r="R752" s="13">
        <v>15</v>
      </c>
      <c r="S752" s="13">
        <v>20</v>
      </c>
      <c r="W752" s="13">
        <v>70.8</v>
      </c>
      <c r="X752" s="13">
        <v>5.58</v>
      </c>
      <c r="AB752" s="13">
        <v>68.75</v>
      </c>
      <c r="AC752" s="13">
        <v>6.38</v>
      </c>
      <c r="AG752" s="13" t="s">
        <v>639</v>
      </c>
      <c r="AP752" s="13">
        <v>0.77500000000000002</v>
      </c>
      <c r="BB752" s="13">
        <v>0.09</v>
      </c>
      <c r="BC752" s="13">
        <v>0.08</v>
      </c>
      <c r="BM752" s="13">
        <v>0.05</v>
      </c>
      <c r="BN752" s="13">
        <v>0.02</v>
      </c>
      <c r="BY752" s="13" t="s">
        <v>434</v>
      </c>
      <c r="BZ752" s="13" t="s">
        <v>435</v>
      </c>
      <c r="CA752" s="13">
        <v>2021</v>
      </c>
      <c r="CB752" s="13" t="s">
        <v>162</v>
      </c>
      <c r="CC752" s="13" t="s">
        <v>436</v>
      </c>
      <c r="CD752" s="13">
        <v>36</v>
      </c>
      <c r="CE752" s="13">
        <v>12</v>
      </c>
      <c r="CF752" s="13" t="s">
        <v>437</v>
      </c>
      <c r="CG752" s="13" t="s">
        <v>438</v>
      </c>
    </row>
    <row r="753" spans="1:85">
      <c r="A753" s="13" t="s">
        <v>1732</v>
      </c>
      <c r="C753" s="13" t="s">
        <v>439</v>
      </c>
      <c r="D753" s="13" t="s">
        <v>979</v>
      </c>
      <c r="E753" s="13" t="s">
        <v>630</v>
      </c>
      <c r="G753" s="13" t="s">
        <v>672</v>
      </c>
      <c r="H753" s="13" t="s">
        <v>844</v>
      </c>
      <c r="J753" s="13" t="s">
        <v>669</v>
      </c>
      <c r="K753" s="13" t="s">
        <v>3639</v>
      </c>
      <c r="L753" s="13" t="s">
        <v>585</v>
      </c>
      <c r="N753" s="13">
        <v>10</v>
      </c>
      <c r="O753" s="2">
        <f t="shared" si="66"/>
        <v>0.66666666666666663</v>
      </c>
      <c r="P753" s="13">
        <v>14</v>
      </c>
      <c r="Q753" s="17">
        <f t="shared" si="67"/>
        <v>0.7</v>
      </c>
      <c r="R753" s="13">
        <v>15</v>
      </c>
      <c r="S753" s="13">
        <v>20</v>
      </c>
      <c r="W753" s="13">
        <v>70.8</v>
      </c>
      <c r="X753" s="13">
        <v>5.58</v>
      </c>
      <c r="AB753" s="13">
        <v>68.75</v>
      </c>
      <c r="AC753" s="13">
        <v>6.38</v>
      </c>
      <c r="AG753" s="13" t="s">
        <v>639</v>
      </c>
      <c r="AP753" s="13">
        <v>0.88</v>
      </c>
      <c r="BB753" s="13">
        <v>6486.08</v>
      </c>
      <c r="BC753" s="13">
        <v>3210.44</v>
      </c>
      <c r="BM753" s="13">
        <v>3217.9</v>
      </c>
      <c r="BN753" s="13">
        <v>1463.41</v>
      </c>
      <c r="BY753" s="13" t="s">
        <v>434</v>
      </c>
      <c r="BZ753" s="13" t="s">
        <v>435</v>
      </c>
      <c r="CA753" s="13">
        <v>2021</v>
      </c>
      <c r="CB753" s="13" t="s">
        <v>162</v>
      </c>
      <c r="CC753" s="13" t="s">
        <v>436</v>
      </c>
      <c r="CD753" s="13">
        <v>36</v>
      </c>
      <c r="CE753" s="13">
        <v>12</v>
      </c>
      <c r="CF753" s="13" t="s">
        <v>437</v>
      </c>
      <c r="CG753" s="13" t="s">
        <v>438</v>
      </c>
    </row>
    <row r="754" spans="1:85">
      <c r="A754" s="13" t="s">
        <v>1732</v>
      </c>
      <c r="C754" s="13" t="s">
        <v>439</v>
      </c>
      <c r="D754" s="13" t="s">
        <v>979</v>
      </c>
      <c r="E754" s="13" t="s">
        <v>630</v>
      </c>
      <c r="G754" s="13" t="s">
        <v>673</v>
      </c>
      <c r="H754" s="13" t="s">
        <v>844</v>
      </c>
      <c r="J754" s="13" t="s">
        <v>669</v>
      </c>
      <c r="K754" s="13" t="s">
        <v>3639</v>
      </c>
      <c r="L754" s="13" t="s">
        <v>585</v>
      </c>
      <c r="N754" s="13">
        <v>10</v>
      </c>
      <c r="O754" s="2">
        <f t="shared" si="66"/>
        <v>0.66666666666666663</v>
      </c>
      <c r="P754" s="13">
        <v>14</v>
      </c>
      <c r="Q754" s="17">
        <f t="shared" si="67"/>
        <v>0.7</v>
      </c>
      <c r="R754" s="13">
        <v>15</v>
      </c>
      <c r="S754" s="13">
        <v>20</v>
      </c>
      <c r="W754" s="13">
        <v>70.8</v>
      </c>
      <c r="X754" s="13">
        <v>5.58</v>
      </c>
      <c r="AB754" s="13">
        <v>68.75</v>
      </c>
      <c r="AC754" s="13">
        <v>6.38</v>
      </c>
      <c r="AG754" s="13" t="s">
        <v>639</v>
      </c>
      <c r="AP754" s="13">
        <v>0.72599999999999998</v>
      </c>
      <c r="BB754" s="13">
        <v>5969.57</v>
      </c>
      <c r="BC754" s="13">
        <v>3491.01</v>
      </c>
      <c r="BM754" s="13">
        <v>3607.27</v>
      </c>
      <c r="BN754" s="13">
        <v>1582.16</v>
      </c>
      <c r="BY754" s="13" t="s">
        <v>434</v>
      </c>
      <c r="BZ754" s="13" t="s">
        <v>435</v>
      </c>
      <c r="CA754" s="13">
        <v>2021</v>
      </c>
      <c r="CB754" s="13" t="s">
        <v>162</v>
      </c>
      <c r="CC754" s="13" t="s">
        <v>436</v>
      </c>
      <c r="CD754" s="13">
        <v>36</v>
      </c>
      <c r="CE754" s="13">
        <v>12</v>
      </c>
      <c r="CF754" s="13" t="s">
        <v>437</v>
      </c>
      <c r="CG754" s="13" t="s">
        <v>438</v>
      </c>
    </row>
    <row r="755" spans="1:85">
      <c r="A755" s="13" t="s">
        <v>1732</v>
      </c>
      <c r="C755" s="13" t="s">
        <v>439</v>
      </c>
      <c r="D755" s="13" t="s">
        <v>979</v>
      </c>
      <c r="E755" s="13" t="s">
        <v>630</v>
      </c>
      <c r="G755" s="13" t="s">
        <v>672</v>
      </c>
      <c r="H755" s="13" t="s">
        <v>679</v>
      </c>
      <c r="J755" s="13" t="s">
        <v>669</v>
      </c>
      <c r="K755" s="13" t="s">
        <v>3639</v>
      </c>
      <c r="L755" s="13" t="s">
        <v>585</v>
      </c>
      <c r="N755" s="13">
        <v>10</v>
      </c>
      <c r="O755" s="2">
        <f t="shared" si="66"/>
        <v>0.66666666666666663</v>
      </c>
      <c r="P755" s="13">
        <v>14</v>
      </c>
      <c r="Q755" s="17">
        <f t="shared" si="67"/>
        <v>0.7</v>
      </c>
      <c r="R755" s="13">
        <v>15</v>
      </c>
      <c r="S755" s="13">
        <v>20</v>
      </c>
      <c r="W755" s="13">
        <v>70.8</v>
      </c>
      <c r="X755" s="13">
        <v>5.58</v>
      </c>
      <c r="AB755" s="13">
        <v>68.75</v>
      </c>
      <c r="AC755" s="13">
        <v>6.38</v>
      </c>
      <c r="AG755" s="13" t="s">
        <v>639</v>
      </c>
      <c r="AP755" s="13">
        <v>0.61</v>
      </c>
      <c r="BB755" s="13">
        <v>174004.6</v>
      </c>
      <c r="BC755" s="13">
        <v>66637.27</v>
      </c>
      <c r="BM755" s="13">
        <v>146546.5</v>
      </c>
      <c r="BN755" s="13">
        <v>42410.5</v>
      </c>
      <c r="BY755" s="13" t="s">
        <v>434</v>
      </c>
      <c r="BZ755" s="13" t="s">
        <v>435</v>
      </c>
      <c r="CA755" s="13">
        <v>2021</v>
      </c>
      <c r="CB755" s="13" t="s">
        <v>162</v>
      </c>
      <c r="CC755" s="13" t="s">
        <v>436</v>
      </c>
      <c r="CD755" s="13">
        <v>36</v>
      </c>
      <c r="CE755" s="13">
        <v>12</v>
      </c>
      <c r="CF755" s="13" t="s">
        <v>437</v>
      </c>
      <c r="CG755" s="13" t="s">
        <v>438</v>
      </c>
    </row>
    <row r="756" spans="1:85">
      <c r="A756" s="13" t="s">
        <v>1732</v>
      </c>
      <c r="C756" s="13" t="s">
        <v>439</v>
      </c>
      <c r="D756" s="13" t="s">
        <v>979</v>
      </c>
      <c r="E756" s="13" t="s">
        <v>630</v>
      </c>
      <c r="G756" s="13" t="s">
        <v>673</v>
      </c>
      <c r="H756" s="13" t="s">
        <v>679</v>
      </c>
      <c r="J756" s="13" t="s">
        <v>669</v>
      </c>
      <c r="K756" s="13" t="s">
        <v>3639</v>
      </c>
      <c r="L756" s="13" t="s">
        <v>585</v>
      </c>
      <c r="N756" s="13">
        <v>10</v>
      </c>
      <c r="O756" s="2">
        <f t="shared" si="66"/>
        <v>0.66666666666666663</v>
      </c>
      <c r="P756" s="13">
        <v>14</v>
      </c>
      <c r="Q756" s="17">
        <f t="shared" si="67"/>
        <v>0.7</v>
      </c>
      <c r="R756" s="13">
        <v>15</v>
      </c>
      <c r="S756" s="13">
        <v>20</v>
      </c>
      <c r="W756" s="13">
        <v>70.8</v>
      </c>
      <c r="X756" s="13">
        <v>5.58</v>
      </c>
      <c r="AB756" s="13">
        <v>68.75</v>
      </c>
      <c r="AC756" s="13">
        <v>6.38</v>
      </c>
      <c r="AG756" s="13" t="s">
        <v>639</v>
      </c>
      <c r="AP756" s="13">
        <v>0.61299999999999999</v>
      </c>
      <c r="BB756" s="13">
        <v>40576.67</v>
      </c>
      <c r="BC756" s="13">
        <v>33689.919999999998</v>
      </c>
      <c r="BM756" s="13">
        <v>66048</v>
      </c>
      <c r="BN756" s="13">
        <v>55357.7</v>
      </c>
      <c r="BY756" s="13" t="s">
        <v>434</v>
      </c>
      <c r="BZ756" s="13" t="s">
        <v>435</v>
      </c>
      <c r="CA756" s="13">
        <v>2021</v>
      </c>
      <c r="CB756" s="13" t="s">
        <v>162</v>
      </c>
      <c r="CC756" s="13" t="s">
        <v>436</v>
      </c>
      <c r="CD756" s="13">
        <v>36</v>
      </c>
      <c r="CE756" s="13">
        <v>12</v>
      </c>
      <c r="CF756" s="13" t="s">
        <v>437</v>
      </c>
      <c r="CG756" s="13" t="s">
        <v>438</v>
      </c>
    </row>
    <row r="757" spans="1:85">
      <c r="A757" s="13" t="s">
        <v>1733</v>
      </c>
      <c r="C757" s="13" t="s">
        <v>444</v>
      </c>
      <c r="D757" s="16" t="s">
        <v>4179</v>
      </c>
      <c r="H757" s="13" t="s">
        <v>675</v>
      </c>
      <c r="U757" s="13"/>
      <c r="BY757" s="13" t="s">
        <v>440</v>
      </c>
      <c r="BZ757" s="13" t="s">
        <v>441</v>
      </c>
      <c r="CA757" s="13">
        <v>2022</v>
      </c>
      <c r="CB757" s="13" t="s">
        <v>119</v>
      </c>
      <c r="CC757" s="13" t="s">
        <v>64</v>
      </c>
      <c r="CD757" s="13">
        <v>23</v>
      </c>
      <c r="CE757" s="24">
        <v>45418</v>
      </c>
      <c r="CF757" s="13" t="s">
        <v>442</v>
      </c>
      <c r="CG757" s="13" t="s">
        <v>443</v>
      </c>
    </row>
    <row r="758" spans="1:85">
      <c r="A758" s="13" t="s">
        <v>1734</v>
      </c>
      <c r="B758" s="13" t="s">
        <v>1900</v>
      </c>
      <c r="C758" s="13" t="s">
        <v>449</v>
      </c>
      <c r="D758" s="16" t="s">
        <v>4179</v>
      </c>
      <c r="H758" s="13" t="s">
        <v>675</v>
      </c>
      <c r="L758" s="16"/>
      <c r="M758" s="16"/>
      <c r="N758" s="16"/>
      <c r="O758" s="3"/>
      <c r="P758" s="16"/>
      <c r="Q758" s="2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3" t="s">
        <v>445</v>
      </c>
      <c r="BZ758" s="13" t="s">
        <v>446</v>
      </c>
      <c r="CA758" s="13">
        <v>2024</v>
      </c>
      <c r="CB758" s="21">
        <v>45398</v>
      </c>
      <c r="CC758" s="13" t="s">
        <v>447</v>
      </c>
      <c r="CD758" s="13">
        <v>15</v>
      </c>
      <c r="CE758" s="13">
        <v>4</v>
      </c>
      <c r="CG758" s="13" t="s">
        <v>448</v>
      </c>
    </row>
    <row r="759" spans="1:85">
      <c r="A759" s="13" t="s">
        <v>1735</v>
      </c>
      <c r="B759" s="13" t="s">
        <v>1901</v>
      </c>
      <c r="C759" s="13" t="s">
        <v>454</v>
      </c>
      <c r="D759" s="13" t="s">
        <v>982</v>
      </c>
      <c r="E759" s="13" t="s">
        <v>657</v>
      </c>
      <c r="F759" s="13" t="s">
        <v>983</v>
      </c>
      <c r="G759" s="13" t="s">
        <v>673</v>
      </c>
      <c r="H759" s="13" t="s">
        <v>675</v>
      </c>
      <c r="J759" s="13" t="s">
        <v>712</v>
      </c>
      <c r="K759" s="13" t="s">
        <v>4095</v>
      </c>
      <c r="L759" s="13" t="s">
        <v>585</v>
      </c>
      <c r="N759" s="13">
        <v>30</v>
      </c>
      <c r="O759" s="2">
        <f t="shared" ref="O759:O776" si="68">N759/R759</f>
        <v>0.57692307692307687</v>
      </c>
      <c r="P759" s="13">
        <v>15</v>
      </c>
      <c r="Q759" s="17">
        <f>P759/S759</f>
        <v>0.5</v>
      </c>
      <c r="R759" s="13">
        <v>52</v>
      </c>
      <c r="S759" s="13">
        <v>30</v>
      </c>
      <c r="W759" s="13">
        <v>59.17</v>
      </c>
      <c r="X759" s="13">
        <v>11.28</v>
      </c>
      <c r="AB759" s="13">
        <v>56.13</v>
      </c>
      <c r="AC759" s="13">
        <v>6.08</v>
      </c>
      <c r="AG759" s="13" t="s">
        <v>639</v>
      </c>
      <c r="AH759" s="13">
        <v>500</v>
      </c>
      <c r="AJ759" s="13">
        <v>88.5</v>
      </c>
      <c r="AM759" s="13">
        <v>83.3</v>
      </c>
      <c r="BG759" s="13">
        <v>649.55999999999995</v>
      </c>
      <c r="BI759" s="13">
        <v>569.12</v>
      </c>
      <c r="BJ759" s="13">
        <v>835.61</v>
      </c>
      <c r="BR759" s="13">
        <v>358.4</v>
      </c>
      <c r="BT759" s="13">
        <v>300.02999999999997</v>
      </c>
      <c r="BU759" s="13">
        <v>441.23</v>
      </c>
      <c r="BX759" s="13" t="s">
        <v>635</v>
      </c>
      <c r="BY759" s="13" t="s">
        <v>450</v>
      </c>
      <c r="BZ759" s="13" t="s">
        <v>451</v>
      </c>
      <c r="CA759" s="13">
        <v>2022</v>
      </c>
      <c r="CB759" s="13" t="s">
        <v>73</v>
      </c>
      <c r="CC759" s="13" t="s">
        <v>189</v>
      </c>
      <c r="CD759" s="13">
        <v>26</v>
      </c>
      <c r="CE759" s="13">
        <v>2</v>
      </c>
      <c r="CF759" s="13" t="s">
        <v>452</v>
      </c>
      <c r="CG759" s="13" t="s">
        <v>453</v>
      </c>
    </row>
    <row r="760" spans="1:85">
      <c r="A760" s="13" t="s">
        <v>1735</v>
      </c>
      <c r="B760" s="13" t="s">
        <v>1901</v>
      </c>
      <c r="C760" s="13" t="s">
        <v>454</v>
      </c>
      <c r="D760" s="13" t="s">
        <v>982</v>
      </c>
      <c r="E760" s="13" t="s">
        <v>657</v>
      </c>
      <c r="F760" s="13" t="s">
        <v>983</v>
      </c>
      <c r="G760" s="13" t="s">
        <v>673</v>
      </c>
      <c r="H760" s="13" t="s">
        <v>686</v>
      </c>
      <c r="J760" s="13" t="s">
        <v>712</v>
      </c>
      <c r="K760" s="13" t="s">
        <v>4095</v>
      </c>
      <c r="L760" s="13" t="s">
        <v>585</v>
      </c>
      <c r="N760" s="13">
        <v>30</v>
      </c>
      <c r="O760" s="2">
        <f t="shared" si="68"/>
        <v>0.57692307692307687</v>
      </c>
      <c r="P760" s="13">
        <v>15</v>
      </c>
      <c r="Q760" s="17">
        <f>P760/S760</f>
        <v>0.5</v>
      </c>
      <c r="R760" s="13">
        <v>52</v>
      </c>
      <c r="S760" s="13">
        <v>30</v>
      </c>
      <c r="W760" s="13">
        <v>59.17</v>
      </c>
      <c r="X760" s="13">
        <v>11.28</v>
      </c>
      <c r="AB760" s="13">
        <v>56.13</v>
      </c>
      <c r="AC760" s="13">
        <v>6.08</v>
      </c>
      <c r="AG760" s="13" t="s">
        <v>639</v>
      </c>
      <c r="AH760" s="13">
        <v>408</v>
      </c>
      <c r="AJ760" s="13">
        <v>100</v>
      </c>
      <c r="AM760" s="13">
        <v>83.3</v>
      </c>
      <c r="BG760" s="13">
        <v>615.23</v>
      </c>
      <c r="BI760" s="13">
        <v>517.67999999999995</v>
      </c>
      <c r="BJ760" s="13">
        <v>723.6</v>
      </c>
      <c r="BR760" s="13">
        <v>237.25</v>
      </c>
      <c r="BT760" s="13">
        <v>206</v>
      </c>
      <c r="BU760" s="13">
        <v>375.75</v>
      </c>
      <c r="BX760" s="13" t="s">
        <v>635</v>
      </c>
      <c r="BY760" s="13" t="s">
        <v>450</v>
      </c>
      <c r="BZ760" s="13" t="s">
        <v>451</v>
      </c>
      <c r="CA760" s="13">
        <v>2022</v>
      </c>
      <c r="CB760" s="13" t="s">
        <v>73</v>
      </c>
      <c r="CC760" s="13" t="s">
        <v>189</v>
      </c>
      <c r="CD760" s="13">
        <v>26</v>
      </c>
      <c r="CE760" s="13">
        <v>2</v>
      </c>
      <c r="CF760" s="13" t="s">
        <v>452</v>
      </c>
      <c r="CG760" s="13" t="s">
        <v>453</v>
      </c>
    </row>
    <row r="761" spans="1:85">
      <c r="A761" s="13" t="s">
        <v>1735</v>
      </c>
      <c r="B761" s="13" t="s">
        <v>1901</v>
      </c>
      <c r="C761" s="13" t="s">
        <v>454</v>
      </c>
      <c r="D761" s="13" t="s">
        <v>982</v>
      </c>
      <c r="E761" s="13" t="s">
        <v>657</v>
      </c>
      <c r="F761" s="13" t="s">
        <v>983</v>
      </c>
      <c r="G761" s="13" t="s">
        <v>672</v>
      </c>
      <c r="H761" s="13" t="s">
        <v>675</v>
      </c>
      <c r="J761" s="13" t="s">
        <v>712</v>
      </c>
      <c r="K761" s="13" t="s">
        <v>4095</v>
      </c>
      <c r="L761" s="13" t="s">
        <v>585</v>
      </c>
      <c r="N761" s="13">
        <v>23</v>
      </c>
      <c r="O761" s="2">
        <f t="shared" si="68"/>
        <v>0.6216216216216216</v>
      </c>
      <c r="P761" s="13">
        <v>15</v>
      </c>
      <c r="Q761" s="17">
        <f>P761/S761</f>
        <v>0.5</v>
      </c>
      <c r="R761" s="13">
        <v>37</v>
      </c>
      <c r="S761" s="13">
        <v>30</v>
      </c>
      <c r="W761" s="13">
        <v>60.27</v>
      </c>
      <c r="X761" s="13">
        <v>10.45</v>
      </c>
      <c r="AB761" s="13">
        <v>56.13</v>
      </c>
      <c r="AC761" s="13">
        <v>6.08</v>
      </c>
      <c r="AG761" s="13" t="s">
        <v>639</v>
      </c>
      <c r="AH761" s="13">
        <v>647</v>
      </c>
      <c r="AJ761" s="13">
        <v>97.3</v>
      </c>
      <c r="AM761" s="13">
        <v>96.7</v>
      </c>
      <c r="BG761" s="13">
        <v>2460.84</v>
      </c>
      <c r="BI761" s="13">
        <v>2204.56</v>
      </c>
      <c r="BJ761" s="13">
        <v>2707.11</v>
      </c>
      <c r="BR761" s="13">
        <v>328.49</v>
      </c>
      <c r="BT761" s="13">
        <v>318.61</v>
      </c>
      <c r="BU761" s="13">
        <v>348.73</v>
      </c>
      <c r="BX761" s="13" t="s">
        <v>635</v>
      </c>
      <c r="BY761" s="13" t="s">
        <v>450</v>
      </c>
      <c r="BZ761" s="13" t="s">
        <v>451</v>
      </c>
      <c r="CA761" s="13">
        <v>2022</v>
      </c>
      <c r="CB761" s="13" t="s">
        <v>73</v>
      </c>
      <c r="CC761" s="13" t="s">
        <v>189</v>
      </c>
      <c r="CD761" s="13">
        <v>26</v>
      </c>
      <c r="CE761" s="13">
        <v>2</v>
      </c>
      <c r="CF761" s="13" t="s">
        <v>452</v>
      </c>
      <c r="CG761" s="13" t="s">
        <v>453</v>
      </c>
    </row>
    <row r="762" spans="1:85">
      <c r="A762" s="13" t="s">
        <v>1735</v>
      </c>
      <c r="B762" s="13" t="s">
        <v>1901</v>
      </c>
      <c r="C762" s="13" t="s">
        <v>454</v>
      </c>
      <c r="D762" s="13" t="s">
        <v>982</v>
      </c>
      <c r="E762" s="13" t="s">
        <v>657</v>
      </c>
      <c r="F762" s="13" t="s">
        <v>983</v>
      </c>
      <c r="G762" s="13" t="s">
        <v>672</v>
      </c>
      <c r="H762" s="13" t="s">
        <v>686</v>
      </c>
      <c r="J762" s="13" t="s">
        <v>712</v>
      </c>
      <c r="K762" s="13" t="s">
        <v>4095</v>
      </c>
      <c r="L762" s="13" t="s">
        <v>585</v>
      </c>
      <c r="N762" s="13">
        <v>23</v>
      </c>
      <c r="O762" s="2">
        <f t="shared" si="68"/>
        <v>0.6216216216216216</v>
      </c>
      <c r="P762" s="13">
        <v>15</v>
      </c>
      <c r="Q762" s="17">
        <f>P762/S762</f>
        <v>0.5</v>
      </c>
      <c r="R762" s="13">
        <v>37</v>
      </c>
      <c r="S762" s="13">
        <v>30</v>
      </c>
      <c r="W762" s="13">
        <v>60.27</v>
      </c>
      <c r="X762" s="13">
        <v>10.45</v>
      </c>
      <c r="AB762" s="13">
        <v>56.13</v>
      </c>
      <c r="AC762" s="13">
        <v>6.08</v>
      </c>
      <c r="AG762" s="13" t="s">
        <v>639</v>
      </c>
      <c r="AH762" s="13">
        <v>474</v>
      </c>
      <c r="AJ762" s="13">
        <v>97.8</v>
      </c>
      <c r="AM762" s="13">
        <v>97.2</v>
      </c>
      <c r="BG762" s="13">
        <v>1952.34</v>
      </c>
      <c r="BI762" s="13">
        <v>1498.08</v>
      </c>
      <c r="BJ762" s="13">
        <v>2452.69</v>
      </c>
      <c r="BR762" s="13">
        <v>222.23</v>
      </c>
      <c r="BT762" s="13">
        <v>147.44999999999999</v>
      </c>
      <c r="BU762" s="13">
        <v>265.75</v>
      </c>
      <c r="BX762" s="13" t="s">
        <v>635</v>
      </c>
      <c r="BY762" s="13" t="s">
        <v>450</v>
      </c>
      <c r="BZ762" s="13" t="s">
        <v>451</v>
      </c>
      <c r="CA762" s="13">
        <v>2022</v>
      </c>
      <c r="CB762" s="13" t="s">
        <v>73</v>
      </c>
      <c r="CC762" s="13" t="s">
        <v>189</v>
      </c>
      <c r="CD762" s="13">
        <v>26</v>
      </c>
      <c r="CE762" s="13">
        <v>2</v>
      </c>
      <c r="CF762" s="13" t="s">
        <v>452</v>
      </c>
      <c r="CG762" s="13" t="s">
        <v>453</v>
      </c>
    </row>
    <row r="763" spans="1:85">
      <c r="A763" s="13" t="s">
        <v>3419</v>
      </c>
      <c r="B763" s="16"/>
      <c r="C763" s="13" t="s">
        <v>3347</v>
      </c>
      <c r="D763" s="14" t="s">
        <v>898</v>
      </c>
      <c r="G763" s="13" t="s">
        <v>674</v>
      </c>
      <c r="H763" s="13" t="s">
        <v>675</v>
      </c>
      <c r="J763" s="14" t="s">
        <v>3947</v>
      </c>
      <c r="K763" s="14" t="s">
        <v>3946</v>
      </c>
      <c r="L763" s="13" t="s">
        <v>2823</v>
      </c>
      <c r="M763" s="13" t="s">
        <v>3948</v>
      </c>
      <c r="N763" s="13">
        <v>181</v>
      </c>
      <c r="O763" s="2">
        <f t="shared" si="68"/>
        <v>0.69083969465648853</v>
      </c>
      <c r="R763" s="13">
        <v>262</v>
      </c>
      <c r="T763" s="13">
        <v>16</v>
      </c>
      <c r="U763" s="15">
        <f>T763/R763</f>
        <v>6.1068702290076333E-2</v>
      </c>
      <c r="W763" s="13">
        <v>55.7</v>
      </c>
      <c r="X763" s="13">
        <v>11.4</v>
      </c>
      <c r="AG763" s="13" t="s">
        <v>639</v>
      </c>
      <c r="BY763" s="13" t="s">
        <v>3590</v>
      </c>
      <c r="BZ763" s="13" t="s">
        <v>3591</v>
      </c>
      <c r="CA763" s="13">
        <v>2025</v>
      </c>
      <c r="CB763" s="13" t="s">
        <v>253</v>
      </c>
      <c r="CC763" s="13" t="s">
        <v>64</v>
      </c>
      <c r="CD763" s="13">
        <v>26</v>
      </c>
      <c r="CE763" s="21">
        <v>45659</v>
      </c>
      <c r="CF763" s="13" t="s">
        <v>3592</v>
      </c>
      <c r="CG763" s="13" t="s">
        <v>3274</v>
      </c>
    </row>
    <row r="764" spans="1:85">
      <c r="A764" s="13" t="s">
        <v>3419</v>
      </c>
      <c r="B764" s="16"/>
      <c r="C764" s="13" t="s">
        <v>3347</v>
      </c>
      <c r="D764" s="14" t="s">
        <v>898</v>
      </c>
      <c r="G764" s="13" t="s">
        <v>674</v>
      </c>
      <c r="H764" s="13" t="s">
        <v>686</v>
      </c>
      <c r="J764" s="14" t="s">
        <v>3947</v>
      </c>
      <c r="K764" s="14" t="s">
        <v>3946</v>
      </c>
      <c r="L764" s="13" t="s">
        <v>3950</v>
      </c>
      <c r="M764" s="13" t="s">
        <v>3951</v>
      </c>
      <c r="N764" s="13">
        <v>181</v>
      </c>
      <c r="O764" s="2">
        <f t="shared" si="68"/>
        <v>0.69083969465648853</v>
      </c>
      <c r="R764" s="13">
        <v>262</v>
      </c>
      <c r="T764" s="13">
        <v>16</v>
      </c>
      <c r="U764" s="15">
        <f>T764/R764</f>
        <v>6.1068702290076333E-2</v>
      </c>
      <c r="W764" s="13">
        <v>55.7</v>
      </c>
      <c r="X764" s="13">
        <v>11.4</v>
      </c>
      <c r="AG764" s="13" t="s">
        <v>639</v>
      </c>
      <c r="BY764" s="13" t="s">
        <v>3590</v>
      </c>
      <c r="BZ764" s="13" t="s">
        <v>3591</v>
      </c>
      <c r="CA764" s="13">
        <v>2025</v>
      </c>
      <c r="CB764" s="13" t="s">
        <v>253</v>
      </c>
      <c r="CC764" s="13" t="s">
        <v>64</v>
      </c>
      <c r="CD764" s="13">
        <v>26</v>
      </c>
      <c r="CE764" s="21">
        <v>45659</v>
      </c>
      <c r="CF764" s="13" t="s">
        <v>3592</v>
      </c>
      <c r="CG764" s="13" t="s">
        <v>3274</v>
      </c>
    </row>
    <row r="765" spans="1:85">
      <c r="A765" s="13" t="s">
        <v>1736</v>
      </c>
      <c r="B765" s="13" t="s">
        <v>1902</v>
      </c>
      <c r="C765" s="13" t="s">
        <v>458</v>
      </c>
      <c r="D765" s="13" t="s">
        <v>827</v>
      </c>
      <c r="E765" s="13" t="s">
        <v>633</v>
      </c>
      <c r="F765" s="13" t="s">
        <v>774</v>
      </c>
      <c r="G765" s="13" t="s">
        <v>672</v>
      </c>
      <c r="H765" s="13" t="s">
        <v>686</v>
      </c>
      <c r="J765" s="13" t="s">
        <v>703</v>
      </c>
      <c r="K765" s="13" t="s">
        <v>4080</v>
      </c>
      <c r="L765" s="13" t="s">
        <v>585</v>
      </c>
      <c r="N765" s="13">
        <v>59</v>
      </c>
      <c r="O765" s="2">
        <f t="shared" si="68"/>
        <v>0.62105263157894741</v>
      </c>
      <c r="P765" s="13">
        <v>7</v>
      </c>
      <c r="Q765" s="17">
        <f t="shared" ref="Q765:Q773" si="69">P765/S765</f>
        <v>0.46666666666666667</v>
      </c>
      <c r="R765" s="13">
        <v>95</v>
      </c>
      <c r="S765" s="13">
        <v>15</v>
      </c>
      <c r="W765" s="13">
        <v>62.2</v>
      </c>
      <c r="X765" s="13">
        <v>12.1</v>
      </c>
      <c r="AB765" s="13">
        <v>63.22</v>
      </c>
      <c r="AC765" s="13">
        <v>9.5</v>
      </c>
      <c r="AG765" s="13" t="s">
        <v>641</v>
      </c>
      <c r="AP765" s="13">
        <v>0.75</v>
      </c>
      <c r="AR765" s="13">
        <v>0.61</v>
      </c>
      <c r="AS765" s="13">
        <v>0.88</v>
      </c>
      <c r="BG765" s="13">
        <v>2.09</v>
      </c>
      <c r="BI765" s="13">
        <v>1.43</v>
      </c>
      <c r="BJ765" s="13">
        <v>3.42</v>
      </c>
      <c r="BR765" s="13">
        <v>1.2</v>
      </c>
      <c r="BT765" s="13">
        <v>0.3</v>
      </c>
      <c r="BU765" s="13">
        <v>1.78</v>
      </c>
      <c r="BX765" s="13" t="s">
        <v>635</v>
      </c>
      <c r="BY765" s="13" t="s">
        <v>455</v>
      </c>
      <c r="BZ765" s="13" t="s">
        <v>456</v>
      </c>
      <c r="CA765" s="13">
        <v>2021</v>
      </c>
      <c r="CB765" s="13" t="s">
        <v>44</v>
      </c>
      <c r="CC765" s="13" t="s">
        <v>411</v>
      </c>
      <c r="CD765" s="13">
        <v>9</v>
      </c>
      <c r="CE765" s="13">
        <v>11</v>
      </c>
      <c r="CG765" s="13" t="s">
        <v>457</v>
      </c>
    </row>
    <row r="766" spans="1:85">
      <c r="A766" s="13" t="s">
        <v>1736</v>
      </c>
      <c r="B766" s="13" t="s">
        <v>1902</v>
      </c>
      <c r="C766" s="13" t="s">
        <v>458</v>
      </c>
      <c r="D766" s="13" t="s">
        <v>827</v>
      </c>
      <c r="E766" s="13" t="s">
        <v>919</v>
      </c>
      <c r="F766" s="13" t="s">
        <v>984</v>
      </c>
      <c r="G766" s="13" t="s">
        <v>672</v>
      </c>
      <c r="H766" s="13" t="s">
        <v>686</v>
      </c>
      <c r="J766" s="13" t="s">
        <v>703</v>
      </c>
      <c r="K766" s="13" t="s">
        <v>4080</v>
      </c>
      <c r="L766" s="13" t="s">
        <v>585</v>
      </c>
      <c r="N766" s="13">
        <v>59</v>
      </c>
      <c r="O766" s="2">
        <f t="shared" si="68"/>
        <v>0.62105263157894741</v>
      </c>
      <c r="P766" s="13">
        <v>7</v>
      </c>
      <c r="Q766" s="17">
        <f t="shared" si="69"/>
        <v>0.53846153846153844</v>
      </c>
      <c r="R766" s="13">
        <v>95</v>
      </c>
      <c r="S766" s="13">
        <v>13</v>
      </c>
      <c r="W766" s="13">
        <v>62.2</v>
      </c>
      <c r="X766" s="13">
        <v>12.1</v>
      </c>
      <c r="AB766" s="13">
        <v>51.6</v>
      </c>
      <c r="AC766" s="13">
        <v>18.84</v>
      </c>
      <c r="AG766" s="13" t="s">
        <v>639</v>
      </c>
      <c r="AP766" s="13">
        <v>0.72</v>
      </c>
      <c r="AR766" s="13">
        <v>0.52</v>
      </c>
      <c r="AS766" s="13">
        <v>0.93</v>
      </c>
      <c r="BG766" s="13">
        <v>2.09</v>
      </c>
      <c r="BI766" s="13">
        <v>1.43</v>
      </c>
      <c r="BJ766" s="13">
        <v>3.42</v>
      </c>
      <c r="BR766" s="13">
        <v>0.43</v>
      </c>
      <c r="BT766" s="13">
        <v>0.22</v>
      </c>
      <c r="BU766" s="13">
        <v>0.71</v>
      </c>
      <c r="BX766" s="13" t="s">
        <v>635</v>
      </c>
      <c r="BY766" s="13" t="s">
        <v>455</v>
      </c>
      <c r="BZ766" s="13" t="s">
        <v>456</v>
      </c>
      <c r="CA766" s="13">
        <v>2021</v>
      </c>
      <c r="CB766" s="13" t="s">
        <v>44</v>
      </c>
      <c r="CC766" s="13" t="s">
        <v>411</v>
      </c>
      <c r="CD766" s="13">
        <v>9</v>
      </c>
      <c r="CE766" s="13">
        <v>11</v>
      </c>
      <c r="CG766" s="13" t="s">
        <v>457</v>
      </c>
    </row>
    <row r="767" spans="1:85">
      <c r="A767" s="13" t="s">
        <v>1736</v>
      </c>
      <c r="B767" s="13" t="s">
        <v>1902</v>
      </c>
      <c r="C767" s="13" t="s">
        <v>458</v>
      </c>
      <c r="D767" s="13" t="s">
        <v>827</v>
      </c>
      <c r="E767" s="13" t="s">
        <v>633</v>
      </c>
      <c r="F767" s="13" t="s">
        <v>774</v>
      </c>
      <c r="G767" s="13" t="s">
        <v>673</v>
      </c>
      <c r="H767" s="13" t="s">
        <v>686</v>
      </c>
      <c r="J767" s="13" t="s">
        <v>703</v>
      </c>
      <c r="K767" s="13" t="s">
        <v>4080</v>
      </c>
      <c r="L767" s="13" t="s">
        <v>585</v>
      </c>
      <c r="N767" s="13">
        <v>59</v>
      </c>
      <c r="O767" s="2">
        <f t="shared" si="68"/>
        <v>0.62105263157894741</v>
      </c>
      <c r="P767" s="13">
        <v>7</v>
      </c>
      <c r="Q767" s="17">
        <f t="shared" si="69"/>
        <v>0.46666666666666667</v>
      </c>
      <c r="R767" s="13">
        <v>95</v>
      </c>
      <c r="S767" s="13">
        <v>15</v>
      </c>
      <c r="W767" s="13">
        <v>62.2</v>
      </c>
      <c r="X767" s="13">
        <v>12.1</v>
      </c>
      <c r="AB767" s="13">
        <v>63.22</v>
      </c>
      <c r="AC767" s="13">
        <v>9.5</v>
      </c>
      <c r="AG767" s="13" t="s">
        <v>641</v>
      </c>
      <c r="AP767" s="13">
        <v>0.95</v>
      </c>
      <c r="AR767" s="13">
        <v>0.9</v>
      </c>
      <c r="AS767" s="13">
        <v>0.99</v>
      </c>
      <c r="BG767" s="13">
        <v>125.88</v>
      </c>
      <c r="BI767" s="13">
        <v>43.89</v>
      </c>
      <c r="BJ767" s="13">
        <v>283.63</v>
      </c>
      <c r="BR767" s="13">
        <v>79.78</v>
      </c>
      <c r="BT767" s="13">
        <v>10</v>
      </c>
      <c r="BU767" s="13">
        <v>148.94999999999999</v>
      </c>
      <c r="BX767" s="13">
        <v>7.0000000000000007E-2</v>
      </c>
      <c r="BY767" s="13" t="s">
        <v>455</v>
      </c>
      <c r="BZ767" s="13" t="s">
        <v>456</v>
      </c>
      <c r="CA767" s="13">
        <v>2021</v>
      </c>
      <c r="CB767" s="13" t="s">
        <v>44</v>
      </c>
      <c r="CC767" s="13" t="s">
        <v>411</v>
      </c>
      <c r="CD767" s="13">
        <v>9</v>
      </c>
      <c r="CE767" s="13">
        <v>11</v>
      </c>
      <c r="CG767" s="13" t="s">
        <v>457</v>
      </c>
    </row>
    <row r="768" spans="1:85">
      <c r="A768" s="13" t="s">
        <v>1736</v>
      </c>
      <c r="B768" s="13" t="s">
        <v>1902</v>
      </c>
      <c r="C768" s="13" t="s">
        <v>458</v>
      </c>
      <c r="D768" s="13" t="s">
        <v>827</v>
      </c>
      <c r="E768" s="13" t="s">
        <v>657</v>
      </c>
      <c r="F768" s="13" t="s">
        <v>984</v>
      </c>
      <c r="G768" s="13" t="s">
        <v>673</v>
      </c>
      <c r="H768" s="13" t="s">
        <v>686</v>
      </c>
      <c r="J768" s="13" t="s">
        <v>703</v>
      </c>
      <c r="K768" s="13" t="s">
        <v>4080</v>
      </c>
      <c r="L768" s="13" t="s">
        <v>585</v>
      </c>
      <c r="N768" s="13">
        <v>59</v>
      </c>
      <c r="O768" s="2">
        <f t="shared" si="68"/>
        <v>0.62105263157894741</v>
      </c>
      <c r="P768" s="13">
        <v>7</v>
      </c>
      <c r="Q768" s="17">
        <f t="shared" si="69"/>
        <v>0.53846153846153844</v>
      </c>
      <c r="R768" s="13">
        <v>95</v>
      </c>
      <c r="S768" s="13">
        <v>13</v>
      </c>
      <c r="W768" s="13">
        <v>62.2</v>
      </c>
      <c r="X768" s="13">
        <v>12.1</v>
      </c>
      <c r="AB768" s="13">
        <v>51.6</v>
      </c>
      <c r="AC768" s="13">
        <v>18.84</v>
      </c>
      <c r="AG768" s="13" t="s">
        <v>639</v>
      </c>
      <c r="AP768" s="13">
        <v>0.86</v>
      </c>
      <c r="AR768" s="13">
        <v>0.77</v>
      </c>
      <c r="AS768" s="13">
        <v>0.95</v>
      </c>
      <c r="BG768" s="13">
        <v>125.88</v>
      </c>
      <c r="BI768" s="13">
        <v>43.89</v>
      </c>
      <c r="BJ768" s="13">
        <v>283.63</v>
      </c>
      <c r="BR768" s="13">
        <v>2.06</v>
      </c>
      <c r="BT768" s="13">
        <v>0.1</v>
      </c>
      <c r="BU768" s="13">
        <v>22.7</v>
      </c>
      <c r="BX768" s="13" t="s">
        <v>635</v>
      </c>
      <c r="BY768" s="13" t="s">
        <v>455</v>
      </c>
      <c r="BZ768" s="13" t="s">
        <v>456</v>
      </c>
      <c r="CA768" s="13">
        <v>2021</v>
      </c>
      <c r="CB768" s="13" t="s">
        <v>44</v>
      </c>
      <c r="CC768" s="13" t="s">
        <v>411</v>
      </c>
      <c r="CD768" s="13">
        <v>9</v>
      </c>
      <c r="CE768" s="13">
        <v>11</v>
      </c>
      <c r="CG768" s="13" t="s">
        <v>457</v>
      </c>
    </row>
    <row r="769" spans="1:85">
      <c r="A769" s="13" t="s">
        <v>1737</v>
      </c>
      <c r="C769" s="13" t="s">
        <v>463</v>
      </c>
      <c r="D769" s="13" t="s">
        <v>830</v>
      </c>
      <c r="E769" s="13" t="s">
        <v>630</v>
      </c>
      <c r="G769" s="13" t="s">
        <v>674</v>
      </c>
      <c r="H769" s="13" t="s">
        <v>985</v>
      </c>
      <c r="J769" s="13" t="s">
        <v>703</v>
      </c>
      <c r="K769" s="13" t="s">
        <v>4096</v>
      </c>
      <c r="L769" s="13" t="s">
        <v>585</v>
      </c>
      <c r="N769" s="13">
        <v>28</v>
      </c>
      <c r="O769" s="2">
        <f t="shared" si="68"/>
        <v>0.62222222222222223</v>
      </c>
      <c r="P769" s="13">
        <v>28</v>
      </c>
      <c r="Q769" s="17">
        <f t="shared" si="69"/>
        <v>0.62222222222222223</v>
      </c>
      <c r="R769" s="13">
        <v>45</v>
      </c>
      <c r="S769" s="13">
        <v>45</v>
      </c>
      <c r="W769" s="13">
        <v>64.67</v>
      </c>
      <c r="X769" s="13">
        <v>9.11</v>
      </c>
      <c r="AB769" s="13">
        <v>63.87</v>
      </c>
      <c r="AC769" s="13">
        <v>4.82</v>
      </c>
      <c r="AG769" s="13" t="s">
        <v>986</v>
      </c>
      <c r="AH769" s="13">
        <v>0.39300000000000002</v>
      </c>
      <c r="AJ769" s="13">
        <v>40</v>
      </c>
      <c r="AM769" s="13">
        <v>91.1</v>
      </c>
      <c r="AP769" s="13">
        <v>0.86</v>
      </c>
      <c r="BG769" s="13">
        <v>0.371</v>
      </c>
      <c r="BI769" s="13">
        <v>0.30499999999999999</v>
      </c>
      <c r="BJ769" s="13">
        <v>0.45</v>
      </c>
      <c r="BR769" s="13">
        <v>0.13900000000000001</v>
      </c>
      <c r="BT769" s="13">
        <v>0.107</v>
      </c>
      <c r="BU769" s="13">
        <v>0.17499999999999999</v>
      </c>
      <c r="BX769" s="13" t="s">
        <v>701</v>
      </c>
      <c r="BY769" s="13" t="s">
        <v>459</v>
      </c>
      <c r="BZ769" s="13" t="s">
        <v>460</v>
      </c>
      <c r="CA769" s="13">
        <v>2021</v>
      </c>
      <c r="CB769" s="21">
        <v>45614</v>
      </c>
      <c r="CC769" s="13" t="s">
        <v>461</v>
      </c>
      <c r="CD769" s="13">
        <v>13</v>
      </c>
      <c r="CE769" s="13">
        <v>11</v>
      </c>
      <c r="CG769" s="13" t="s">
        <v>462</v>
      </c>
    </row>
    <row r="770" spans="1:85">
      <c r="A770" s="13" t="s">
        <v>1737</v>
      </c>
      <c r="C770" s="13" t="s">
        <v>463</v>
      </c>
      <c r="D770" s="13" t="s">
        <v>830</v>
      </c>
      <c r="E770" s="13" t="s">
        <v>630</v>
      </c>
      <c r="G770" s="13" t="s">
        <v>674</v>
      </c>
      <c r="H770" s="13" t="s">
        <v>987</v>
      </c>
      <c r="J770" s="13" t="s">
        <v>703</v>
      </c>
      <c r="K770" s="13" t="s">
        <v>4096</v>
      </c>
      <c r="L770" s="13" t="s">
        <v>585</v>
      </c>
      <c r="N770" s="13">
        <v>28</v>
      </c>
      <c r="O770" s="2">
        <f t="shared" si="68"/>
        <v>0.62222222222222223</v>
      </c>
      <c r="P770" s="13">
        <v>28</v>
      </c>
      <c r="Q770" s="17">
        <f t="shared" si="69"/>
        <v>0.62222222222222223</v>
      </c>
      <c r="R770" s="13">
        <v>45</v>
      </c>
      <c r="S770" s="13">
        <v>45</v>
      </c>
      <c r="W770" s="13">
        <v>64.67</v>
      </c>
      <c r="X770" s="13">
        <v>9.11</v>
      </c>
      <c r="AB770" s="13">
        <v>63.87</v>
      </c>
      <c r="AC770" s="13">
        <v>4.82</v>
      </c>
      <c r="AG770" s="13" t="s">
        <v>986</v>
      </c>
      <c r="AH770" s="13">
        <v>0.38100000000000001</v>
      </c>
      <c r="AJ770" s="13">
        <v>22.2</v>
      </c>
      <c r="AM770" s="13">
        <v>97.8</v>
      </c>
      <c r="AP770" s="13">
        <v>0.81299999999999994</v>
      </c>
      <c r="BG770" s="13">
        <v>0.28399999999999997</v>
      </c>
      <c r="BI770" s="13">
        <v>0.24299999999999999</v>
      </c>
      <c r="BJ770" s="13">
        <v>0.191</v>
      </c>
      <c r="BR770" s="13">
        <v>0.157</v>
      </c>
      <c r="BT770" s="13">
        <v>8.4000000000000005E-2</v>
      </c>
      <c r="BU770" s="13">
        <v>0.191</v>
      </c>
      <c r="BX770" s="13" t="s">
        <v>701</v>
      </c>
      <c r="BY770" s="13" t="s">
        <v>459</v>
      </c>
      <c r="BZ770" s="13" t="s">
        <v>460</v>
      </c>
      <c r="CA770" s="13">
        <v>2021</v>
      </c>
      <c r="CB770" s="21">
        <v>45614</v>
      </c>
      <c r="CC770" s="13" t="s">
        <v>461</v>
      </c>
      <c r="CD770" s="13">
        <v>13</v>
      </c>
      <c r="CE770" s="13">
        <v>11</v>
      </c>
      <c r="CG770" s="13" t="s">
        <v>462</v>
      </c>
    </row>
    <row r="771" spans="1:85">
      <c r="A771" s="13" t="s">
        <v>1737</v>
      </c>
      <c r="C771" s="13" t="s">
        <v>463</v>
      </c>
      <c r="D771" s="13" t="s">
        <v>830</v>
      </c>
      <c r="E771" s="13" t="s">
        <v>630</v>
      </c>
      <c r="G771" s="13" t="s">
        <v>674</v>
      </c>
      <c r="H771" s="13" t="s">
        <v>988</v>
      </c>
      <c r="J771" s="13" t="s">
        <v>703</v>
      </c>
      <c r="K771" s="13" t="s">
        <v>4096</v>
      </c>
      <c r="L771" s="13" t="s">
        <v>585</v>
      </c>
      <c r="N771" s="13">
        <v>28</v>
      </c>
      <c r="O771" s="2">
        <f t="shared" si="68"/>
        <v>0.62222222222222223</v>
      </c>
      <c r="P771" s="13">
        <v>28</v>
      </c>
      <c r="Q771" s="17">
        <f t="shared" si="69"/>
        <v>0.62222222222222223</v>
      </c>
      <c r="R771" s="13">
        <v>45</v>
      </c>
      <c r="S771" s="13">
        <v>45</v>
      </c>
      <c r="W771" s="13">
        <v>64.67</v>
      </c>
      <c r="X771" s="13">
        <v>9.11</v>
      </c>
      <c r="AB771" s="13">
        <v>63.87</v>
      </c>
      <c r="AC771" s="13">
        <v>4.82</v>
      </c>
      <c r="AG771" s="13" t="s">
        <v>986</v>
      </c>
      <c r="AH771" s="13">
        <v>0.38500000000000001</v>
      </c>
      <c r="AJ771" s="13">
        <v>48.9</v>
      </c>
      <c r="AM771" s="13">
        <v>97.8</v>
      </c>
      <c r="AP771" s="13">
        <v>0.91500000000000004</v>
      </c>
      <c r="BG771" s="13">
        <v>0.38600000000000001</v>
      </c>
      <c r="BI771" s="13">
        <v>0.33200000000000002</v>
      </c>
      <c r="BJ771" s="13">
        <v>0.45300000000000001</v>
      </c>
      <c r="BR771" s="13">
        <v>0.11</v>
      </c>
      <c r="BT771" s="13">
        <v>7.3999999999999996E-2</v>
      </c>
      <c r="BU771" s="13">
        <v>0.16800000000000001</v>
      </c>
      <c r="BX771" s="13" t="s">
        <v>701</v>
      </c>
      <c r="BY771" s="13" t="s">
        <v>459</v>
      </c>
      <c r="BZ771" s="13" t="s">
        <v>460</v>
      </c>
      <c r="CA771" s="13">
        <v>2021</v>
      </c>
      <c r="CB771" s="21">
        <v>45614</v>
      </c>
      <c r="CC771" s="13" t="s">
        <v>461</v>
      </c>
      <c r="CD771" s="13">
        <v>13</v>
      </c>
      <c r="CE771" s="13">
        <v>11</v>
      </c>
      <c r="CG771" s="13" t="s">
        <v>462</v>
      </c>
    </row>
    <row r="772" spans="1:85">
      <c r="A772" s="13" t="s">
        <v>1737</v>
      </c>
      <c r="C772" s="13" t="s">
        <v>463</v>
      </c>
      <c r="D772" s="13" t="s">
        <v>830</v>
      </c>
      <c r="E772" s="13" t="s">
        <v>630</v>
      </c>
      <c r="G772" s="13" t="s">
        <v>674</v>
      </c>
      <c r="H772" s="13" t="s">
        <v>989</v>
      </c>
      <c r="J772" s="13" t="s">
        <v>703</v>
      </c>
      <c r="K772" s="13" t="s">
        <v>4096</v>
      </c>
      <c r="L772" s="13" t="s">
        <v>585</v>
      </c>
      <c r="N772" s="13">
        <v>28</v>
      </c>
      <c r="O772" s="2">
        <f t="shared" si="68"/>
        <v>0.62222222222222223</v>
      </c>
      <c r="P772" s="13">
        <v>28</v>
      </c>
      <c r="Q772" s="17">
        <f t="shared" si="69"/>
        <v>0.62222222222222223</v>
      </c>
      <c r="R772" s="13">
        <v>45</v>
      </c>
      <c r="S772" s="13">
        <v>45</v>
      </c>
      <c r="W772" s="13">
        <v>64.67</v>
      </c>
      <c r="X772" s="13">
        <v>9.11</v>
      </c>
      <c r="AB772" s="13">
        <v>63.87</v>
      </c>
      <c r="AC772" s="13">
        <v>4.82</v>
      </c>
      <c r="AG772" s="13" t="s">
        <v>986</v>
      </c>
      <c r="AH772" s="13">
        <v>0.38500000000000001</v>
      </c>
      <c r="AJ772" s="13">
        <v>20</v>
      </c>
      <c r="AM772" s="13">
        <v>97.8</v>
      </c>
      <c r="AP772" s="13">
        <v>0.91500000000000004</v>
      </c>
      <c r="BG772" s="13">
        <v>0.38600000000000001</v>
      </c>
      <c r="BI772" s="13">
        <v>0.33200000000000002</v>
      </c>
      <c r="BJ772" s="13">
        <v>0.45300000000000001</v>
      </c>
      <c r="BR772" s="13">
        <v>0.11</v>
      </c>
      <c r="BT772" s="13">
        <v>7.3999999999999996E-2</v>
      </c>
      <c r="BU772" s="13">
        <v>0.16800000000000001</v>
      </c>
      <c r="BX772" s="13" t="s">
        <v>701</v>
      </c>
      <c r="BY772" s="13" t="s">
        <v>459</v>
      </c>
      <c r="BZ772" s="13" t="s">
        <v>460</v>
      </c>
      <c r="CA772" s="13">
        <v>2021</v>
      </c>
      <c r="CB772" s="21">
        <v>45614</v>
      </c>
      <c r="CC772" s="13" t="s">
        <v>461</v>
      </c>
      <c r="CD772" s="13">
        <v>13</v>
      </c>
      <c r="CE772" s="13">
        <v>11</v>
      </c>
      <c r="CG772" s="13" t="s">
        <v>462</v>
      </c>
    </row>
    <row r="773" spans="1:85">
      <c r="A773" s="13" t="s">
        <v>1738</v>
      </c>
      <c r="C773" s="13" t="s">
        <v>468</v>
      </c>
      <c r="D773" s="16" t="s">
        <v>992</v>
      </c>
      <c r="E773" s="13" t="s">
        <v>630</v>
      </c>
      <c r="F773" s="13" t="s">
        <v>991</v>
      </c>
      <c r="G773" s="13" t="s">
        <v>674</v>
      </c>
      <c r="H773" s="13" t="s">
        <v>675</v>
      </c>
      <c r="J773" s="13" t="s">
        <v>586</v>
      </c>
      <c r="K773" s="13" t="s">
        <v>3641</v>
      </c>
      <c r="L773" s="13" t="s">
        <v>1976</v>
      </c>
      <c r="M773" s="13" t="s">
        <v>990</v>
      </c>
      <c r="N773" s="13">
        <f>237-112</f>
        <v>125</v>
      </c>
      <c r="O773" s="2">
        <f t="shared" si="68"/>
        <v>0.52742616033755274</v>
      </c>
      <c r="P773" s="13">
        <f>948-448</f>
        <v>500</v>
      </c>
      <c r="Q773" s="17">
        <f t="shared" si="69"/>
        <v>0.52742616033755274</v>
      </c>
      <c r="R773" s="13">
        <v>237</v>
      </c>
      <c r="S773" s="13">
        <v>948</v>
      </c>
      <c r="V773" s="13">
        <v>46</v>
      </c>
      <c r="W773" s="13">
        <v>60.1</v>
      </c>
      <c r="X773" s="13">
        <v>6.9</v>
      </c>
      <c r="AB773" s="13">
        <v>60.1</v>
      </c>
      <c r="AC773" s="13">
        <v>6.9</v>
      </c>
      <c r="AG773" s="13" t="s">
        <v>3642</v>
      </c>
      <c r="AP773" s="13">
        <v>0.96</v>
      </c>
      <c r="BB773" s="13">
        <v>0.6</v>
      </c>
      <c r="BC773" s="13">
        <v>0.9</v>
      </c>
      <c r="BM773" s="13">
        <v>0.1</v>
      </c>
      <c r="BN773" s="13">
        <v>0.5</v>
      </c>
      <c r="BX773" s="13" t="s">
        <v>691</v>
      </c>
      <c r="BY773" s="13" t="s">
        <v>464</v>
      </c>
      <c r="BZ773" s="13" t="s">
        <v>465</v>
      </c>
      <c r="CA773" s="13">
        <v>2024</v>
      </c>
      <c r="CB773" s="13" t="s">
        <v>253</v>
      </c>
      <c r="CC773" s="13" t="s">
        <v>64</v>
      </c>
      <c r="CD773" s="13">
        <v>25</v>
      </c>
      <c r="CE773" s="24">
        <v>45293</v>
      </c>
      <c r="CF773" s="13" t="s">
        <v>466</v>
      </c>
      <c r="CG773" s="13" t="s">
        <v>467</v>
      </c>
    </row>
    <row r="774" spans="1:85">
      <c r="A774" s="13" t="s">
        <v>1903</v>
      </c>
      <c r="B774" s="13" t="s">
        <v>1903</v>
      </c>
      <c r="C774" s="14" t="s">
        <v>1507</v>
      </c>
      <c r="D774" s="14" t="s">
        <v>2371</v>
      </c>
      <c r="E774" s="13" t="s">
        <v>657</v>
      </c>
      <c r="F774" s="13" t="s">
        <v>2845</v>
      </c>
      <c r="J774" s="13" t="s">
        <v>647</v>
      </c>
      <c r="K774" s="14" t="s">
        <v>2842</v>
      </c>
      <c r="L774" s="14" t="s">
        <v>1972</v>
      </c>
      <c r="M774" s="14" t="s">
        <v>2846</v>
      </c>
      <c r="N774" s="13">
        <v>13</v>
      </c>
      <c r="O774" s="2">
        <f t="shared" si="68"/>
        <v>0.56521739130434778</v>
      </c>
      <c r="R774" s="13">
        <v>23</v>
      </c>
      <c r="S774" s="13">
        <v>10</v>
      </c>
      <c r="W774" s="13">
        <v>60</v>
      </c>
      <c r="X774" s="13">
        <v>10</v>
      </c>
      <c r="BG774" s="28"/>
      <c r="BY774" s="13" t="s">
        <v>1504</v>
      </c>
      <c r="BZ774" s="13" t="s">
        <v>1505</v>
      </c>
      <c r="CA774" s="13">
        <v>2021</v>
      </c>
      <c r="CC774" s="13" t="s">
        <v>105</v>
      </c>
      <c r="CD774" s="13">
        <v>3</v>
      </c>
      <c r="CE774" s="13">
        <v>3</v>
      </c>
      <c r="CG774" s="13" t="s">
        <v>1506</v>
      </c>
    </row>
    <row r="775" spans="1:85">
      <c r="A775" s="13" t="s">
        <v>1739</v>
      </c>
      <c r="B775" s="13" t="s">
        <v>2124</v>
      </c>
      <c r="C775" s="13" t="s">
        <v>473</v>
      </c>
      <c r="D775" s="13" t="s">
        <v>818</v>
      </c>
      <c r="E775" s="13" t="s">
        <v>630</v>
      </c>
      <c r="F775" s="13" t="s">
        <v>711</v>
      </c>
      <c r="G775" s="13" t="s">
        <v>674</v>
      </c>
      <c r="H775" s="13" t="s">
        <v>995</v>
      </c>
      <c r="J775" s="13" t="s">
        <v>993</v>
      </c>
      <c r="K775" s="13" t="s">
        <v>4097</v>
      </c>
      <c r="L775" s="13" t="s">
        <v>994</v>
      </c>
      <c r="N775" s="13">
        <v>24</v>
      </c>
      <c r="O775" s="2">
        <f t="shared" si="68"/>
        <v>0.8</v>
      </c>
      <c r="P775" s="13">
        <v>15</v>
      </c>
      <c r="Q775" s="17">
        <f>P775/S775</f>
        <v>0.75</v>
      </c>
      <c r="R775" s="13">
        <v>30</v>
      </c>
      <c r="S775" s="13">
        <v>20</v>
      </c>
      <c r="T775" s="13">
        <v>8</v>
      </c>
      <c r="U775" s="15">
        <f>T775/R775</f>
        <v>0.26666666666666666</v>
      </c>
      <c r="W775" s="13">
        <v>45.57</v>
      </c>
      <c r="X775" s="13">
        <v>13.12</v>
      </c>
      <c r="AB775" s="13">
        <v>46.3</v>
      </c>
      <c r="AC775" s="13">
        <v>11.52</v>
      </c>
      <c r="AG775" s="13" t="s">
        <v>2848</v>
      </c>
      <c r="AP775" s="13">
        <v>0.81299999999999994</v>
      </c>
      <c r="AR775" s="13">
        <v>0.67300000000000004</v>
      </c>
      <c r="AS775" s="13">
        <v>0.95199999999999996</v>
      </c>
      <c r="BX775" s="13" t="s">
        <v>635</v>
      </c>
      <c r="BY775" s="13" t="s">
        <v>469</v>
      </c>
      <c r="BZ775" s="13" t="s">
        <v>470</v>
      </c>
      <c r="CA775" s="13">
        <v>2021</v>
      </c>
      <c r="CB775" s="13" t="s">
        <v>357</v>
      </c>
      <c r="CC775" s="13" t="s">
        <v>471</v>
      </c>
      <c r="CD775" s="13">
        <v>208</v>
      </c>
      <c r="CF775" s="13">
        <v>106883</v>
      </c>
      <c r="CG775" s="13" t="s">
        <v>472</v>
      </c>
    </row>
    <row r="776" spans="1:85">
      <c r="A776" s="13" t="s">
        <v>1739</v>
      </c>
      <c r="B776" s="13" t="s">
        <v>2124</v>
      </c>
      <c r="C776" s="13" t="s">
        <v>473</v>
      </c>
      <c r="D776" s="13" t="s">
        <v>818</v>
      </c>
      <c r="E776" s="13" t="s">
        <v>630</v>
      </c>
      <c r="F776" s="13" t="s">
        <v>711</v>
      </c>
      <c r="G776" s="13" t="s">
        <v>674</v>
      </c>
      <c r="H776" s="13" t="s">
        <v>996</v>
      </c>
      <c r="J776" s="13" t="s">
        <v>993</v>
      </c>
      <c r="K776" s="13" t="s">
        <v>4097</v>
      </c>
      <c r="L776" s="13" t="s">
        <v>994</v>
      </c>
      <c r="N776" s="13">
        <v>24</v>
      </c>
      <c r="O776" s="2">
        <f t="shared" si="68"/>
        <v>0.8</v>
      </c>
      <c r="P776" s="13">
        <v>15</v>
      </c>
      <c r="Q776" s="17">
        <f>P776/S776</f>
        <v>0.75</v>
      </c>
      <c r="R776" s="13">
        <v>30</v>
      </c>
      <c r="S776" s="13">
        <v>20</v>
      </c>
      <c r="T776" s="13">
        <v>8</v>
      </c>
      <c r="U776" s="15">
        <f>T776/R776</f>
        <v>0.26666666666666666</v>
      </c>
      <c r="W776" s="13">
        <v>45.57</v>
      </c>
      <c r="X776" s="13">
        <v>13.12</v>
      </c>
      <c r="AB776" s="13">
        <v>46.3</v>
      </c>
      <c r="AC776" s="13">
        <v>11.52</v>
      </c>
      <c r="AG776" s="13" t="s">
        <v>2848</v>
      </c>
      <c r="AP776" s="13">
        <v>0.81799999999999995</v>
      </c>
      <c r="AR776" s="13">
        <v>0.68300000000000005</v>
      </c>
      <c r="AS776" s="13">
        <v>0.95299999999999996</v>
      </c>
      <c r="BX776" s="13" t="s">
        <v>635</v>
      </c>
      <c r="BY776" s="13" t="s">
        <v>469</v>
      </c>
      <c r="BZ776" s="13" t="s">
        <v>470</v>
      </c>
      <c r="CA776" s="13">
        <v>2021</v>
      </c>
      <c r="CB776" s="13" t="s">
        <v>357</v>
      </c>
      <c r="CC776" s="13" t="s">
        <v>471</v>
      </c>
      <c r="CD776" s="13">
        <v>208</v>
      </c>
      <c r="CF776" s="13">
        <v>106883</v>
      </c>
      <c r="CG776" s="13" t="s">
        <v>472</v>
      </c>
    </row>
    <row r="777" spans="1:85">
      <c r="A777" s="13" t="s">
        <v>1904</v>
      </c>
      <c r="B777" s="13" t="s">
        <v>1904</v>
      </c>
      <c r="C777" s="14" t="s">
        <v>1511</v>
      </c>
      <c r="D777" s="14" t="s">
        <v>818</v>
      </c>
      <c r="E777" s="13" t="s">
        <v>657</v>
      </c>
      <c r="F777" s="13" t="s">
        <v>2857</v>
      </c>
      <c r="G777" s="13" t="s">
        <v>674</v>
      </c>
      <c r="H777" s="30" t="s">
        <v>2853</v>
      </c>
      <c r="J777" s="14" t="s">
        <v>703</v>
      </c>
      <c r="K777" s="14" t="s">
        <v>2849</v>
      </c>
      <c r="L777" s="14" t="s">
        <v>2362</v>
      </c>
      <c r="M777" s="14" t="s">
        <v>2854</v>
      </c>
      <c r="R777" s="13">
        <v>40</v>
      </c>
      <c r="S777" s="13">
        <f>36+28</f>
        <v>64</v>
      </c>
      <c r="T777" s="13">
        <v>0</v>
      </c>
      <c r="V777" s="13">
        <v>0</v>
      </c>
      <c r="W777" s="13">
        <v>67</v>
      </c>
      <c r="X777" s="13">
        <v>9.91</v>
      </c>
      <c r="AG777" s="13" t="s">
        <v>2858</v>
      </c>
      <c r="AP777" s="13">
        <v>0.71699999999999997</v>
      </c>
      <c r="AT777" s="13">
        <v>0.65300000000000002</v>
      </c>
      <c r="BG777" s="28"/>
      <c r="BX777" s="13" t="s">
        <v>1027</v>
      </c>
      <c r="BY777" s="13" t="s">
        <v>1508</v>
      </c>
      <c r="BZ777" s="13" t="s">
        <v>1509</v>
      </c>
      <c r="CA777" s="13">
        <v>2019</v>
      </c>
      <c r="CC777" s="13" t="s">
        <v>1197</v>
      </c>
      <c r="CD777" s="13">
        <v>13</v>
      </c>
      <c r="CF777" s="13" t="s">
        <v>2160</v>
      </c>
      <c r="CG777" s="13" t="s">
        <v>1510</v>
      </c>
    </row>
    <row r="778" spans="1:85">
      <c r="A778" s="13" t="s">
        <v>1740</v>
      </c>
      <c r="B778" s="13" t="s">
        <v>1905</v>
      </c>
      <c r="C778" s="13" t="s">
        <v>1955</v>
      </c>
      <c r="D778" s="13" t="s">
        <v>1015</v>
      </c>
      <c r="E778" s="13" t="s">
        <v>633</v>
      </c>
      <c r="F778" s="13" t="s">
        <v>997</v>
      </c>
      <c r="G778" s="13" t="s">
        <v>672</v>
      </c>
      <c r="H778" s="13" t="s">
        <v>680</v>
      </c>
      <c r="J778" s="14" t="s">
        <v>2860</v>
      </c>
      <c r="K778" s="13" t="s">
        <v>4098</v>
      </c>
      <c r="L778" s="13" t="s">
        <v>585</v>
      </c>
      <c r="N778" s="13">
        <v>38</v>
      </c>
      <c r="O778" s="2">
        <f t="shared" ref="O778:O799" si="70">N778/R778</f>
        <v>0.65517241379310343</v>
      </c>
      <c r="P778" s="13">
        <v>29</v>
      </c>
      <c r="Q778" s="17">
        <f t="shared" ref="Q778:Q799" si="71">P778/S778</f>
        <v>0.70731707317073167</v>
      </c>
      <c r="R778" s="13">
        <v>58</v>
      </c>
      <c r="S778" s="13">
        <v>41</v>
      </c>
      <c r="V778" s="13">
        <v>6</v>
      </c>
      <c r="Y778" s="13">
        <v>62</v>
      </c>
      <c r="AD778" s="13">
        <v>56</v>
      </c>
      <c r="AG778" s="13" t="s">
        <v>639</v>
      </c>
      <c r="AJ778" s="13">
        <v>55</v>
      </c>
      <c r="AM778" s="13">
        <v>89</v>
      </c>
      <c r="AP778" s="13">
        <v>0.76</v>
      </c>
      <c r="BG778" s="13">
        <v>10412</v>
      </c>
      <c r="BR778" s="13">
        <v>3210</v>
      </c>
      <c r="BY778" s="13" t="s">
        <v>474</v>
      </c>
      <c r="BZ778" s="13" t="s">
        <v>475</v>
      </c>
      <c r="CA778" s="13">
        <v>2021</v>
      </c>
      <c r="CB778" s="13" t="s">
        <v>330</v>
      </c>
      <c r="CC778" s="13" t="s">
        <v>64</v>
      </c>
      <c r="CD778" s="13">
        <v>22</v>
      </c>
      <c r="CE778" s="24">
        <v>45355</v>
      </c>
      <c r="CF778" s="13" t="s">
        <v>476</v>
      </c>
      <c r="CG778" s="13" t="s">
        <v>477</v>
      </c>
    </row>
    <row r="779" spans="1:85">
      <c r="A779" s="13" t="s">
        <v>1740</v>
      </c>
      <c r="B779" s="13" t="s">
        <v>1905</v>
      </c>
      <c r="C779" s="13" t="s">
        <v>1955</v>
      </c>
      <c r="D779" s="13" t="s">
        <v>1015</v>
      </c>
      <c r="E779" s="13" t="s">
        <v>4105</v>
      </c>
      <c r="F779" s="13" t="s">
        <v>998</v>
      </c>
      <c r="G779" s="13" t="s">
        <v>672</v>
      </c>
      <c r="H779" s="13" t="s">
        <v>680</v>
      </c>
      <c r="J779" s="14" t="s">
        <v>2860</v>
      </c>
      <c r="K779" s="13" t="s">
        <v>4098</v>
      </c>
      <c r="L779" s="13" t="s">
        <v>585</v>
      </c>
      <c r="N779" s="13">
        <v>38</v>
      </c>
      <c r="O779" s="2">
        <f t="shared" si="70"/>
        <v>0.65517241379310343</v>
      </c>
      <c r="P779" s="13">
        <v>15</v>
      </c>
      <c r="Q779" s="17">
        <f t="shared" si="71"/>
        <v>0.34883720930232559</v>
      </c>
      <c r="R779" s="13">
        <v>58</v>
      </c>
      <c r="S779" s="13">
        <v>43</v>
      </c>
      <c r="V779" s="13">
        <v>6</v>
      </c>
      <c r="Y779" s="13">
        <v>62</v>
      </c>
      <c r="AD779" s="13">
        <v>51</v>
      </c>
      <c r="AG779" s="13" t="s">
        <v>639</v>
      </c>
      <c r="AJ779" s="13">
        <v>82</v>
      </c>
      <c r="AM779" s="13">
        <v>84</v>
      </c>
      <c r="AP779" s="13">
        <v>0.86</v>
      </c>
      <c r="BG779" s="13">
        <v>10412</v>
      </c>
      <c r="BR779" s="13">
        <v>2060</v>
      </c>
      <c r="BY779" s="13" t="s">
        <v>474</v>
      </c>
      <c r="BZ779" s="13" t="s">
        <v>475</v>
      </c>
      <c r="CA779" s="13">
        <v>2021</v>
      </c>
      <c r="CB779" s="13" t="s">
        <v>330</v>
      </c>
      <c r="CC779" s="13" t="s">
        <v>64</v>
      </c>
      <c r="CD779" s="13">
        <v>22</v>
      </c>
      <c r="CE779" s="24">
        <v>45355</v>
      </c>
      <c r="CF779" s="13" t="s">
        <v>476</v>
      </c>
      <c r="CG779" s="13" t="s">
        <v>477</v>
      </c>
    </row>
    <row r="780" spans="1:85">
      <c r="A780" s="13" t="s">
        <v>1740</v>
      </c>
      <c r="B780" s="13" t="s">
        <v>1905</v>
      </c>
      <c r="C780" s="13" t="s">
        <v>1955</v>
      </c>
      <c r="D780" s="13" t="s">
        <v>1015</v>
      </c>
      <c r="E780" s="13" t="s">
        <v>633</v>
      </c>
      <c r="F780" s="13" t="s">
        <v>997</v>
      </c>
      <c r="G780" s="13" t="s">
        <v>672</v>
      </c>
      <c r="H780" s="13" t="s">
        <v>675</v>
      </c>
      <c r="J780" s="14" t="s">
        <v>2860</v>
      </c>
      <c r="K780" s="13" t="s">
        <v>4098</v>
      </c>
      <c r="L780" s="13" t="s">
        <v>585</v>
      </c>
      <c r="N780" s="13">
        <v>38</v>
      </c>
      <c r="O780" s="2">
        <f t="shared" si="70"/>
        <v>0.65517241379310343</v>
      </c>
      <c r="P780" s="13">
        <v>29</v>
      </c>
      <c r="Q780" s="17">
        <f t="shared" si="71"/>
        <v>0.70731707317073167</v>
      </c>
      <c r="R780" s="13">
        <v>58</v>
      </c>
      <c r="S780" s="13">
        <v>41</v>
      </c>
      <c r="V780" s="13">
        <v>6</v>
      </c>
      <c r="Y780" s="13">
        <v>62</v>
      </c>
      <c r="AD780" s="13">
        <v>56</v>
      </c>
      <c r="AG780" s="13" t="s">
        <v>639</v>
      </c>
      <c r="AJ780" s="13">
        <v>80</v>
      </c>
      <c r="AM780" s="13">
        <v>88</v>
      </c>
      <c r="AP780" s="13">
        <v>0.94</v>
      </c>
      <c r="BG780" s="13">
        <v>6802</v>
      </c>
      <c r="BR780" s="13">
        <v>740</v>
      </c>
      <c r="BY780" s="13" t="s">
        <v>474</v>
      </c>
      <c r="BZ780" s="13" t="s">
        <v>475</v>
      </c>
      <c r="CA780" s="13">
        <v>2021</v>
      </c>
      <c r="CB780" s="13" t="s">
        <v>330</v>
      </c>
      <c r="CC780" s="13" t="s">
        <v>64</v>
      </c>
      <c r="CD780" s="13">
        <v>22</v>
      </c>
      <c r="CE780" s="24">
        <v>45355</v>
      </c>
      <c r="CF780" s="13" t="s">
        <v>476</v>
      </c>
      <c r="CG780" s="13" t="s">
        <v>477</v>
      </c>
    </row>
    <row r="781" spans="1:85">
      <c r="A781" s="13" t="s">
        <v>1740</v>
      </c>
      <c r="B781" s="13" t="s">
        <v>1905</v>
      </c>
      <c r="C781" s="13" t="s">
        <v>1955</v>
      </c>
      <c r="D781" s="13" t="s">
        <v>1015</v>
      </c>
      <c r="E781" s="13" t="s">
        <v>4105</v>
      </c>
      <c r="F781" s="13" t="s">
        <v>998</v>
      </c>
      <c r="G781" s="13" t="s">
        <v>672</v>
      </c>
      <c r="H781" s="13" t="s">
        <v>675</v>
      </c>
      <c r="J781" s="14" t="s">
        <v>2860</v>
      </c>
      <c r="K781" s="13" t="s">
        <v>4098</v>
      </c>
      <c r="L781" s="13" t="s">
        <v>585</v>
      </c>
      <c r="N781" s="13">
        <v>38</v>
      </c>
      <c r="O781" s="2">
        <f t="shared" si="70"/>
        <v>0.65517241379310343</v>
      </c>
      <c r="P781" s="13">
        <v>15</v>
      </c>
      <c r="Q781" s="17">
        <f t="shared" si="71"/>
        <v>0.34883720930232559</v>
      </c>
      <c r="R781" s="13">
        <v>58</v>
      </c>
      <c r="S781" s="13">
        <v>43</v>
      </c>
      <c r="V781" s="13">
        <v>6</v>
      </c>
      <c r="Y781" s="13">
        <v>62</v>
      </c>
      <c r="AD781" s="13">
        <v>51</v>
      </c>
      <c r="AG781" s="13" t="s">
        <v>639</v>
      </c>
      <c r="AJ781" s="13">
        <v>81</v>
      </c>
      <c r="AM781" s="13">
        <v>86</v>
      </c>
      <c r="AP781" s="13">
        <v>0.9</v>
      </c>
      <c r="BG781" s="13">
        <v>6802</v>
      </c>
      <c r="BR781" s="13">
        <v>1225</v>
      </c>
      <c r="BY781" s="13" t="s">
        <v>474</v>
      </c>
      <c r="BZ781" s="13" t="s">
        <v>475</v>
      </c>
      <c r="CA781" s="13">
        <v>2021</v>
      </c>
      <c r="CB781" s="13" t="s">
        <v>330</v>
      </c>
      <c r="CC781" s="13" t="s">
        <v>64</v>
      </c>
      <c r="CD781" s="13">
        <v>22</v>
      </c>
      <c r="CE781" s="24">
        <v>45355</v>
      </c>
      <c r="CF781" s="13" t="s">
        <v>476</v>
      </c>
      <c r="CG781" s="13" t="s">
        <v>477</v>
      </c>
    </row>
    <row r="782" spans="1:85">
      <c r="A782" s="13" t="s">
        <v>1740</v>
      </c>
      <c r="B782" s="13" t="s">
        <v>1905</v>
      </c>
      <c r="C782" s="13" t="s">
        <v>1955</v>
      </c>
      <c r="D782" s="13" t="s">
        <v>1015</v>
      </c>
      <c r="E782" s="13" t="s">
        <v>633</v>
      </c>
      <c r="F782" s="13" t="s">
        <v>997</v>
      </c>
      <c r="G782" s="13" t="s">
        <v>672</v>
      </c>
      <c r="H782" s="13" t="s">
        <v>686</v>
      </c>
      <c r="J782" s="14" t="s">
        <v>2860</v>
      </c>
      <c r="K782" s="13" t="s">
        <v>4098</v>
      </c>
      <c r="L782" s="13" t="s">
        <v>585</v>
      </c>
      <c r="N782" s="13">
        <v>38</v>
      </c>
      <c r="O782" s="2">
        <f t="shared" si="70"/>
        <v>0.65517241379310343</v>
      </c>
      <c r="P782" s="13">
        <v>29</v>
      </c>
      <c r="Q782" s="17">
        <f t="shared" si="71"/>
        <v>0.70731707317073167</v>
      </c>
      <c r="R782" s="13">
        <v>58</v>
      </c>
      <c r="S782" s="13">
        <v>41</v>
      </c>
      <c r="V782" s="13">
        <v>6</v>
      </c>
      <c r="Y782" s="13">
        <v>62</v>
      </c>
      <c r="AD782" s="13">
        <v>56</v>
      </c>
      <c r="AG782" s="13" t="s">
        <v>639</v>
      </c>
      <c r="AJ782" s="13">
        <v>92</v>
      </c>
      <c r="AM782" s="13">
        <v>97</v>
      </c>
      <c r="AP782" s="13">
        <v>0.94</v>
      </c>
      <c r="BG782" s="13">
        <v>3819</v>
      </c>
      <c r="BR782" s="13">
        <v>352</v>
      </c>
      <c r="BY782" s="13" t="s">
        <v>474</v>
      </c>
      <c r="BZ782" s="13" t="s">
        <v>475</v>
      </c>
      <c r="CA782" s="13">
        <v>2021</v>
      </c>
      <c r="CB782" s="13" t="s">
        <v>330</v>
      </c>
      <c r="CC782" s="13" t="s">
        <v>64</v>
      </c>
      <c r="CD782" s="13">
        <v>22</v>
      </c>
      <c r="CE782" s="24">
        <v>45355</v>
      </c>
      <c r="CF782" s="13" t="s">
        <v>476</v>
      </c>
      <c r="CG782" s="13" t="s">
        <v>477</v>
      </c>
    </row>
    <row r="783" spans="1:85">
      <c r="A783" s="13" t="s">
        <v>1740</v>
      </c>
      <c r="B783" s="13" t="s">
        <v>1905</v>
      </c>
      <c r="C783" s="13" t="s">
        <v>1955</v>
      </c>
      <c r="D783" s="13" t="s">
        <v>1015</v>
      </c>
      <c r="E783" s="13" t="s">
        <v>4105</v>
      </c>
      <c r="F783" s="13" t="s">
        <v>998</v>
      </c>
      <c r="G783" s="13" t="s">
        <v>672</v>
      </c>
      <c r="H783" s="13" t="s">
        <v>686</v>
      </c>
      <c r="J783" s="14" t="s">
        <v>2860</v>
      </c>
      <c r="K783" s="13" t="s">
        <v>4098</v>
      </c>
      <c r="L783" s="13" t="s">
        <v>585</v>
      </c>
      <c r="N783" s="13">
        <v>38</v>
      </c>
      <c r="O783" s="2">
        <f t="shared" si="70"/>
        <v>0.65517241379310343</v>
      </c>
      <c r="P783" s="13">
        <v>15</v>
      </c>
      <c r="Q783" s="17">
        <f t="shared" si="71"/>
        <v>0.34883720930232559</v>
      </c>
      <c r="R783" s="13">
        <v>58</v>
      </c>
      <c r="S783" s="13">
        <v>43</v>
      </c>
      <c r="V783" s="13">
        <v>6</v>
      </c>
      <c r="Y783" s="13">
        <v>62</v>
      </c>
      <c r="AD783" s="13">
        <v>51</v>
      </c>
      <c r="AG783" s="13" t="s">
        <v>639</v>
      </c>
      <c r="AJ783" s="13">
        <v>89</v>
      </c>
      <c r="AM783" s="13">
        <v>100</v>
      </c>
      <c r="AP783" s="13">
        <v>0.97</v>
      </c>
      <c r="BG783" s="13">
        <v>3819</v>
      </c>
      <c r="BR783" s="13">
        <v>276</v>
      </c>
      <c r="BY783" s="13" t="s">
        <v>474</v>
      </c>
      <c r="BZ783" s="13" t="s">
        <v>475</v>
      </c>
      <c r="CA783" s="13">
        <v>2021</v>
      </c>
      <c r="CB783" s="13" t="s">
        <v>330</v>
      </c>
      <c r="CC783" s="13" t="s">
        <v>64</v>
      </c>
      <c r="CD783" s="13">
        <v>22</v>
      </c>
      <c r="CE783" s="24">
        <v>45355</v>
      </c>
      <c r="CF783" s="13" t="s">
        <v>476</v>
      </c>
      <c r="CG783" s="13" t="s">
        <v>477</v>
      </c>
    </row>
    <row r="784" spans="1:85">
      <c r="A784" s="13" t="s">
        <v>1740</v>
      </c>
      <c r="B784" s="13" t="s">
        <v>1905</v>
      </c>
      <c r="C784" s="13" t="s">
        <v>1956</v>
      </c>
      <c r="D784" s="13" t="s">
        <v>1015</v>
      </c>
      <c r="E784" s="13" t="s">
        <v>633</v>
      </c>
      <c r="F784" s="13" t="s">
        <v>997</v>
      </c>
      <c r="G784" s="13" t="s">
        <v>672</v>
      </c>
      <c r="H784" s="13" t="s">
        <v>680</v>
      </c>
      <c r="J784" s="14" t="s">
        <v>2860</v>
      </c>
      <c r="K784" s="13" t="s">
        <v>4098</v>
      </c>
      <c r="L784" s="13" t="s">
        <v>585</v>
      </c>
      <c r="N784" s="13">
        <v>65</v>
      </c>
      <c r="O784" s="2">
        <f t="shared" si="70"/>
        <v>0.6310679611650486</v>
      </c>
      <c r="P784" s="13">
        <v>29</v>
      </c>
      <c r="Q784" s="17">
        <f t="shared" si="71"/>
        <v>0.70731707317073167</v>
      </c>
      <c r="R784" s="13">
        <v>103</v>
      </c>
      <c r="S784" s="13">
        <v>41</v>
      </c>
      <c r="V784" s="13">
        <v>6</v>
      </c>
      <c r="Y784" s="13">
        <v>61</v>
      </c>
      <c r="AD784" s="13">
        <v>56</v>
      </c>
      <c r="AG784" s="13" t="s">
        <v>639</v>
      </c>
      <c r="AJ784" s="13">
        <v>88</v>
      </c>
      <c r="AM784" s="13">
        <v>40</v>
      </c>
      <c r="AP784" s="13">
        <v>0.69</v>
      </c>
      <c r="BG784" s="13">
        <v>6370</v>
      </c>
      <c r="BR784" s="13">
        <v>3210</v>
      </c>
      <c r="BY784" s="13" t="s">
        <v>474</v>
      </c>
      <c r="BZ784" s="13" t="s">
        <v>475</v>
      </c>
      <c r="CA784" s="13">
        <v>2021</v>
      </c>
      <c r="CB784" s="13" t="s">
        <v>330</v>
      </c>
      <c r="CC784" s="13" t="s">
        <v>64</v>
      </c>
      <c r="CD784" s="13">
        <v>22</v>
      </c>
      <c r="CE784" s="24">
        <v>45355</v>
      </c>
      <c r="CF784" s="13" t="s">
        <v>476</v>
      </c>
      <c r="CG784" s="13" t="s">
        <v>477</v>
      </c>
    </row>
    <row r="785" spans="1:85">
      <c r="A785" s="13" t="s">
        <v>1740</v>
      </c>
      <c r="B785" s="13" t="s">
        <v>1905</v>
      </c>
      <c r="C785" s="13" t="s">
        <v>1956</v>
      </c>
      <c r="D785" s="13" t="s">
        <v>1015</v>
      </c>
      <c r="E785" s="13" t="s">
        <v>4105</v>
      </c>
      <c r="F785" s="13" t="s">
        <v>998</v>
      </c>
      <c r="G785" s="13" t="s">
        <v>672</v>
      </c>
      <c r="H785" s="13" t="s">
        <v>680</v>
      </c>
      <c r="J785" s="14" t="s">
        <v>2860</v>
      </c>
      <c r="K785" s="13" t="s">
        <v>4098</v>
      </c>
      <c r="L785" s="13" t="s">
        <v>585</v>
      </c>
      <c r="N785" s="13">
        <v>65</v>
      </c>
      <c r="O785" s="2">
        <f t="shared" si="70"/>
        <v>0.6310679611650486</v>
      </c>
      <c r="P785" s="13">
        <v>15</v>
      </c>
      <c r="Q785" s="17">
        <f t="shared" si="71"/>
        <v>0.34883720930232559</v>
      </c>
      <c r="R785" s="13">
        <v>103</v>
      </c>
      <c r="S785" s="13">
        <v>43</v>
      </c>
      <c r="V785" s="13">
        <v>6</v>
      </c>
      <c r="Y785" s="13">
        <v>61</v>
      </c>
      <c r="AD785" s="13">
        <v>51</v>
      </c>
      <c r="AG785" s="13" t="s">
        <v>639</v>
      </c>
      <c r="AJ785" s="13">
        <v>79</v>
      </c>
      <c r="AM785" s="13">
        <v>81</v>
      </c>
      <c r="AP785" s="13">
        <v>0.83</v>
      </c>
      <c r="BG785" s="13">
        <v>6370</v>
      </c>
      <c r="BR785" s="13">
        <v>2060</v>
      </c>
      <c r="BY785" s="13" t="s">
        <v>474</v>
      </c>
      <c r="BZ785" s="13" t="s">
        <v>475</v>
      </c>
      <c r="CA785" s="13">
        <v>2021</v>
      </c>
      <c r="CB785" s="13" t="s">
        <v>330</v>
      </c>
      <c r="CC785" s="13" t="s">
        <v>64</v>
      </c>
      <c r="CD785" s="13">
        <v>22</v>
      </c>
      <c r="CE785" s="24">
        <v>45355</v>
      </c>
      <c r="CF785" s="13" t="s">
        <v>476</v>
      </c>
      <c r="CG785" s="13" t="s">
        <v>477</v>
      </c>
    </row>
    <row r="786" spans="1:85">
      <c r="A786" s="13" t="s">
        <v>1740</v>
      </c>
      <c r="B786" s="13" t="s">
        <v>1905</v>
      </c>
      <c r="C786" s="13" t="s">
        <v>1956</v>
      </c>
      <c r="D786" s="13" t="s">
        <v>1015</v>
      </c>
      <c r="E786" s="13" t="s">
        <v>633</v>
      </c>
      <c r="F786" s="13" t="s">
        <v>997</v>
      </c>
      <c r="G786" s="13" t="s">
        <v>672</v>
      </c>
      <c r="H786" s="13" t="s">
        <v>675</v>
      </c>
      <c r="J786" s="14" t="s">
        <v>2860</v>
      </c>
      <c r="K786" s="13" t="s">
        <v>4098</v>
      </c>
      <c r="L786" s="13" t="s">
        <v>585</v>
      </c>
      <c r="N786" s="13">
        <v>65</v>
      </c>
      <c r="O786" s="2">
        <f t="shared" si="70"/>
        <v>0.6310679611650486</v>
      </c>
      <c r="P786" s="13">
        <v>29</v>
      </c>
      <c r="Q786" s="17">
        <f t="shared" si="71"/>
        <v>0.70731707317073167</v>
      </c>
      <c r="R786" s="13">
        <v>103</v>
      </c>
      <c r="S786" s="13">
        <v>41</v>
      </c>
      <c r="V786" s="13">
        <v>6</v>
      </c>
      <c r="Y786" s="13">
        <v>61</v>
      </c>
      <c r="AD786" s="13">
        <v>56</v>
      </c>
      <c r="AG786" s="13" t="s">
        <v>639</v>
      </c>
      <c r="AJ786" s="13">
        <v>88</v>
      </c>
      <c r="AM786" s="13">
        <v>88</v>
      </c>
      <c r="AP786" s="13">
        <v>0.92</v>
      </c>
      <c r="BG786" s="13">
        <v>5100</v>
      </c>
      <c r="BR786" s="13">
        <v>740</v>
      </c>
      <c r="BY786" s="13" t="s">
        <v>474</v>
      </c>
      <c r="BZ786" s="13" t="s">
        <v>475</v>
      </c>
      <c r="CA786" s="13">
        <v>2021</v>
      </c>
      <c r="CB786" s="13" t="s">
        <v>330</v>
      </c>
      <c r="CC786" s="13" t="s">
        <v>64</v>
      </c>
      <c r="CD786" s="13">
        <v>22</v>
      </c>
      <c r="CE786" s="24">
        <v>45355</v>
      </c>
      <c r="CF786" s="13" t="s">
        <v>476</v>
      </c>
      <c r="CG786" s="13" t="s">
        <v>477</v>
      </c>
    </row>
    <row r="787" spans="1:85">
      <c r="A787" s="13" t="s">
        <v>1740</v>
      </c>
      <c r="B787" s="13" t="s">
        <v>1905</v>
      </c>
      <c r="C787" s="13" t="s">
        <v>1956</v>
      </c>
      <c r="D787" s="13" t="s">
        <v>1015</v>
      </c>
      <c r="E787" s="13" t="s">
        <v>4105</v>
      </c>
      <c r="F787" s="13" t="s">
        <v>998</v>
      </c>
      <c r="G787" s="13" t="s">
        <v>672</v>
      </c>
      <c r="H787" s="13" t="s">
        <v>675</v>
      </c>
      <c r="J787" s="14" t="s">
        <v>2860</v>
      </c>
      <c r="K787" s="13" t="s">
        <v>4098</v>
      </c>
      <c r="L787" s="13" t="s">
        <v>585</v>
      </c>
      <c r="N787" s="13">
        <v>65</v>
      </c>
      <c r="O787" s="2">
        <f t="shared" si="70"/>
        <v>0.6310679611650486</v>
      </c>
      <c r="P787" s="13">
        <v>15</v>
      </c>
      <c r="Q787" s="17">
        <f t="shared" si="71"/>
        <v>0.34883720930232559</v>
      </c>
      <c r="R787" s="13">
        <v>103</v>
      </c>
      <c r="S787" s="13">
        <v>43</v>
      </c>
      <c r="V787" s="13">
        <v>6</v>
      </c>
      <c r="Y787" s="13">
        <v>61</v>
      </c>
      <c r="AD787" s="13">
        <v>51</v>
      </c>
      <c r="AG787" s="13" t="s">
        <v>639</v>
      </c>
      <c r="AJ787" s="13">
        <v>88</v>
      </c>
      <c r="AM787" s="13">
        <v>81</v>
      </c>
      <c r="AP787" s="13">
        <v>0.87</v>
      </c>
      <c r="BG787" s="13">
        <v>5100</v>
      </c>
      <c r="BR787" s="13">
        <v>1225</v>
      </c>
      <c r="BY787" s="13" t="s">
        <v>474</v>
      </c>
      <c r="BZ787" s="13" t="s">
        <v>475</v>
      </c>
      <c r="CA787" s="13">
        <v>2021</v>
      </c>
      <c r="CB787" s="13" t="s">
        <v>330</v>
      </c>
      <c r="CC787" s="13" t="s">
        <v>64</v>
      </c>
      <c r="CD787" s="13">
        <v>22</v>
      </c>
      <c r="CE787" s="24">
        <v>45355</v>
      </c>
      <c r="CF787" s="13" t="s">
        <v>476</v>
      </c>
      <c r="CG787" s="13" t="s">
        <v>477</v>
      </c>
    </row>
    <row r="788" spans="1:85">
      <c r="A788" s="13" t="s">
        <v>1740</v>
      </c>
      <c r="B788" s="13" t="s">
        <v>1905</v>
      </c>
      <c r="C788" s="13" t="s">
        <v>1956</v>
      </c>
      <c r="D788" s="13" t="s">
        <v>1015</v>
      </c>
      <c r="E788" s="13" t="s">
        <v>633</v>
      </c>
      <c r="F788" s="13" t="s">
        <v>997</v>
      </c>
      <c r="G788" s="13" t="s">
        <v>672</v>
      </c>
      <c r="H788" s="13" t="s">
        <v>686</v>
      </c>
      <c r="J788" s="14" t="s">
        <v>2860</v>
      </c>
      <c r="K788" s="13" t="s">
        <v>4098</v>
      </c>
      <c r="L788" s="13" t="s">
        <v>585</v>
      </c>
      <c r="N788" s="13">
        <v>65</v>
      </c>
      <c r="O788" s="2">
        <f t="shared" si="70"/>
        <v>0.6310679611650486</v>
      </c>
      <c r="P788" s="13">
        <v>29</v>
      </c>
      <c r="Q788" s="17">
        <f t="shared" si="71"/>
        <v>0.70731707317073167</v>
      </c>
      <c r="R788" s="13">
        <v>103</v>
      </c>
      <c r="S788" s="13">
        <v>41</v>
      </c>
      <c r="V788" s="13">
        <v>6</v>
      </c>
      <c r="Y788" s="13">
        <v>61</v>
      </c>
      <c r="AD788" s="13">
        <v>56</v>
      </c>
      <c r="AG788" s="13" t="s">
        <v>639</v>
      </c>
      <c r="AJ788" s="13">
        <v>90</v>
      </c>
      <c r="AM788" s="13">
        <v>88</v>
      </c>
      <c r="AP788" s="13">
        <v>0.88</v>
      </c>
      <c r="BG788" s="13">
        <v>1983</v>
      </c>
      <c r="BR788" s="13">
        <v>352</v>
      </c>
      <c r="BY788" s="13" t="s">
        <v>474</v>
      </c>
      <c r="BZ788" s="13" t="s">
        <v>475</v>
      </c>
      <c r="CA788" s="13">
        <v>2021</v>
      </c>
      <c r="CB788" s="13" t="s">
        <v>330</v>
      </c>
      <c r="CC788" s="13" t="s">
        <v>64</v>
      </c>
      <c r="CD788" s="13">
        <v>22</v>
      </c>
      <c r="CE788" s="24">
        <v>45355</v>
      </c>
      <c r="CF788" s="13" t="s">
        <v>476</v>
      </c>
      <c r="CG788" s="13" t="s">
        <v>477</v>
      </c>
    </row>
    <row r="789" spans="1:85">
      <c r="A789" s="13" t="s">
        <v>1740</v>
      </c>
      <c r="B789" s="13" t="s">
        <v>1905</v>
      </c>
      <c r="C789" s="13" t="s">
        <v>1956</v>
      </c>
      <c r="D789" s="13" t="s">
        <v>1015</v>
      </c>
      <c r="E789" s="13" t="s">
        <v>4105</v>
      </c>
      <c r="F789" s="13" t="s">
        <v>998</v>
      </c>
      <c r="G789" s="13" t="s">
        <v>672</v>
      </c>
      <c r="H789" s="13" t="s">
        <v>686</v>
      </c>
      <c r="J789" s="14" t="s">
        <v>2860</v>
      </c>
      <c r="K789" s="13" t="s">
        <v>4098</v>
      </c>
      <c r="L789" s="13" t="s">
        <v>585</v>
      </c>
      <c r="N789" s="13">
        <v>65</v>
      </c>
      <c r="O789" s="2">
        <f t="shared" si="70"/>
        <v>0.6310679611650486</v>
      </c>
      <c r="P789" s="13">
        <v>15</v>
      </c>
      <c r="Q789" s="17">
        <f t="shared" si="71"/>
        <v>0.34883720930232559</v>
      </c>
      <c r="R789" s="13">
        <v>103</v>
      </c>
      <c r="S789" s="13">
        <v>43</v>
      </c>
      <c r="V789" s="13">
        <v>6</v>
      </c>
      <c r="Y789" s="13">
        <v>61</v>
      </c>
      <c r="AD789" s="13">
        <v>51</v>
      </c>
      <c r="AG789" s="13" t="s">
        <v>639</v>
      </c>
      <c r="AJ789" s="13">
        <v>85</v>
      </c>
      <c r="AM789" s="13">
        <v>100</v>
      </c>
      <c r="AP789" s="13">
        <v>0.93</v>
      </c>
      <c r="BG789" s="13">
        <v>1983</v>
      </c>
      <c r="BR789" s="13">
        <v>276</v>
      </c>
      <c r="BY789" s="13" t="s">
        <v>474</v>
      </c>
      <c r="BZ789" s="13" t="s">
        <v>475</v>
      </c>
      <c r="CA789" s="13">
        <v>2021</v>
      </c>
      <c r="CB789" s="13" t="s">
        <v>330</v>
      </c>
      <c r="CC789" s="13" t="s">
        <v>64</v>
      </c>
      <c r="CD789" s="13">
        <v>22</v>
      </c>
      <c r="CE789" s="24">
        <v>45355</v>
      </c>
      <c r="CF789" s="13" t="s">
        <v>476</v>
      </c>
      <c r="CG789" s="13" t="s">
        <v>477</v>
      </c>
    </row>
    <row r="790" spans="1:85">
      <c r="A790" s="13" t="s">
        <v>1907</v>
      </c>
      <c r="B790" s="13" t="s">
        <v>1907</v>
      </c>
      <c r="C790" s="14" t="s">
        <v>1520</v>
      </c>
      <c r="D790" s="14" t="s">
        <v>825</v>
      </c>
      <c r="E790" s="13" t="s">
        <v>630</v>
      </c>
      <c r="F790" s="13" t="s">
        <v>2761</v>
      </c>
      <c r="G790" s="13" t="s">
        <v>673</v>
      </c>
      <c r="H790" s="30" t="s">
        <v>675</v>
      </c>
      <c r="J790" s="14" t="s">
        <v>712</v>
      </c>
      <c r="K790" s="14" t="s">
        <v>2863</v>
      </c>
      <c r="L790" s="14" t="s">
        <v>652</v>
      </c>
      <c r="M790" s="13" t="s">
        <v>2865</v>
      </c>
      <c r="N790" s="13">
        <v>21</v>
      </c>
      <c r="O790" s="2">
        <f t="shared" si="70"/>
        <v>0.7</v>
      </c>
      <c r="P790" s="13">
        <v>5</v>
      </c>
      <c r="Q790" s="17">
        <f t="shared" si="71"/>
        <v>0.25</v>
      </c>
      <c r="R790" s="13">
        <v>30</v>
      </c>
      <c r="S790" s="13">
        <v>20</v>
      </c>
      <c r="Y790" s="13">
        <v>59</v>
      </c>
      <c r="Z790" s="13">
        <v>52.5</v>
      </c>
      <c r="AA790" s="13">
        <v>64</v>
      </c>
      <c r="AD790" s="13">
        <v>26</v>
      </c>
      <c r="AE790" s="13">
        <v>24</v>
      </c>
      <c r="AF790" s="13">
        <v>45.8</v>
      </c>
      <c r="AG790" s="13" t="s">
        <v>639</v>
      </c>
      <c r="AH790" s="13">
        <v>14.3</v>
      </c>
      <c r="AJ790" s="13">
        <v>100</v>
      </c>
      <c r="AM790" s="13">
        <v>100</v>
      </c>
      <c r="BG790" s="28">
        <v>63.3</v>
      </c>
      <c r="BI790" s="13">
        <v>46.9</v>
      </c>
      <c r="BJ790" s="13">
        <v>98.1</v>
      </c>
      <c r="BR790" s="13">
        <v>5.3</v>
      </c>
      <c r="BT790" s="13">
        <v>4.5</v>
      </c>
      <c r="BU790" s="13">
        <v>7.1</v>
      </c>
      <c r="BX790" s="13" t="s">
        <v>1027</v>
      </c>
      <c r="BY790" s="13" t="s">
        <v>1517</v>
      </c>
      <c r="BZ790" s="13" t="s">
        <v>1518</v>
      </c>
      <c r="CA790" s="13">
        <v>2020</v>
      </c>
      <c r="CC790" s="13" t="s">
        <v>416</v>
      </c>
      <c r="CD790" s="13">
        <v>11</v>
      </c>
      <c r="CF790" s="13" t="s">
        <v>2159</v>
      </c>
      <c r="CG790" s="13" t="s">
        <v>1519</v>
      </c>
    </row>
    <row r="791" spans="1:85">
      <c r="A791" s="13" t="s">
        <v>1908</v>
      </c>
      <c r="B791" s="13" t="s">
        <v>1908</v>
      </c>
      <c r="C791" s="14" t="s">
        <v>1525</v>
      </c>
      <c r="D791" s="14" t="s">
        <v>827</v>
      </c>
      <c r="E791" s="13" t="s">
        <v>630</v>
      </c>
      <c r="F791" s="13" t="s">
        <v>2870</v>
      </c>
      <c r="G791" s="13" t="s">
        <v>673</v>
      </c>
      <c r="H791" s="30" t="s">
        <v>2869</v>
      </c>
      <c r="J791" s="14" t="s">
        <v>855</v>
      </c>
      <c r="K791" s="14" t="s">
        <v>2866</v>
      </c>
      <c r="L791" s="14" t="s">
        <v>2867</v>
      </c>
      <c r="M791" s="14" t="s">
        <v>2868</v>
      </c>
      <c r="N791" s="13">
        <v>37</v>
      </c>
      <c r="O791" s="2">
        <f t="shared" si="70"/>
        <v>0.52857142857142858</v>
      </c>
      <c r="P791" s="13">
        <v>28</v>
      </c>
      <c r="Q791" s="17">
        <f t="shared" si="71"/>
        <v>0.46666666666666667</v>
      </c>
      <c r="R791" s="13">
        <v>70</v>
      </c>
      <c r="S791" s="13">
        <v>60</v>
      </c>
      <c r="Y791" s="14">
        <v>65.5</v>
      </c>
      <c r="Z791" s="14">
        <f>Y791-15.5/2</f>
        <v>57.75</v>
      </c>
      <c r="AA791" s="14">
        <f>Z791+15.5</f>
        <v>73.25</v>
      </c>
      <c r="AD791" s="13">
        <v>58</v>
      </c>
      <c r="AE791" s="13">
        <f>AD791-7.3/2</f>
        <v>54.35</v>
      </c>
      <c r="AF791" s="13">
        <f>AE791+7.3</f>
        <v>61.65</v>
      </c>
      <c r="AG791" s="13" t="s">
        <v>2871</v>
      </c>
      <c r="AH791" s="13">
        <v>16340</v>
      </c>
      <c r="AJ791" s="13">
        <v>47.1</v>
      </c>
      <c r="AM791" s="13">
        <v>83.3</v>
      </c>
      <c r="AP791" s="13">
        <v>0.69299999999999995</v>
      </c>
      <c r="BG791" s="28">
        <v>13874</v>
      </c>
      <c r="BI791" s="13">
        <v>10923</v>
      </c>
      <c r="BJ791" s="13">
        <v>7998</v>
      </c>
      <c r="BR791" s="13">
        <v>10727</v>
      </c>
      <c r="BT791" s="13">
        <v>9360</v>
      </c>
      <c r="BU791" s="13">
        <v>12895</v>
      </c>
      <c r="BX791" s="13" t="s">
        <v>1027</v>
      </c>
      <c r="BY791" s="13" t="s">
        <v>1521</v>
      </c>
      <c r="BZ791" s="13" t="s">
        <v>1522</v>
      </c>
      <c r="CA791" s="13">
        <v>2021</v>
      </c>
      <c r="CB791" s="13" t="s">
        <v>119</v>
      </c>
      <c r="CC791" s="13" t="s">
        <v>64</v>
      </c>
      <c r="CD791" s="13">
        <v>22</v>
      </c>
      <c r="CE791" s="13">
        <v>45418</v>
      </c>
      <c r="CF791" s="13" t="s">
        <v>1523</v>
      </c>
      <c r="CG791" s="13" t="s">
        <v>1524</v>
      </c>
    </row>
    <row r="792" spans="1:85">
      <c r="A792" s="13" t="s">
        <v>1911</v>
      </c>
      <c r="B792" s="13" t="s">
        <v>1911</v>
      </c>
      <c r="C792" s="14" t="s">
        <v>2885</v>
      </c>
      <c r="D792" s="14" t="s">
        <v>2772</v>
      </c>
      <c r="E792" s="13" t="s">
        <v>657</v>
      </c>
      <c r="F792" s="13" t="s">
        <v>2883</v>
      </c>
      <c r="G792" s="13" t="s">
        <v>673</v>
      </c>
      <c r="H792" s="30" t="s">
        <v>2419</v>
      </c>
      <c r="J792" s="14" t="s">
        <v>712</v>
      </c>
      <c r="K792" s="14" t="s">
        <v>2875</v>
      </c>
      <c r="L792" s="14" t="s">
        <v>1016</v>
      </c>
      <c r="M792" s="13" t="s">
        <v>2887</v>
      </c>
      <c r="N792" s="13">
        <v>281</v>
      </c>
      <c r="O792" s="2">
        <f t="shared" si="70"/>
        <v>0.64746543778801846</v>
      </c>
      <c r="P792" s="13">
        <v>180</v>
      </c>
      <c r="Q792" s="17">
        <f t="shared" si="71"/>
        <v>0.5357142857142857</v>
      </c>
      <c r="R792" s="13">
        <v>434</v>
      </c>
      <c r="S792" s="13">
        <v>336</v>
      </c>
      <c r="W792" s="13">
        <v>55.33</v>
      </c>
      <c r="X792" s="13">
        <v>9.32</v>
      </c>
      <c r="Y792" s="14"/>
      <c r="Z792" s="14"/>
      <c r="AA792" s="14"/>
      <c r="AB792" s="13">
        <v>54.85</v>
      </c>
      <c r="AC792" s="13">
        <v>14.26</v>
      </c>
      <c r="AD792" s="14"/>
      <c r="AE792" s="14"/>
      <c r="AG792" s="13" t="s">
        <v>2773</v>
      </c>
      <c r="BG792" s="13">
        <v>136.19999999999999</v>
      </c>
      <c r="BI792" s="13">
        <v>76.73</v>
      </c>
      <c r="BJ792" s="13">
        <v>227.45</v>
      </c>
      <c r="BR792" s="13">
        <v>99.52</v>
      </c>
      <c r="BT792" s="13">
        <v>54.95</v>
      </c>
      <c r="BU792" s="13">
        <v>153.18</v>
      </c>
      <c r="BX792" s="13" t="s">
        <v>691</v>
      </c>
      <c r="BY792" s="13" t="s">
        <v>1537</v>
      </c>
      <c r="BZ792" s="13" t="s">
        <v>1538</v>
      </c>
      <c r="CA792" s="13">
        <v>2019</v>
      </c>
      <c r="CB792" s="13" t="s">
        <v>330</v>
      </c>
      <c r="CC792" s="13" t="s">
        <v>64</v>
      </c>
      <c r="CD792" s="13">
        <v>20</v>
      </c>
      <c r="CE792" s="13">
        <v>45355</v>
      </c>
      <c r="CF792" s="13" t="s">
        <v>1539</v>
      </c>
      <c r="CG792" s="13" t="s">
        <v>1540</v>
      </c>
    </row>
    <row r="793" spans="1:85">
      <c r="A793" s="13" t="s">
        <v>1911</v>
      </c>
      <c r="B793" s="13" t="s">
        <v>1911</v>
      </c>
      <c r="C793" s="14" t="s">
        <v>2885</v>
      </c>
      <c r="D793" s="14" t="s">
        <v>2772</v>
      </c>
      <c r="E793" s="13" t="s">
        <v>657</v>
      </c>
      <c r="F793" s="13" t="s">
        <v>2883</v>
      </c>
      <c r="G793" s="13" t="s">
        <v>672</v>
      </c>
      <c r="H793" s="30" t="s">
        <v>2419</v>
      </c>
      <c r="J793" s="14" t="s">
        <v>712</v>
      </c>
      <c r="K793" s="14" t="s">
        <v>2875</v>
      </c>
      <c r="L793" s="14" t="s">
        <v>1016</v>
      </c>
      <c r="M793" s="13" t="s">
        <v>2887</v>
      </c>
      <c r="N793" s="13">
        <v>82</v>
      </c>
      <c r="O793" s="2">
        <f t="shared" si="70"/>
        <v>0.57746478873239437</v>
      </c>
      <c r="P793" s="13">
        <v>41</v>
      </c>
      <c r="Q793" s="17">
        <f t="shared" si="71"/>
        <v>0.61194029850746268</v>
      </c>
      <c r="R793" s="13">
        <v>142</v>
      </c>
      <c r="S793" s="13">
        <v>67</v>
      </c>
      <c r="W793" s="13">
        <v>54.11</v>
      </c>
      <c r="X793" s="13">
        <v>10.199999999999999</v>
      </c>
      <c r="Y793" s="14"/>
      <c r="Z793" s="14"/>
      <c r="AA793" s="14"/>
      <c r="AB793" s="13">
        <v>49.82</v>
      </c>
      <c r="AC793" s="13">
        <v>12.21</v>
      </c>
      <c r="AD793" s="14"/>
      <c r="AE793" s="14"/>
      <c r="AG793" s="13" t="s">
        <v>2773</v>
      </c>
      <c r="BB793" s="13">
        <v>8.15</v>
      </c>
      <c r="BC793" s="13">
        <v>3.58</v>
      </c>
      <c r="BM793" s="13">
        <v>7.26</v>
      </c>
      <c r="BN793" s="13">
        <v>2.56</v>
      </c>
      <c r="BX793" s="13">
        <v>0.72199999999999998</v>
      </c>
      <c r="BY793" s="13" t="s">
        <v>1537</v>
      </c>
      <c r="BZ793" s="13" t="s">
        <v>1538</v>
      </c>
      <c r="CA793" s="13">
        <v>2019</v>
      </c>
      <c r="CB793" s="13" t="s">
        <v>330</v>
      </c>
      <c r="CC793" s="13" t="s">
        <v>64</v>
      </c>
      <c r="CD793" s="13">
        <v>20</v>
      </c>
      <c r="CE793" s="13">
        <v>45355</v>
      </c>
      <c r="CF793" s="13" t="s">
        <v>1539</v>
      </c>
      <c r="CG793" s="13" t="s">
        <v>1540</v>
      </c>
    </row>
    <row r="794" spans="1:85">
      <c r="A794" s="13" t="s">
        <v>1911</v>
      </c>
      <c r="B794" s="13" t="s">
        <v>1911</v>
      </c>
      <c r="C794" s="14" t="s">
        <v>2884</v>
      </c>
      <c r="D794" s="14" t="s">
        <v>2772</v>
      </c>
      <c r="E794" s="13" t="s">
        <v>657</v>
      </c>
      <c r="F794" s="13" t="s">
        <v>2883</v>
      </c>
      <c r="G794" s="13" t="s">
        <v>673</v>
      </c>
      <c r="H794" s="30" t="s">
        <v>2419</v>
      </c>
      <c r="J794" s="14" t="s">
        <v>712</v>
      </c>
      <c r="K794" s="14" t="s">
        <v>2875</v>
      </c>
      <c r="L794" s="14" t="s">
        <v>1016</v>
      </c>
      <c r="M794" s="13" t="s">
        <v>2887</v>
      </c>
      <c r="N794" s="13">
        <v>281</v>
      </c>
      <c r="O794" s="2">
        <f t="shared" si="70"/>
        <v>0.64746543778801846</v>
      </c>
      <c r="P794" s="13">
        <v>180</v>
      </c>
      <c r="Q794" s="17">
        <f t="shared" si="71"/>
        <v>0.5357142857142857</v>
      </c>
      <c r="R794" s="13">
        <v>434</v>
      </c>
      <c r="S794" s="13">
        <v>336</v>
      </c>
      <c r="W794" s="13">
        <v>55.33</v>
      </c>
      <c r="X794" s="13">
        <v>9.32</v>
      </c>
      <c r="Y794" s="14"/>
      <c r="Z794" s="14"/>
      <c r="AA794" s="14"/>
      <c r="AB794" s="13">
        <v>54.85</v>
      </c>
      <c r="AC794" s="13">
        <v>14.26</v>
      </c>
      <c r="AD794" s="14"/>
      <c r="AE794" s="14"/>
      <c r="AG794" s="13" t="s">
        <v>2773</v>
      </c>
      <c r="BG794" s="28">
        <v>236</v>
      </c>
      <c r="BI794" s="13">
        <v>158.55000000000001</v>
      </c>
      <c r="BJ794" s="13">
        <v>349.1</v>
      </c>
      <c r="BR794" s="13">
        <v>175.85</v>
      </c>
      <c r="BT794" s="13">
        <v>120.85</v>
      </c>
      <c r="BU794" s="13">
        <v>270.45</v>
      </c>
      <c r="BX794" s="13" t="s">
        <v>691</v>
      </c>
      <c r="BY794" s="13" t="s">
        <v>1537</v>
      </c>
      <c r="BZ794" s="13" t="s">
        <v>1538</v>
      </c>
      <c r="CA794" s="13">
        <v>2019</v>
      </c>
      <c r="CB794" s="13" t="s">
        <v>330</v>
      </c>
      <c r="CC794" s="13" t="s">
        <v>64</v>
      </c>
      <c r="CD794" s="13">
        <v>20</v>
      </c>
      <c r="CE794" s="13">
        <v>45355</v>
      </c>
      <c r="CF794" s="13" t="s">
        <v>1539</v>
      </c>
      <c r="CG794" s="13" t="s">
        <v>1540</v>
      </c>
    </row>
    <row r="795" spans="1:85">
      <c r="A795" s="13" t="s">
        <v>1911</v>
      </c>
      <c r="B795" s="13" t="s">
        <v>1911</v>
      </c>
      <c r="C795" s="14" t="s">
        <v>2884</v>
      </c>
      <c r="D795" s="14" t="s">
        <v>2772</v>
      </c>
      <c r="E795" s="13" t="s">
        <v>657</v>
      </c>
      <c r="F795" s="13" t="s">
        <v>2883</v>
      </c>
      <c r="G795" s="13" t="s">
        <v>672</v>
      </c>
      <c r="H795" s="30" t="s">
        <v>2419</v>
      </c>
      <c r="J795" s="14" t="s">
        <v>712</v>
      </c>
      <c r="K795" s="14" t="s">
        <v>2875</v>
      </c>
      <c r="L795" s="14" t="s">
        <v>1016</v>
      </c>
      <c r="M795" s="13" t="s">
        <v>2887</v>
      </c>
      <c r="N795" s="13">
        <v>82</v>
      </c>
      <c r="O795" s="2">
        <f t="shared" si="70"/>
        <v>0.57746478873239437</v>
      </c>
      <c r="P795" s="13">
        <v>41</v>
      </c>
      <c r="Q795" s="17">
        <f t="shared" si="71"/>
        <v>0.61194029850746268</v>
      </c>
      <c r="R795" s="13">
        <v>142</v>
      </c>
      <c r="S795" s="13">
        <v>67</v>
      </c>
      <c r="W795" s="13">
        <v>54.11</v>
      </c>
      <c r="X795" s="13">
        <v>10.199999999999999</v>
      </c>
      <c r="Y795" s="14"/>
      <c r="Z795" s="14"/>
      <c r="AA795" s="14"/>
      <c r="AB795" s="13">
        <v>49.82</v>
      </c>
      <c r="AC795" s="13">
        <v>12.21</v>
      </c>
      <c r="AD795" s="14"/>
      <c r="AE795" s="14"/>
      <c r="AG795" s="13" t="s">
        <v>2773</v>
      </c>
      <c r="BB795" s="13">
        <v>9.15</v>
      </c>
      <c r="BC795" s="13">
        <v>3.3</v>
      </c>
      <c r="BG795" s="28"/>
      <c r="BM795" s="13">
        <v>8.14</v>
      </c>
      <c r="BN795" s="13">
        <v>2.77</v>
      </c>
      <c r="BX795" s="13">
        <v>0.11899999999999999</v>
      </c>
      <c r="BY795" s="13" t="s">
        <v>1537</v>
      </c>
      <c r="BZ795" s="13" t="s">
        <v>1538</v>
      </c>
      <c r="CA795" s="13">
        <v>2019</v>
      </c>
      <c r="CB795" s="13" t="s">
        <v>330</v>
      </c>
      <c r="CC795" s="13" t="s">
        <v>64</v>
      </c>
      <c r="CD795" s="13">
        <v>20</v>
      </c>
      <c r="CE795" s="13">
        <v>45355</v>
      </c>
      <c r="CF795" s="13" t="s">
        <v>1539</v>
      </c>
      <c r="CG795" s="13" t="s">
        <v>1540</v>
      </c>
    </row>
    <row r="796" spans="1:85">
      <c r="A796" s="13" t="s">
        <v>1912</v>
      </c>
      <c r="B796" s="13" t="s">
        <v>1912</v>
      </c>
      <c r="C796" s="14" t="s">
        <v>1530</v>
      </c>
      <c r="D796" s="14" t="s">
        <v>2039</v>
      </c>
      <c r="E796" s="13" t="s">
        <v>799</v>
      </c>
      <c r="F796" s="13" t="s">
        <v>2889</v>
      </c>
      <c r="G796" s="13" t="s">
        <v>672</v>
      </c>
      <c r="H796" s="30" t="s">
        <v>675</v>
      </c>
      <c r="J796" s="14" t="s">
        <v>712</v>
      </c>
      <c r="K796" s="14" t="s">
        <v>2875</v>
      </c>
      <c r="L796" s="14" t="s">
        <v>585</v>
      </c>
      <c r="M796" s="14" t="s">
        <v>2888</v>
      </c>
      <c r="N796" s="13">
        <v>25</v>
      </c>
      <c r="O796" s="2">
        <f t="shared" si="70"/>
        <v>0.55555555555555558</v>
      </c>
      <c r="P796" s="13">
        <v>13</v>
      </c>
      <c r="Q796" s="17">
        <f t="shared" si="71"/>
        <v>0.68421052631578949</v>
      </c>
      <c r="R796" s="13">
        <v>45</v>
      </c>
      <c r="S796" s="13">
        <v>19</v>
      </c>
      <c r="T796" s="13">
        <v>0</v>
      </c>
      <c r="W796" s="13">
        <v>54.29</v>
      </c>
      <c r="X796" s="13">
        <v>8.81</v>
      </c>
      <c r="Y796" s="14"/>
      <c r="Z796" s="14"/>
      <c r="AA796" s="14"/>
      <c r="AB796" s="13">
        <v>40.11</v>
      </c>
      <c r="AC796" s="13">
        <v>16.28</v>
      </c>
      <c r="AD796" s="14"/>
      <c r="AE796" s="14"/>
      <c r="AG796" s="13" t="s">
        <v>639</v>
      </c>
      <c r="BG796" s="28">
        <v>6510</v>
      </c>
      <c r="BI796" s="13">
        <v>4557</v>
      </c>
      <c r="BJ796" s="13">
        <v>8598</v>
      </c>
      <c r="BR796" s="13">
        <v>756</v>
      </c>
      <c r="BT796" s="13">
        <v>551</v>
      </c>
      <c r="BU796" s="13">
        <v>960</v>
      </c>
      <c r="BX796" s="13" t="s">
        <v>701</v>
      </c>
      <c r="BY796" s="13" t="s">
        <v>1542</v>
      </c>
      <c r="BZ796" s="13" t="s">
        <v>1543</v>
      </c>
      <c r="CA796" s="13">
        <v>2020</v>
      </c>
      <c r="CB796" s="13" t="s">
        <v>119</v>
      </c>
      <c r="CC796" s="13" t="s">
        <v>1215</v>
      </c>
      <c r="CD796" s="13">
        <v>11</v>
      </c>
      <c r="CG796" s="13" t="s">
        <v>1544</v>
      </c>
    </row>
    <row r="797" spans="1:85">
      <c r="A797" s="13" t="s">
        <v>1912</v>
      </c>
      <c r="B797" s="13" t="s">
        <v>1912</v>
      </c>
      <c r="C797" s="14" t="s">
        <v>1530</v>
      </c>
      <c r="D797" s="14" t="s">
        <v>2039</v>
      </c>
      <c r="E797" s="13" t="s">
        <v>657</v>
      </c>
      <c r="F797" s="13" t="s">
        <v>3208</v>
      </c>
      <c r="G797" s="13" t="s">
        <v>672</v>
      </c>
      <c r="H797" s="30" t="s">
        <v>675</v>
      </c>
      <c r="J797" s="14" t="s">
        <v>712</v>
      </c>
      <c r="K797" s="14" t="s">
        <v>2875</v>
      </c>
      <c r="L797" s="14" t="s">
        <v>585</v>
      </c>
      <c r="M797" s="14" t="s">
        <v>2888</v>
      </c>
      <c r="N797" s="13">
        <v>25</v>
      </c>
      <c r="O797" s="2">
        <f t="shared" si="70"/>
        <v>0.55555555555555558</v>
      </c>
      <c r="P797" s="13">
        <v>16</v>
      </c>
      <c r="Q797" s="17">
        <f t="shared" si="71"/>
        <v>0.8</v>
      </c>
      <c r="R797" s="13">
        <v>45</v>
      </c>
      <c r="S797" s="13">
        <v>20</v>
      </c>
      <c r="T797" s="13">
        <v>0</v>
      </c>
      <c r="W797" s="13">
        <v>54.29</v>
      </c>
      <c r="X797" s="13">
        <v>8.81</v>
      </c>
      <c r="Y797" s="14"/>
      <c r="Z797" s="14"/>
      <c r="AA797" s="14"/>
      <c r="AB797" s="13">
        <v>56.75</v>
      </c>
      <c r="AC797" s="13">
        <v>13.76</v>
      </c>
      <c r="AD797" s="14"/>
      <c r="AE797" s="14"/>
      <c r="AG797" s="13" t="s">
        <v>639</v>
      </c>
      <c r="BG797" s="28">
        <v>6510</v>
      </c>
      <c r="BI797" s="13">
        <v>4557</v>
      </c>
      <c r="BJ797" s="13">
        <v>8598</v>
      </c>
      <c r="BR797" s="13">
        <v>5307</v>
      </c>
      <c r="BT797" s="13">
        <v>3413</v>
      </c>
      <c r="BU797" s="13">
        <v>7181</v>
      </c>
      <c r="BX797" s="13">
        <v>9.0999999999999998E-2</v>
      </c>
      <c r="BY797" s="13" t="s">
        <v>1542</v>
      </c>
      <c r="BZ797" s="13" t="s">
        <v>1543</v>
      </c>
      <c r="CA797" s="13">
        <v>2020</v>
      </c>
      <c r="CB797" s="13" t="s">
        <v>119</v>
      </c>
      <c r="CC797" s="13" t="s">
        <v>1215</v>
      </c>
      <c r="CD797" s="13">
        <v>11</v>
      </c>
      <c r="CG797" s="13" t="s">
        <v>1544</v>
      </c>
    </row>
    <row r="798" spans="1:85">
      <c r="A798" s="13" t="s">
        <v>1912</v>
      </c>
      <c r="B798" s="13" t="s">
        <v>1912</v>
      </c>
      <c r="C798" s="14" t="s">
        <v>1530</v>
      </c>
      <c r="D798" s="14" t="s">
        <v>2039</v>
      </c>
      <c r="E798" s="13" t="s">
        <v>2890</v>
      </c>
      <c r="F798" s="13" t="s">
        <v>2892</v>
      </c>
      <c r="G798" s="13" t="s">
        <v>672</v>
      </c>
      <c r="H798" s="30" t="s">
        <v>675</v>
      </c>
      <c r="J798" s="14" t="s">
        <v>712</v>
      </c>
      <c r="K798" s="14" t="s">
        <v>2875</v>
      </c>
      <c r="L798" s="14" t="s">
        <v>585</v>
      </c>
      <c r="M798" s="14" t="s">
        <v>2888</v>
      </c>
      <c r="N798" s="13">
        <v>25</v>
      </c>
      <c r="O798" s="2">
        <f t="shared" si="70"/>
        <v>0.55555555555555558</v>
      </c>
      <c r="P798" s="13">
        <v>12</v>
      </c>
      <c r="Q798" s="17">
        <f t="shared" si="71"/>
        <v>0.66666666666666663</v>
      </c>
      <c r="R798" s="13">
        <v>45</v>
      </c>
      <c r="S798" s="13">
        <v>18</v>
      </c>
      <c r="T798" s="13">
        <v>0</v>
      </c>
      <c r="W798" s="13">
        <v>54.29</v>
      </c>
      <c r="X798" s="13">
        <v>8.81</v>
      </c>
      <c r="Y798" s="14"/>
      <c r="Z798" s="14"/>
      <c r="AA798" s="14"/>
      <c r="AB798" s="13">
        <v>52.06</v>
      </c>
      <c r="AC798" s="13">
        <v>15.43</v>
      </c>
      <c r="AD798" s="14"/>
      <c r="AE798" s="14"/>
      <c r="AG798" s="13" t="s">
        <v>639</v>
      </c>
      <c r="BG798" s="28">
        <v>6510</v>
      </c>
      <c r="BI798" s="13">
        <v>4557</v>
      </c>
      <c r="BJ798" s="13">
        <v>8598</v>
      </c>
      <c r="BR798" s="13">
        <v>4320</v>
      </c>
      <c r="BT798" s="13">
        <v>1948</v>
      </c>
      <c r="BU798" s="13">
        <v>9183</v>
      </c>
      <c r="BX798" s="13">
        <v>0.13200000000000001</v>
      </c>
      <c r="BY798" s="13" t="s">
        <v>1542</v>
      </c>
      <c r="BZ798" s="13" t="s">
        <v>1543</v>
      </c>
      <c r="CA798" s="13">
        <v>2020</v>
      </c>
      <c r="CB798" s="13" t="s">
        <v>119</v>
      </c>
      <c r="CC798" s="13" t="s">
        <v>1215</v>
      </c>
      <c r="CD798" s="13">
        <v>11</v>
      </c>
      <c r="CG798" s="13" t="s">
        <v>1544</v>
      </c>
    </row>
    <row r="799" spans="1:85">
      <c r="A799" s="13" t="s">
        <v>1912</v>
      </c>
      <c r="B799" s="13" t="s">
        <v>1912</v>
      </c>
      <c r="C799" s="14" t="s">
        <v>1530</v>
      </c>
      <c r="D799" s="14" t="s">
        <v>2039</v>
      </c>
      <c r="E799" s="13" t="s">
        <v>2891</v>
      </c>
      <c r="F799" s="13" t="s">
        <v>2893</v>
      </c>
      <c r="G799" s="13" t="s">
        <v>672</v>
      </c>
      <c r="H799" s="30" t="s">
        <v>675</v>
      </c>
      <c r="J799" s="14" t="s">
        <v>712</v>
      </c>
      <c r="K799" s="14" t="s">
        <v>2875</v>
      </c>
      <c r="L799" s="14" t="s">
        <v>585</v>
      </c>
      <c r="M799" s="14" t="s">
        <v>2888</v>
      </c>
      <c r="N799" s="13">
        <v>25</v>
      </c>
      <c r="O799" s="2">
        <f t="shared" si="70"/>
        <v>0.55555555555555558</v>
      </c>
      <c r="P799" s="13">
        <v>10</v>
      </c>
      <c r="Q799" s="17">
        <f t="shared" si="71"/>
        <v>0.7142857142857143</v>
      </c>
      <c r="R799" s="13">
        <v>45</v>
      </c>
      <c r="S799" s="13">
        <v>14</v>
      </c>
      <c r="T799" s="13">
        <v>0</v>
      </c>
      <c r="W799" s="13">
        <v>54.29</v>
      </c>
      <c r="X799" s="13">
        <v>8.81</v>
      </c>
      <c r="Y799" s="14"/>
      <c r="Z799" s="14"/>
      <c r="AA799" s="14"/>
      <c r="AB799" s="13">
        <v>45.21</v>
      </c>
      <c r="AC799" s="13">
        <v>14.13</v>
      </c>
      <c r="AD799" s="14"/>
      <c r="AE799" s="14"/>
      <c r="AG799" s="13" t="s">
        <v>639</v>
      </c>
      <c r="BG799" s="28">
        <v>6510</v>
      </c>
      <c r="BI799" s="13">
        <v>4557</v>
      </c>
      <c r="BJ799" s="13">
        <v>8598</v>
      </c>
      <c r="BR799" s="13">
        <v>1477</v>
      </c>
      <c r="BT799" s="13">
        <v>913</v>
      </c>
      <c r="BU799" s="13">
        <v>1875</v>
      </c>
      <c r="BX799" s="13" t="s">
        <v>701</v>
      </c>
      <c r="BY799" s="13" t="s">
        <v>1542</v>
      </c>
      <c r="BZ799" s="13" t="s">
        <v>1543</v>
      </c>
      <c r="CA799" s="13">
        <v>2020</v>
      </c>
      <c r="CB799" s="13" t="s">
        <v>119</v>
      </c>
      <c r="CC799" s="13" t="s">
        <v>1215</v>
      </c>
      <c r="CD799" s="13">
        <v>11</v>
      </c>
      <c r="CG799" s="13" t="s">
        <v>1544</v>
      </c>
    </row>
    <row r="800" spans="1:85">
      <c r="A800" s="13" t="s">
        <v>1741</v>
      </c>
      <c r="B800" s="13" t="s">
        <v>1913</v>
      </c>
      <c r="C800" s="13" t="s">
        <v>483</v>
      </c>
      <c r="D800" s="13" t="s">
        <v>818</v>
      </c>
      <c r="E800" s="13" t="s">
        <v>1001</v>
      </c>
      <c r="F800" s="13" t="s">
        <v>1002</v>
      </c>
      <c r="G800" s="13" t="s">
        <v>725</v>
      </c>
      <c r="H800" s="13" t="s">
        <v>684</v>
      </c>
      <c r="I800" s="13" t="s">
        <v>999</v>
      </c>
      <c r="J800" s="13" t="s">
        <v>584</v>
      </c>
      <c r="K800" s="13" t="s">
        <v>2894</v>
      </c>
      <c r="L800" s="13" t="s">
        <v>1977</v>
      </c>
      <c r="M800" s="13" t="s">
        <v>1000</v>
      </c>
      <c r="R800" s="13">
        <v>396</v>
      </c>
      <c r="S800" s="13">
        <v>645</v>
      </c>
      <c r="AJ800" s="13">
        <v>86</v>
      </c>
      <c r="AM800" s="13">
        <v>87</v>
      </c>
      <c r="AP800" s="13">
        <v>0.87</v>
      </c>
      <c r="BY800" s="13" t="s">
        <v>479</v>
      </c>
      <c r="BZ800" s="13" t="s">
        <v>480</v>
      </c>
      <c r="CA800" s="13">
        <v>2019</v>
      </c>
      <c r="CB800" s="21">
        <v>45434</v>
      </c>
      <c r="CC800" s="13" t="s">
        <v>481</v>
      </c>
      <c r="CD800" s="13">
        <v>17</v>
      </c>
      <c r="CE800" s="13">
        <v>1</v>
      </c>
      <c r="CF800" s="13">
        <v>170</v>
      </c>
      <c r="CG800" s="13" t="s">
        <v>482</v>
      </c>
    </row>
    <row r="801" spans="1:85">
      <c r="A801" s="13" t="s">
        <v>3420</v>
      </c>
      <c r="C801" s="13" t="s">
        <v>3348</v>
      </c>
      <c r="D801" s="14" t="s">
        <v>2039</v>
      </c>
      <c r="E801" s="13" t="s">
        <v>630</v>
      </c>
      <c r="F801" s="13" t="s">
        <v>3953</v>
      </c>
      <c r="G801" s="13" t="s">
        <v>725</v>
      </c>
      <c r="H801" s="13" t="s">
        <v>3956</v>
      </c>
      <c r="J801" s="14" t="s">
        <v>3954</v>
      </c>
      <c r="K801" s="14" t="s">
        <v>3955</v>
      </c>
      <c r="L801" s="13" t="s">
        <v>778</v>
      </c>
      <c r="O801" s="17"/>
      <c r="BY801" s="13" t="s">
        <v>3593</v>
      </c>
      <c r="BZ801" s="13" t="s">
        <v>3594</v>
      </c>
      <c r="CA801" s="13">
        <v>2025</v>
      </c>
      <c r="CB801" s="21">
        <v>45681</v>
      </c>
      <c r="CC801" s="13" t="s">
        <v>3595</v>
      </c>
      <c r="CG801" s="13" t="s">
        <v>3275</v>
      </c>
    </row>
    <row r="802" spans="1:85">
      <c r="A802" s="13" t="s">
        <v>1914</v>
      </c>
      <c r="B802" s="13" t="s">
        <v>1914</v>
      </c>
      <c r="C802" s="14" t="s">
        <v>1549</v>
      </c>
      <c r="D802" s="14" t="s">
        <v>2264</v>
      </c>
      <c r="E802" s="13" t="s">
        <v>657</v>
      </c>
      <c r="F802" s="13" t="s">
        <v>2904</v>
      </c>
      <c r="G802" s="13" t="s">
        <v>673</v>
      </c>
      <c r="H802" s="30" t="s">
        <v>2664</v>
      </c>
      <c r="J802" s="14" t="s">
        <v>865</v>
      </c>
      <c r="K802" s="14" t="s">
        <v>2901</v>
      </c>
      <c r="L802" s="13" t="s">
        <v>2905</v>
      </c>
      <c r="M802" s="14" t="s">
        <v>2902</v>
      </c>
      <c r="N802" s="13">
        <v>93</v>
      </c>
      <c r="O802" s="2">
        <f>N802/R802</f>
        <v>0.65492957746478875</v>
      </c>
      <c r="R802" s="13">
        <v>142</v>
      </c>
      <c r="S802" s="13">
        <v>70</v>
      </c>
      <c r="T802" s="13">
        <v>4</v>
      </c>
      <c r="W802" s="13">
        <v>49.37</v>
      </c>
      <c r="X802" s="13">
        <v>12.65</v>
      </c>
      <c r="Y802" s="14"/>
      <c r="Z802" s="14"/>
      <c r="AA802" s="14"/>
      <c r="AB802" s="13">
        <v>42.57</v>
      </c>
      <c r="AC802" s="13">
        <v>12.05</v>
      </c>
      <c r="AD802" s="14"/>
      <c r="AE802" s="14"/>
      <c r="AG802" s="13" t="s">
        <v>639</v>
      </c>
      <c r="BB802" s="13">
        <v>350.61</v>
      </c>
      <c r="BC802" s="13">
        <v>239.84</v>
      </c>
      <c r="BG802" s="28"/>
      <c r="BM802" s="13">
        <v>358.58</v>
      </c>
      <c r="BN802" s="13">
        <v>288.3</v>
      </c>
      <c r="BX802" s="13">
        <v>0.58299999999999996</v>
      </c>
      <c r="BY802" s="13" t="s">
        <v>1545</v>
      </c>
      <c r="BZ802" s="13" t="s">
        <v>1546</v>
      </c>
      <c r="CA802" s="13">
        <v>2024</v>
      </c>
      <c r="CB802" s="13" t="s">
        <v>253</v>
      </c>
      <c r="CC802" s="13" t="s">
        <v>64</v>
      </c>
      <c r="CD802" s="13">
        <v>25</v>
      </c>
      <c r="CE802" s="13">
        <v>45293</v>
      </c>
      <c r="CF802" s="13" t="s">
        <v>1547</v>
      </c>
      <c r="CG802" s="13" t="s">
        <v>1548</v>
      </c>
    </row>
    <row r="803" spans="1:85">
      <c r="A803" s="13" t="s">
        <v>1914</v>
      </c>
      <c r="B803" s="13" t="s">
        <v>1914</v>
      </c>
      <c r="C803" s="14" t="s">
        <v>1549</v>
      </c>
      <c r="D803" s="14" t="s">
        <v>2264</v>
      </c>
      <c r="E803" s="13" t="s">
        <v>657</v>
      </c>
      <c r="F803" s="13" t="s">
        <v>2904</v>
      </c>
      <c r="G803" s="13" t="s">
        <v>672</v>
      </c>
      <c r="H803" s="30" t="s">
        <v>2664</v>
      </c>
      <c r="J803" s="14" t="s">
        <v>865</v>
      </c>
      <c r="K803" s="14" t="s">
        <v>2901</v>
      </c>
      <c r="L803" s="13" t="s">
        <v>2905</v>
      </c>
      <c r="M803" s="14" t="s">
        <v>2902</v>
      </c>
      <c r="R803" s="13">
        <v>76</v>
      </c>
      <c r="S803" s="13">
        <v>39</v>
      </c>
      <c r="W803" s="13">
        <v>49.37</v>
      </c>
      <c r="X803" s="13">
        <v>12.65</v>
      </c>
      <c r="Y803" s="14"/>
      <c r="Z803" s="14"/>
      <c r="AA803" s="14"/>
      <c r="AB803" s="13">
        <v>46.71</v>
      </c>
      <c r="AC803" s="13">
        <v>13.6</v>
      </c>
      <c r="AD803" s="14"/>
      <c r="AE803" s="14"/>
      <c r="AG803" s="13" t="s">
        <v>639</v>
      </c>
      <c r="AH803" s="13">
        <v>16.399999999999999</v>
      </c>
      <c r="AJ803" s="13">
        <v>73.680000000000007</v>
      </c>
      <c r="AM803" s="13">
        <v>61.54</v>
      </c>
      <c r="BB803" s="13">
        <v>46.18</v>
      </c>
      <c r="BC803" s="13">
        <v>27.8</v>
      </c>
      <c r="BG803" s="28"/>
      <c r="BM803" s="13">
        <v>25.95</v>
      </c>
      <c r="BN803" s="13">
        <v>25.64</v>
      </c>
      <c r="BX803" s="13">
        <v>1E-3</v>
      </c>
      <c r="BY803" s="13" t="s">
        <v>1545</v>
      </c>
      <c r="BZ803" s="13" t="s">
        <v>1546</v>
      </c>
      <c r="CA803" s="13">
        <v>2024</v>
      </c>
      <c r="CB803" s="13" t="s">
        <v>253</v>
      </c>
      <c r="CC803" s="13" t="s">
        <v>64</v>
      </c>
      <c r="CD803" s="13">
        <v>25</v>
      </c>
      <c r="CE803" s="13">
        <v>45293</v>
      </c>
      <c r="CF803" s="13" t="s">
        <v>1547</v>
      </c>
      <c r="CG803" s="13" t="s">
        <v>1548</v>
      </c>
    </row>
    <row r="804" spans="1:85">
      <c r="A804" s="13" t="s">
        <v>3421</v>
      </c>
      <c r="B804" s="16"/>
      <c r="C804" s="13" t="s">
        <v>3349</v>
      </c>
      <c r="D804" s="14" t="s">
        <v>830</v>
      </c>
      <c r="E804" s="13" t="s">
        <v>630</v>
      </c>
      <c r="F804" s="13" t="s">
        <v>3960</v>
      </c>
      <c r="G804" s="13" t="s">
        <v>674</v>
      </c>
      <c r="H804" s="13" t="s">
        <v>675</v>
      </c>
      <c r="J804" s="14" t="s">
        <v>584</v>
      </c>
      <c r="K804" s="14" t="s">
        <v>3957</v>
      </c>
      <c r="L804" s="13" t="s">
        <v>3958</v>
      </c>
      <c r="M804" s="13" t="s">
        <v>3959</v>
      </c>
      <c r="N804" s="13">
        <v>23</v>
      </c>
      <c r="O804" s="2">
        <f t="shared" ref="O804:O832" si="72">N804/R804</f>
        <v>0.47916666666666669</v>
      </c>
      <c r="P804" s="13">
        <v>4</v>
      </c>
      <c r="Q804" s="17">
        <f t="shared" ref="Q804:Q832" si="73">P804/S804</f>
        <v>0.2</v>
      </c>
      <c r="R804" s="13">
        <v>48</v>
      </c>
      <c r="S804" s="13">
        <v>20</v>
      </c>
      <c r="V804" s="13">
        <v>20</v>
      </c>
      <c r="W804" s="13">
        <v>57.7</v>
      </c>
      <c r="X804" s="13">
        <v>10.9</v>
      </c>
      <c r="AB804" s="13">
        <v>58.3</v>
      </c>
      <c r="AC804" s="13">
        <v>7.9</v>
      </c>
      <c r="AP804" s="13">
        <v>0.99790000000000001</v>
      </c>
      <c r="AR804" s="13">
        <v>0.99229999999999996</v>
      </c>
      <c r="AS804" s="13">
        <v>1</v>
      </c>
      <c r="BY804" s="13" t="s">
        <v>3596</v>
      </c>
      <c r="BZ804" s="13" t="s">
        <v>3597</v>
      </c>
      <c r="CA804" s="13">
        <v>2025</v>
      </c>
      <c r="CB804" s="21">
        <v>45694</v>
      </c>
      <c r="CC804" s="13" t="s">
        <v>26</v>
      </c>
      <c r="CG804" s="13" t="s">
        <v>3276</v>
      </c>
    </row>
    <row r="805" spans="1:85">
      <c r="A805" s="13" t="s">
        <v>3421</v>
      </c>
      <c r="B805" s="16"/>
      <c r="C805" s="13" t="s">
        <v>3349</v>
      </c>
      <c r="D805" s="14" t="s">
        <v>830</v>
      </c>
      <c r="E805" s="13" t="s">
        <v>630</v>
      </c>
      <c r="F805" s="13" t="s">
        <v>3960</v>
      </c>
      <c r="G805" s="13" t="s">
        <v>674</v>
      </c>
      <c r="H805" s="13" t="s">
        <v>807</v>
      </c>
      <c r="J805" s="14" t="s">
        <v>584</v>
      </c>
      <c r="K805" s="14" t="s">
        <v>3957</v>
      </c>
      <c r="L805" s="13" t="s">
        <v>3958</v>
      </c>
      <c r="M805" s="13" t="s">
        <v>3959</v>
      </c>
      <c r="N805" s="13">
        <v>23</v>
      </c>
      <c r="O805" s="2">
        <f t="shared" si="72"/>
        <v>0.47916666666666669</v>
      </c>
      <c r="P805" s="13">
        <v>4</v>
      </c>
      <c r="Q805" s="17">
        <f t="shared" si="73"/>
        <v>0.2</v>
      </c>
      <c r="R805" s="13">
        <v>48</v>
      </c>
      <c r="S805" s="13">
        <v>20</v>
      </c>
      <c r="V805" s="13">
        <v>20</v>
      </c>
      <c r="W805" s="13">
        <v>57.7</v>
      </c>
      <c r="X805" s="13">
        <v>10.9</v>
      </c>
      <c r="AB805" s="13">
        <v>58.3</v>
      </c>
      <c r="AC805" s="13">
        <v>7.9</v>
      </c>
      <c r="AP805" s="13">
        <v>0.95630000000000004</v>
      </c>
      <c r="AR805" s="13">
        <v>0.91279999999999994</v>
      </c>
      <c r="AS805" s="13">
        <v>0.99970000000000003</v>
      </c>
      <c r="BY805" s="13" t="s">
        <v>3596</v>
      </c>
      <c r="BZ805" s="13" t="s">
        <v>3597</v>
      </c>
      <c r="CA805" s="13">
        <v>2025</v>
      </c>
      <c r="CB805" s="21">
        <v>45694</v>
      </c>
      <c r="CC805" s="13" t="s">
        <v>26</v>
      </c>
      <c r="CG805" s="13" t="s">
        <v>3276</v>
      </c>
    </row>
    <row r="806" spans="1:85">
      <c r="A806" s="13" t="s">
        <v>3421</v>
      </c>
      <c r="B806" s="16"/>
      <c r="C806" s="13" t="s">
        <v>3349</v>
      </c>
      <c r="D806" s="14" t="s">
        <v>830</v>
      </c>
      <c r="E806" s="13" t="s">
        <v>630</v>
      </c>
      <c r="F806" s="13" t="s">
        <v>3960</v>
      </c>
      <c r="G806" s="13" t="s">
        <v>674</v>
      </c>
      <c r="H806" s="13" t="s">
        <v>721</v>
      </c>
      <c r="J806" s="14" t="s">
        <v>584</v>
      </c>
      <c r="K806" s="14" t="s">
        <v>3957</v>
      </c>
      <c r="L806" s="13" t="s">
        <v>3958</v>
      </c>
      <c r="M806" s="13" t="s">
        <v>3959</v>
      </c>
      <c r="N806" s="13">
        <v>23</v>
      </c>
      <c r="O806" s="2">
        <f t="shared" si="72"/>
        <v>0.47916666666666669</v>
      </c>
      <c r="P806" s="13">
        <v>4</v>
      </c>
      <c r="Q806" s="17">
        <f t="shared" si="73"/>
        <v>0.2</v>
      </c>
      <c r="R806" s="13">
        <v>48</v>
      </c>
      <c r="S806" s="13">
        <v>20</v>
      </c>
      <c r="V806" s="13">
        <v>20</v>
      </c>
      <c r="W806" s="13">
        <v>57.7</v>
      </c>
      <c r="X806" s="13">
        <v>10.9</v>
      </c>
      <c r="AB806" s="13">
        <v>58.3</v>
      </c>
      <c r="AC806" s="13">
        <v>7.9</v>
      </c>
      <c r="AP806" s="13">
        <v>0.90639999999999998</v>
      </c>
      <c r="AR806" s="13">
        <v>0.8357</v>
      </c>
      <c r="AS806" s="13">
        <v>0.9768</v>
      </c>
      <c r="BY806" s="13" t="s">
        <v>3596</v>
      </c>
      <c r="BZ806" s="13" t="s">
        <v>3597</v>
      </c>
      <c r="CA806" s="13">
        <v>2025</v>
      </c>
      <c r="CB806" s="21">
        <v>45694</v>
      </c>
      <c r="CC806" s="13" t="s">
        <v>26</v>
      </c>
      <c r="CG806" s="13" t="s">
        <v>3276</v>
      </c>
    </row>
    <row r="807" spans="1:85">
      <c r="A807" s="13" t="s">
        <v>3421</v>
      </c>
      <c r="B807" s="16"/>
      <c r="C807" s="13" t="s">
        <v>3349</v>
      </c>
      <c r="D807" s="14" t="s">
        <v>830</v>
      </c>
      <c r="E807" s="13" t="s">
        <v>630</v>
      </c>
      <c r="F807" s="13" t="s">
        <v>3960</v>
      </c>
      <c r="G807" s="13" t="s">
        <v>674</v>
      </c>
      <c r="H807" s="13" t="s">
        <v>3661</v>
      </c>
      <c r="J807" s="14" t="s">
        <v>584</v>
      </c>
      <c r="K807" s="14" t="s">
        <v>3957</v>
      </c>
      <c r="L807" s="13" t="s">
        <v>3958</v>
      </c>
      <c r="M807" s="13" t="s">
        <v>3959</v>
      </c>
      <c r="N807" s="13">
        <v>23</v>
      </c>
      <c r="O807" s="2">
        <f t="shared" si="72"/>
        <v>0.47916666666666669</v>
      </c>
      <c r="P807" s="13">
        <v>4</v>
      </c>
      <c r="Q807" s="17">
        <f t="shared" si="73"/>
        <v>0.2</v>
      </c>
      <c r="R807" s="13">
        <v>48</v>
      </c>
      <c r="S807" s="13">
        <v>20</v>
      </c>
      <c r="V807" s="13">
        <v>20</v>
      </c>
      <c r="W807" s="13">
        <v>57.7</v>
      </c>
      <c r="X807" s="13">
        <v>10.9</v>
      </c>
      <c r="AB807" s="13">
        <v>58.3</v>
      </c>
      <c r="AC807" s="13">
        <v>7.9</v>
      </c>
      <c r="AP807" s="13">
        <v>0.88649999999999995</v>
      </c>
      <c r="AR807" s="13">
        <v>0.80530000000000002</v>
      </c>
      <c r="AS807" s="13">
        <v>0.96760000000000002</v>
      </c>
      <c r="BY807" s="13" t="s">
        <v>3596</v>
      </c>
      <c r="BZ807" s="13" t="s">
        <v>3597</v>
      </c>
      <c r="CA807" s="13">
        <v>2025</v>
      </c>
      <c r="CB807" s="21">
        <v>45694</v>
      </c>
      <c r="CC807" s="13" t="s">
        <v>26</v>
      </c>
      <c r="CG807" s="13" t="s">
        <v>3276</v>
      </c>
    </row>
    <row r="808" spans="1:85">
      <c r="A808" s="13" t="s">
        <v>3421</v>
      </c>
      <c r="B808" s="16"/>
      <c r="C808" s="13" t="s">
        <v>3349</v>
      </c>
      <c r="D808" s="14" t="s">
        <v>830</v>
      </c>
      <c r="E808" s="13" t="s">
        <v>630</v>
      </c>
      <c r="F808" s="13" t="s">
        <v>3960</v>
      </c>
      <c r="G808" s="13" t="s">
        <v>674</v>
      </c>
      <c r="H808" s="13" t="s">
        <v>3961</v>
      </c>
      <c r="J808" s="14" t="s">
        <v>584</v>
      </c>
      <c r="K808" s="14" t="s">
        <v>3957</v>
      </c>
      <c r="L808" s="13" t="s">
        <v>3958</v>
      </c>
      <c r="M808" s="13" t="s">
        <v>3959</v>
      </c>
      <c r="N808" s="13">
        <v>23</v>
      </c>
      <c r="O808" s="2">
        <f t="shared" si="72"/>
        <v>0.47916666666666669</v>
      </c>
      <c r="P808" s="13">
        <v>4</v>
      </c>
      <c r="Q808" s="17">
        <f t="shared" si="73"/>
        <v>0.2</v>
      </c>
      <c r="R808" s="13">
        <v>48</v>
      </c>
      <c r="S808" s="13">
        <v>20</v>
      </c>
      <c r="V808" s="13">
        <v>20</v>
      </c>
      <c r="W808" s="13">
        <v>57.7</v>
      </c>
      <c r="X808" s="13">
        <v>10.9</v>
      </c>
      <c r="AB808" s="13">
        <v>58.3</v>
      </c>
      <c r="AC808" s="13">
        <v>7.9</v>
      </c>
      <c r="AP808" s="13">
        <v>0.91249999999999998</v>
      </c>
      <c r="AR808" s="13">
        <v>0.84650000000000003</v>
      </c>
      <c r="AS808" s="13">
        <v>0.97850000000000004</v>
      </c>
      <c r="BY808" s="13" t="s">
        <v>3596</v>
      </c>
      <c r="BZ808" s="13" t="s">
        <v>3597</v>
      </c>
      <c r="CA808" s="13">
        <v>2025</v>
      </c>
      <c r="CB808" s="21">
        <v>45694</v>
      </c>
      <c r="CC808" s="13" t="s">
        <v>26</v>
      </c>
      <c r="CG808" s="13" t="s">
        <v>3276</v>
      </c>
    </row>
    <row r="809" spans="1:85">
      <c r="A809" s="13" t="s">
        <v>3421</v>
      </c>
      <c r="B809" s="16"/>
      <c r="C809" s="13" t="s">
        <v>3349</v>
      </c>
      <c r="D809" s="14" t="s">
        <v>830</v>
      </c>
      <c r="E809" s="13" t="s">
        <v>630</v>
      </c>
      <c r="F809" s="13" t="s">
        <v>3960</v>
      </c>
      <c r="G809" s="13" t="s">
        <v>674</v>
      </c>
      <c r="H809" s="13" t="s">
        <v>960</v>
      </c>
      <c r="J809" s="14" t="s">
        <v>584</v>
      </c>
      <c r="K809" s="14" t="s">
        <v>3957</v>
      </c>
      <c r="L809" s="13" t="s">
        <v>3958</v>
      </c>
      <c r="M809" s="13" t="s">
        <v>3959</v>
      </c>
      <c r="N809" s="13">
        <v>23</v>
      </c>
      <c r="O809" s="2">
        <f t="shared" si="72"/>
        <v>0.47916666666666669</v>
      </c>
      <c r="P809" s="13">
        <v>4</v>
      </c>
      <c r="Q809" s="17">
        <f t="shared" si="73"/>
        <v>0.2</v>
      </c>
      <c r="R809" s="13">
        <v>48</v>
      </c>
      <c r="S809" s="13">
        <v>20</v>
      </c>
      <c r="V809" s="13">
        <v>20</v>
      </c>
      <c r="W809" s="13">
        <v>57.7</v>
      </c>
      <c r="X809" s="13">
        <v>10.9</v>
      </c>
      <c r="AB809" s="13">
        <v>58.3</v>
      </c>
      <c r="AC809" s="13">
        <v>7.9</v>
      </c>
      <c r="AP809" s="13">
        <v>0.78100000000000003</v>
      </c>
      <c r="AR809" s="13">
        <v>0.6643</v>
      </c>
      <c r="AS809" s="13">
        <v>0.89770000000000005</v>
      </c>
      <c r="BY809" s="13" t="s">
        <v>3596</v>
      </c>
      <c r="BZ809" s="13" t="s">
        <v>3597</v>
      </c>
      <c r="CA809" s="13">
        <v>2025</v>
      </c>
      <c r="CB809" s="21">
        <v>45694</v>
      </c>
      <c r="CC809" s="13" t="s">
        <v>26</v>
      </c>
      <c r="CG809" s="13" t="s">
        <v>3276</v>
      </c>
    </row>
    <row r="810" spans="1:85">
      <c r="A810" s="13" t="s">
        <v>1742</v>
      </c>
      <c r="B810" s="13" t="s">
        <v>1915</v>
      </c>
      <c r="C810" s="13" t="s">
        <v>488</v>
      </c>
      <c r="D810" s="13" t="s">
        <v>830</v>
      </c>
      <c r="E810" s="13" t="s">
        <v>630</v>
      </c>
      <c r="F810" s="13" t="s">
        <v>1003</v>
      </c>
      <c r="G810" s="13" t="s">
        <v>672</v>
      </c>
      <c r="H810" s="13" t="s">
        <v>680</v>
      </c>
      <c r="J810" s="13" t="s">
        <v>586</v>
      </c>
      <c r="K810" s="14" t="s">
        <v>2906</v>
      </c>
      <c r="L810" s="13" t="s">
        <v>585</v>
      </c>
      <c r="N810" s="13">
        <v>63</v>
      </c>
      <c r="O810" s="2">
        <f t="shared" si="72"/>
        <v>0.76829268292682928</v>
      </c>
      <c r="P810" s="13">
        <v>12</v>
      </c>
      <c r="Q810" s="17">
        <f t="shared" si="73"/>
        <v>0.48</v>
      </c>
      <c r="R810" s="13">
        <v>82</v>
      </c>
      <c r="S810" s="13">
        <v>25</v>
      </c>
      <c r="V810" s="13">
        <v>5</v>
      </c>
      <c r="W810" s="13">
        <v>59.9</v>
      </c>
      <c r="X810" s="13">
        <v>10.7</v>
      </c>
      <c r="AB810" s="13">
        <v>56.5</v>
      </c>
      <c r="AC810" s="13">
        <v>9.1999999999999993</v>
      </c>
      <c r="AG810" s="13" t="s">
        <v>641</v>
      </c>
      <c r="AP810" s="13">
        <v>0.92</v>
      </c>
      <c r="AR810" s="13">
        <v>0.86</v>
      </c>
      <c r="AS810" s="13">
        <v>0.98</v>
      </c>
      <c r="BG810" s="13">
        <v>8.5299999999999994</v>
      </c>
      <c r="BI810" s="13">
        <v>4.43</v>
      </c>
      <c r="BJ810" s="13">
        <v>17.16</v>
      </c>
      <c r="BR810" s="13">
        <v>0.97</v>
      </c>
      <c r="BT810" s="13">
        <v>0.56999999999999995</v>
      </c>
      <c r="BU810" s="13">
        <v>1.93</v>
      </c>
      <c r="BX810" s="13" t="s">
        <v>635</v>
      </c>
      <c r="BY810" s="13" t="s">
        <v>484</v>
      </c>
      <c r="BZ810" s="13" t="s">
        <v>485</v>
      </c>
      <c r="CA810" s="13">
        <v>2019</v>
      </c>
      <c r="CB810" s="13" t="s">
        <v>44</v>
      </c>
      <c r="CC810" s="13" t="s">
        <v>195</v>
      </c>
      <c r="CD810" s="13">
        <v>90</v>
      </c>
      <c r="CE810" s="13">
        <v>11</v>
      </c>
      <c r="CF810" s="13" t="s">
        <v>486</v>
      </c>
      <c r="CG810" s="13" t="s">
        <v>487</v>
      </c>
    </row>
    <row r="811" spans="1:85">
      <c r="A811" s="13" t="s">
        <v>1742</v>
      </c>
      <c r="B811" s="13" t="s">
        <v>1915</v>
      </c>
      <c r="C811" s="13" t="s">
        <v>488</v>
      </c>
      <c r="D811" s="13" t="s">
        <v>830</v>
      </c>
      <c r="E811" s="13" t="s">
        <v>630</v>
      </c>
      <c r="F811" s="13" t="s">
        <v>1003</v>
      </c>
      <c r="G811" s="13" t="s">
        <v>672</v>
      </c>
      <c r="H811" s="13" t="s">
        <v>679</v>
      </c>
      <c r="J811" s="13" t="s">
        <v>586</v>
      </c>
      <c r="K811" s="14" t="s">
        <v>2906</v>
      </c>
      <c r="L811" s="13" t="s">
        <v>585</v>
      </c>
      <c r="N811" s="13">
        <v>63</v>
      </c>
      <c r="O811" s="2">
        <f t="shared" si="72"/>
        <v>0.76829268292682928</v>
      </c>
      <c r="P811" s="13">
        <v>12</v>
      </c>
      <c r="Q811" s="17">
        <f t="shared" si="73"/>
        <v>0.48</v>
      </c>
      <c r="R811" s="13">
        <v>82</v>
      </c>
      <c r="S811" s="13">
        <v>25</v>
      </c>
      <c r="V811" s="13">
        <v>5</v>
      </c>
      <c r="W811" s="13">
        <v>59.9</v>
      </c>
      <c r="X811" s="13">
        <v>10.7</v>
      </c>
      <c r="AB811" s="13">
        <v>56.5</v>
      </c>
      <c r="AC811" s="13">
        <v>9.1999999999999993</v>
      </c>
      <c r="AG811" s="13" t="s">
        <v>641</v>
      </c>
      <c r="AP811" s="13">
        <v>0.8</v>
      </c>
      <c r="AR811" s="13">
        <v>0.7</v>
      </c>
      <c r="AS811" s="13">
        <v>0.91</v>
      </c>
      <c r="BG811" s="13">
        <v>183.82</v>
      </c>
      <c r="BI811" s="13">
        <v>141.94</v>
      </c>
      <c r="BJ811" s="13">
        <v>243.35</v>
      </c>
      <c r="BR811" s="13">
        <v>123.76</v>
      </c>
      <c r="BT811" s="13">
        <v>81.36</v>
      </c>
      <c r="BU811" s="13">
        <v>151.41</v>
      </c>
      <c r="BX811" s="13" t="s">
        <v>635</v>
      </c>
      <c r="BY811" s="13" t="s">
        <v>484</v>
      </c>
      <c r="BZ811" s="13" t="s">
        <v>485</v>
      </c>
      <c r="CA811" s="13">
        <v>2019</v>
      </c>
      <c r="CB811" s="13" t="s">
        <v>44</v>
      </c>
      <c r="CC811" s="13" t="s">
        <v>195</v>
      </c>
      <c r="CD811" s="13">
        <v>90</v>
      </c>
      <c r="CE811" s="13">
        <v>11</v>
      </c>
      <c r="CF811" s="13" t="s">
        <v>486</v>
      </c>
      <c r="CG811" s="13" t="s">
        <v>487</v>
      </c>
    </row>
    <row r="812" spans="1:85">
      <c r="A812" s="13" t="s">
        <v>1742</v>
      </c>
      <c r="B812" s="13" t="s">
        <v>1915</v>
      </c>
      <c r="C812" s="13" t="s">
        <v>488</v>
      </c>
      <c r="D812" s="13" t="s">
        <v>830</v>
      </c>
      <c r="E812" s="13" t="s">
        <v>630</v>
      </c>
      <c r="F812" s="13" t="s">
        <v>1003</v>
      </c>
      <c r="G812" s="13" t="s">
        <v>672</v>
      </c>
      <c r="H812" s="13" t="s">
        <v>1004</v>
      </c>
      <c r="J812" s="13" t="s">
        <v>586</v>
      </c>
      <c r="K812" s="14" t="s">
        <v>2906</v>
      </c>
      <c r="L812" s="13" t="s">
        <v>585</v>
      </c>
      <c r="N812" s="13">
        <v>63</v>
      </c>
      <c r="O812" s="2">
        <f t="shared" si="72"/>
        <v>0.76829268292682928</v>
      </c>
      <c r="P812" s="13">
        <v>12</v>
      </c>
      <c r="Q812" s="17">
        <f t="shared" si="73"/>
        <v>0.48</v>
      </c>
      <c r="R812" s="13">
        <v>82</v>
      </c>
      <c r="S812" s="13">
        <v>25</v>
      </c>
      <c r="V812" s="13">
        <v>5</v>
      </c>
      <c r="W812" s="13">
        <v>59.9</v>
      </c>
      <c r="X812" s="13">
        <v>10.7</v>
      </c>
      <c r="AB812" s="13">
        <v>56.5</v>
      </c>
      <c r="AC812" s="13">
        <v>9.1999999999999993</v>
      </c>
      <c r="AG812" s="13" t="s">
        <v>641</v>
      </c>
      <c r="AP812" s="13">
        <v>0.9</v>
      </c>
      <c r="AR812" s="13">
        <v>0.84</v>
      </c>
      <c r="AS812" s="13">
        <v>0.96</v>
      </c>
      <c r="BG812" s="13">
        <v>16.12</v>
      </c>
      <c r="BI812" s="13">
        <v>10.97</v>
      </c>
      <c r="BJ812" s="13">
        <v>21.84</v>
      </c>
      <c r="BR812" s="13">
        <v>6.48</v>
      </c>
      <c r="BT812" s="13">
        <v>4.7300000000000004</v>
      </c>
      <c r="BU812" s="13">
        <v>8.07</v>
      </c>
      <c r="BX812" s="13" t="s">
        <v>635</v>
      </c>
      <c r="BY812" s="13" t="s">
        <v>484</v>
      </c>
      <c r="BZ812" s="13" t="s">
        <v>485</v>
      </c>
      <c r="CA812" s="13">
        <v>2019</v>
      </c>
      <c r="CB812" s="13" t="s">
        <v>44</v>
      </c>
      <c r="CC812" s="13" t="s">
        <v>195</v>
      </c>
      <c r="CD812" s="13">
        <v>90</v>
      </c>
      <c r="CE812" s="13">
        <v>11</v>
      </c>
      <c r="CF812" s="13" t="s">
        <v>486</v>
      </c>
      <c r="CG812" s="13" t="s">
        <v>487</v>
      </c>
    </row>
    <row r="813" spans="1:85">
      <c r="A813" s="13" t="s">
        <v>1742</v>
      </c>
      <c r="B813" s="13" t="s">
        <v>1915</v>
      </c>
      <c r="C813" s="13" t="s">
        <v>488</v>
      </c>
      <c r="D813" s="13" t="s">
        <v>830</v>
      </c>
      <c r="E813" s="13" t="s">
        <v>630</v>
      </c>
      <c r="F813" s="13" t="s">
        <v>1003</v>
      </c>
      <c r="G813" s="13" t="s">
        <v>672</v>
      </c>
      <c r="H813" s="13" t="s">
        <v>686</v>
      </c>
      <c r="J813" s="13" t="s">
        <v>586</v>
      </c>
      <c r="K813" s="14" t="s">
        <v>2906</v>
      </c>
      <c r="L813" s="13" t="s">
        <v>585</v>
      </c>
      <c r="N813" s="13">
        <v>63</v>
      </c>
      <c r="O813" s="2">
        <f t="shared" si="72"/>
        <v>0.76829268292682928</v>
      </c>
      <c r="P813" s="13">
        <v>12</v>
      </c>
      <c r="Q813" s="17">
        <f t="shared" si="73"/>
        <v>0.48</v>
      </c>
      <c r="R813" s="13">
        <v>82</v>
      </c>
      <c r="S813" s="13">
        <v>25</v>
      </c>
      <c r="V813" s="13">
        <v>5</v>
      </c>
      <c r="W813" s="13">
        <v>59.9</v>
      </c>
      <c r="X813" s="13">
        <v>10.7</v>
      </c>
      <c r="AB813" s="13">
        <v>56.5</v>
      </c>
      <c r="AC813" s="13">
        <v>9.1999999999999993</v>
      </c>
      <c r="AG813" s="13" t="s">
        <v>641</v>
      </c>
      <c r="AP813" s="13">
        <v>0.97</v>
      </c>
      <c r="AR813" s="13">
        <v>0.94</v>
      </c>
      <c r="AS813" s="13">
        <v>1</v>
      </c>
      <c r="BG813" s="13">
        <v>2.6</v>
      </c>
      <c r="BI813" s="13">
        <v>1.77</v>
      </c>
      <c r="BJ813" s="13">
        <v>4.0599999999999996</v>
      </c>
      <c r="BR813" s="13">
        <v>0.35</v>
      </c>
      <c r="BT813" s="13">
        <v>0.31</v>
      </c>
      <c r="BU813" s="13">
        <v>0.47</v>
      </c>
      <c r="BX813" s="13" t="s">
        <v>635</v>
      </c>
      <c r="BY813" s="13" t="s">
        <v>484</v>
      </c>
      <c r="BZ813" s="13" t="s">
        <v>485</v>
      </c>
      <c r="CA813" s="13">
        <v>2019</v>
      </c>
      <c r="CB813" s="13" t="s">
        <v>44</v>
      </c>
      <c r="CC813" s="13" t="s">
        <v>195</v>
      </c>
      <c r="CD813" s="13">
        <v>90</v>
      </c>
      <c r="CE813" s="13">
        <v>11</v>
      </c>
      <c r="CF813" s="13" t="s">
        <v>486</v>
      </c>
      <c r="CG813" s="13" t="s">
        <v>487</v>
      </c>
    </row>
    <row r="814" spans="1:85">
      <c r="A814" s="13" t="s">
        <v>1742</v>
      </c>
      <c r="B814" s="13" t="s">
        <v>1915</v>
      </c>
      <c r="C814" s="13" t="s">
        <v>488</v>
      </c>
      <c r="D814" s="13" t="s">
        <v>830</v>
      </c>
      <c r="E814" s="13" t="s">
        <v>630</v>
      </c>
      <c r="F814" s="13" t="s">
        <v>1003</v>
      </c>
      <c r="G814" s="13" t="s">
        <v>672</v>
      </c>
      <c r="H814" s="13" t="s">
        <v>684</v>
      </c>
      <c r="I814" s="13" t="s">
        <v>1006</v>
      </c>
      <c r="J814" s="13" t="s">
        <v>586</v>
      </c>
      <c r="K814" s="14" t="s">
        <v>2906</v>
      </c>
      <c r="L814" s="13" t="s">
        <v>585</v>
      </c>
      <c r="N814" s="13">
        <v>63</v>
      </c>
      <c r="O814" s="2">
        <f t="shared" si="72"/>
        <v>0.76829268292682928</v>
      </c>
      <c r="P814" s="13">
        <v>12</v>
      </c>
      <c r="Q814" s="17">
        <f t="shared" si="73"/>
        <v>0.48</v>
      </c>
      <c r="R814" s="13">
        <v>82</v>
      </c>
      <c r="S814" s="13">
        <v>25</v>
      </c>
      <c r="V814" s="13">
        <v>5</v>
      </c>
      <c r="W814" s="13">
        <v>59.9</v>
      </c>
      <c r="X814" s="13">
        <v>10.7</v>
      </c>
      <c r="AB814" s="13">
        <v>56.5</v>
      </c>
      <c r="AC814" s="13">
        <v>9.1999999999999993</v>
      </c>
      <c r="AP814" s="13">
        <v>0.97</v>
      </c>
      <c r="AR814" s="13">
        <v>0.94</v>
      </c>
      <c r="AS814" s="13">
        <v>1</v>
      </c>
      <c r="BY814" s="13" t="s">
        <v>484</v>
      </c>
      <c r="BZ814" s="13" t="s">
        <v>485</v>
      </c>
      <c r="CA814" s="13">
        <v>2019</v>
      </c>
      <c r="CB814" s="13" t="s">
        <v>44</v>
      </c>
      <c r="CC814" s="13" t="s">
        <v>195</v>
      </c>
      <c r="CD814" s="13">
        <v>90</v>
      </c>
      <c r="CE814" s="13">
        <v>11</v>
      </c>
      <c r="CF814" s="13" t="s">
        <v>486</v>
      </c>
      <c r="CG814" s="13" t="s">
        <v>487</v>
      </c>
    </row>
    <row r="815" spans="1:85">
      <c r="A815" s="13" t="s">
        <v>1742</v>
      </c>
      <c r="B815" s="13" t="s">
        <v>1915</v>
      </c>
      <c r="C815" s="13" t="s">
        <v>488</v>
      </c>
      <c r="D815" s="13" t="s">
        <v>830</v>
      </c>
      <c r="E815" s="13" t="s">
        <v>633</v>
      </c>
      <c r="F815" s="13" t="s">
        <v>1005</v>
      </c>
      <c r="G815" s="13" t="s">
        <v>672</v>
      </c>
      <c r="H815" s="13" t="s">
        <v>680</v>
      </c>
      <c r="J815" s="13" t="s">
        <v>586</v>
      </c>
      <c r="K815" s="14" t="s">
        <v>2906</v>
      </c>
      <c r="L815" s="13" t="s">
        <v>585</v>
      </c>
      <c r="N815" s="13">
        <v>63</v>
      </c>
      <c r="O815" s="2">
        <f t="shared" si="72"/>
        <v>0.76829268292682928</v>
      </c>
      <c r="P815" s="13">
        <v>11</v>
      </c>
      <c r="Q815" s="17">
        <f t="shared" si="73"/>
        <v>0.91666666666666663</v>
      </c>
      <c r="R815" s="13">
        <v>82</v>
      </c>
      <c r="S815" s="13">
        <v>12</v>
      </c>
      <c r="V815" s="13">
        <v>5</v>
      </c>
      <c r="W815" s="13">
        <v>59.9</v>
      </c>
      <c r="X815" s="13">
        <v>10.7</v>
      </c>
      <c r="AB815" s="13">
        <v>57.7</v>
      </c>
      <c r="AC815" s="13">
        <v>15.5</v>
      </c>
      <c r="AG815" s="13" t="s">
        <v>641</v>
      </c>
      <c r="AP815" s="13">
        <v>0.84</v>
      </c>
      <c r="AR815" s="13">
        <v>0.72</v>
      </c>
      <c r="AS815" s="13">
        <v>0.95</v>
      </c>
      <c r="BG815" s="13">
        <v>8.5299999999999994</v>
      </c>
      <c r="BI815" s="13">
        <v>4.43</v>
      </c>
      <c r="BJ815" s="13">
        <v>17.16</v>
      </c>
      <c r="BR815" s="13">
        <v>1.33</v>
      </c>
      <c r="BT815" s="13">
        <v>1.19</v>
      </c>
      <c r="BU815" s="13">
        <v>4.66</v>
      </c>
      <c r="BX815" s="13" t="s">
        <v>635</v>
      </c>
      <c r="BY815" s="13" t="s">
        <v>484</v>
      </c>
      <c r="BZ815" s="13" t="s">
        <v>485</v>
      </c>
      <c r="CA815" s="13">
        <v>2019</v>
      </c>
      <c r="CB815" s="13" t="s">
        <v>44</v>
      </c>
      <c r="CC815" s="13" t="s">
        <v>195</v>
      </c>
      <c r="CD815" s="13">
        <v>90</v>
      </c>
      <c r="CE815" s="13">
        <v>11</v>
      </c>
      <c r="CF815" s="13" t="s">
        <v>486</v>
      </c>
      <c r="CG815" s="13" t="s">
        <v>487</v>
      </c>
    </row>
    <row r="816" spans="1:85">
      <c r="A816" s="13" t="s">
        <v>1742</v>
      </c>
      <c r="B816" s="13" t="s">
        <v>1915</v>
      </c>
      <c r="C816" s="13" t="s">
        <v>488</v>
      </c>
      <c r="D816" s="13" t="s">
        <v>830</v>
      </c>
      <c r="E816" s="13" t="s">
        <v>633</v>
      </c>
      <c r="F816" s="13" t="s">
        <v>1005</v>
      </c>
      <c r="G816" s="13" t="s">
        <v>672</v>
      </c>
      <c r="H816" s="13" t="s">
        <v>679</v>
      </c>
      <c r="J816" s="13" t="s">
        <v>586</v>
      </c>
      <c r="K816" s="14" t="s">
        <v>2906</v>
      </c>
      <c r="L816" s="13" t="s">
        <v>585</v>
      </c>
      <c r="N816" s="13">
        <v>63</v>
      </c>
      <c r="O816" s="2">
        <f t="shared" si="72"/>
        <v>0.76829268292682928</v>
      </c>
      <c r="P816" s="13">
        <v>11</v>
      </c>
      <c r="Q816" s="17">
        <f t="shared" si="73"/>
        <v>0.91666666666666663</v>
      </c>
      <c r="R816" s="13">
        <v>82</v>
      </c>
      <c r="S816" s="13">
        <v>12</v>
      </c>
      <c r="V816" s="13">
        <v>5</v>
      </c>
      <c r="W816" s="13">
        <v>59.9</v>
      </c>
      <c r="X816" s="13">
        <v>10.7</v>
      </c>
      <c r="AB816" s="13">
        <v>57.7</v>
      </c>
      <c r="AC816" s="13">
        <v>15.5</v>
      </c>
      <c r="AG816" s="13" t="s">
        <v>641</v>
      </c>
      <c r="AP816" s="13">
        <v>0.73</v>
      </c>
      <c r="AR816" s="13">
        <v>0.57999999999999996</v>
      </c>
      <c r="AS816" s="13">
        <v>0.88</v>
      </c>
      <c r="BG816" s="13">
        <v>183.82</v>
      </c>
      <c r="BI816" s="13">
        <v>141.94</v>
      </c>
      <c r="BJ816" s="13">
        <v>243.35</v>
      </c>
      <c r="BR816" s="13">
        <v>132.32</v>
      </c>
      <c r="BT816" s="13">
        <v>89.24</v>
      </c>
      <c r="BU816" s="13">
        <v>168.87</v>
      </c>
      <c r="BX816" s="13">
        <v>1.7000000000000001E-2</v>
      </c>
      <c r="BY816" s="13" t="s">
        <v>484</v>
      </c>
      <c r="BZ816" s="13" t="s">
        <v>485</v>
      </c>
      <c r="CA816" s="13">
        <v>2019</v>
      </c>
      <c r="CB816" s="13" t="s">
        <v>44</v>
      </c>
      <c r="CC816" s="13" t="s">
        <v>195</v>
      </c>
      <c r="CD816" s="13">
        <v>90</v>
      </c>
      <c r="CE816" s="13">
        <v>11</v>
      </c>
      <c r="CF816" s="13" t="s">
        <v>486</v>
      </c>
      <c r="CG816" s="13" t="s">
        <v>487</v>
      </c>
    </row>
    <row r="817" spans="1:85">
      <c r="A817" s="13" t="s">
        <v>1742</v>
      </c>
      <c r="B817" s="13" t="s">
        <v>1915</v>
      </c>
      <c r="C817" s="13" t="s">
        <v>488</v>
      </c>
      <c r="D817" s="13" t="s">
        <v>830</v>
      </c>
      <c r="E817" s="13" t="s">
        <v>633</v>
      </c>
      <c r="F817" s="13" t="s">
        <v>1005</v>
      </c>
      <c r="G817" s="13" t="s">
        <v>672</v>
      </c>
      <c r="H817" s="13" t="s">
        <v>1004</v>
      </c>
      <c r="J817" s="13" t="s">
        <v>586</v>
      </c>
      <c r="K817" s="14" t="s">
        <v>2906</v>
      </c>
      <c r="L817" s="13" t="s">
        <v>585</v>
      </c>
      <c r="N817" s="13">
        <v>63</v>
      </c>
      <c r="O817" s="2">
        <f t="shared" si="72"/>
        <v>0.76829268292682928</v>
      </c>
      <c r="P817" s="13">
        <v>11</v>
      </c>
      <c r="Q817" s="17">
        <f t="shared" si="73"/>
        <v>0.91666666666666663</v>
      </c>
      <c r="R817" s="13">
        <v>82</v>
      </c>
      <c r="S817" s="13">
        <v>12</v>
      </c>
      <c r="V817" s="13">
        <v>5</v>
      </c>
      <c r="W817" s="13">
        <v>59.9</v>
      </c>
      <c r="X817" s="13">
        <v>10.7</v>
      </c>
      <c r="AB817" s="13">
        <v>57.7</v>
      </c>
      <c r="AC817" s="13">
        <v>15.5</v>
      </c>
      <c r="AG817" s="13" t="s">
        <v>641</v>
      </c>
      <c r="AP817" s="13">
        <v>0.88</v>
      </c>
      <c r="AR817" s="13">
        <v>0.81</v>
      </c>
      <c r="AS817" s="13">
        <v>0.95</v>
      </c>
      <c r="BG817" s="13">
        <v>16.12</v>
      </c>
      <c r="BI817" s="13">
        <v>10.97</v>
      </c>
      <c r="BJ817" s="13">
        <v>21.84</v>
      </c>
      <c r="BR817" s="13">
        <v>7.34</v>
      </c>
      <c r="BT817" s="13">
        <v>6.48</v>
      </c>
      <c r="BU817" s="13">
        <v>8.11</v>
      </c>
      <c r="BX817" s="13" t="s">
        <v>635</v>
      </c>
      <c r="BY817" s="13" t="s">
        <v>484</v>
      </c>
      <c r="BZ817" s="13" t="s">
        <v>485</v>
      </c>
      <c r="CA817" s="13">
        <v>2019</v>
      </c>
      <c r="CB817" s="13" t="s">
        <v>44</v>
      </c>
      <c r="CC817" s="13" t="s">
        <v>195</v>
      </c>
      <c r="CD817" s="13">
        <v>90</v>
      </c>
      <c r="CE817" s="13">
        <v>11</v>
      </c>
      <c r="CF817" s="13" t="s">
        <v>486</v>
      </c>
      <c r="CG817" s="13" t="s">
        <v>487</v>
      </c>
    </row>
    <row r="818" spans="1:85">
      <c r="A818" s="13" t="s">
        <v>1742</v>
      </c>
      <c r="B818" s="13" t="s">
        <v>1915</v>
      </c>
      <c r="C818" s="13" t="s">
        <v>488</v>
      </c>
      <c r="D818" s="13" t="s">
        <v>830</v>
      </c>
      <c r="E818" s="13" t="s">
        <v>633</v>
      </c>
      <c r="F818" s="13" t="s">
        <v>1003</v>
      </c>
      <c r="G818" s="13" t="s">
        <v>672</v>
      </c>
      <c r="H818" s="13" t="s">
        <v>686</v>
      </c>
      <c r="J818" s="13" t="s">
        <v>586</v>
      </c>
      <c r="K818" s="14" t="s">
        <v>2906</v>
      </c>
      <c r="L818" s="13" t="s">
        <v>585</v>
      </c>
      <c r="N818" s="13">
        <v>63</v>
      </c>
      <c r="O818" s="2">
        <f t="shared" si="72"/>
        <v>0.76829268292682928</v>
      </c>
      <c r="P818" s="13">
        <v>11</v>
      </c>
      <c r="Q818" s="17">
        <f t="shared" si="73"/>
        <v>0.91666666666666663</v>
      </c>
      <c r="R818" s="13">
        <v>82</v>
      </c>
      <c r="S818" s="13">
        <v>12</v>
      </c>
      <c r="V818" s="13">
        <v>5</v>
      </c>
      <c r="W818" s="13">
        <v>59.9</v>
      </c>
      <c r="X818" s="13">
        <v>10.7</v>
      </c>
      <c r="AB818" s="13">
        <v>57.7</v>
      </c>
      <c r="AC818" s="13">
        <v>15.5</v>
      </c>
      <c r="AG818" s="13" t="s">
        <v>641</v>
      </c>
      <c r="AP818" s="13">
        <v>0.91</v>
      </c>
      <c r="AR818" s="13">
        <v>0.83</v>
      </c>
      <c r="AS818" s="13">
        <v>0.99</v>
      </c>
      <c r="BG818" s="13">
        <v>2.6</v>
      </c>
      <c r="BI818" s="13">
        <v>1.77</v>
      </c>
      <c r="BJ818" s="13">
        <v>4.0599999999999996</v>
      </c>
      <c r="BR818" s="13">
        <v>0.51</v>
      </c>
      <c r="BT818" s="13">
        <v>0.38</v>
      </c>
      <c r="BU818" s="13">
        <v>0.72</v>
      </c>
      <c r="BX818" s="13" t="s">
        <v>635</v>
      </c>
      <c r="BY818" s="13" t="s">
        <v>484</v>
      </c>
      <c r="BZ818" s="13" t="s">
        <v>485</v>
      </c>
      <c r="CA818" s="13">
        <v>2019</v>
      </c>
      <c r="CB818" s="13" t="s">
        <v>44</v>
      </c>
      <c r="CC818" s="13" t="s">
        <v>195</v>
      </c>
      <c r="CD818" s="13">
        <v>90</v>
      </c>
      <c r="CE818" s="13">
        <v>11</v>
      </c>
      <c r="CF818" s="13" t="s">
        <v>486</v>
      </c>
      <c r="CG818" s="13" t="s">
        <v>487</v>
      </c>
    </row>
    <row r="819" spans="1:85">
      <c r="A819" s="13" t="s">
        <v>1742</v>
      </c>
      <c r="B819" s="13" t="s">
        <v>1915</v>
      </c>
      <c r="C819" s="13" t="s">
        <v>488</v>
      </c>
      <c r="D819" s="13" t="s">
        <v>830</v>
      </c>
      <c r="E819" s="13" t="s">
        <v>633</v>
      </c>
      <c r="F819" s="13" t="s">
        <v>1003</v>
      </c>
      <c r="G819" s="13" t="s">
        <v>672</v>
      </c>
      <c r="H819" s="13" t="s">
        <v>684</v>
      </c>
      <c r="I819" s="13" t="s">
        <v>1007</v>
      </c>
      <c r="J819" s="13" t="s">
        <v>586</v>
      </c>
      <c r="K819" s="14" t="s">
        <v>2906</v>
      </c>
      <c r="L819" s="13" t="s">
        <v>585</v>
      </c>
      <c r="N819" s="13">
        <v>63</v>
      </c>
      <c r="O819" s="2">
        <f t="shared" si="72"/>
        <v>0.76829268292682928</v>
      </c>
      <c r="P819" s="13">
        <v>11</v>
      </c>
      <c r="Q819" s="17">
        <f t="shared" si="73"/>
        <v>0.91666666666666663</v>
      </c>
      <c r="R819" s="13">
        <v>82</v>
      </c>
      <c r="S819" s="13">
        <v>12</v>
      </c>
      <c r="V819" s="13">
        <v>5</v>
      </c>
      <c r="W819" s="13">
        <v>59.9</v>
      </c>
      <c r="X819" s="13">
        <v>10.7</v>
      </c>
      <c r="AB819" s="13">
        <v>57.7</v>
      </c>
      <c r="AC819" s="13">
        <v>15.5</v>
      </c>
      <c r="AP819" s="13">
        <v>0.94</v>
      </c>
      <c r="AR819" s="13">
        <v>0.88</v>
      </c>
      <c r="AS819" s="13">
        <v>1</v>
      </c>
      <c r="BY819" s="13" t="s">
        <v>484</v>
      </c>
      <c r="BZ819" s="13" t="s">
        <v>485</v>
      </c>
      <c r="CA819" s="13">
        <v>2019</v>
      </c>
      <c r="CB819" s="13" t="s">
        <v>44</v>
      </c>
      <c r="CC819" s="13" t="s">
        <v>195</v>
      </c>
      <c r="CD819" s="13">
        <v>90</v>
      </c>
      <c r="CE819" s="13">
        <v>11</v>
      </c>
      <c r="CF819" s="13" t="s">
        <v>486</v>
      </c>
      <c r="CG819" s="13" t="s">
        <v>487</v>
      </c>
    </row>
    <row r="820" spans="1:85">
      <c r="A820" s="13" t="s">
        <v>1742</v>
      </c>
      <c r="B820" s="13" t="s">
        <v>1915</v>
      </c>
      <c r="C820" s="13" t="s">
        <v>488</v>
      </c>
      <c r="D820" s="13" t="s">
        <v>830</v>
      </c>
      <c r="E820" s="13" t="s">
        <v>774</v>
      </c>
      <c r="F820" s="13" t="s">
        <v>1003</v>
      </c>
      <c r="G820" s="13" t="s">
        <v>672</v>
      </c>
      <c r="H820" s="13" t="s">
        <v>680</v>
      </c>
      <c r="J820" s="13" t="s">
        <v>586</v>
      </c>
      <c r="K820" s="14" t="s">
        <v>2906</v>
      </c>
      <c r="L820" s="13" t="s">
        <v>585</v>
      </c>
      <c r="N820" s="13">
        <v>63</v>
      </c>
      <c r="O820" s="2">
        <f t="shared" si="72"/>
        <v>0.76829268292682928</v>
      </c>
      <c r="P820" s="13">
        <v>4</v>
      </c>
      <c r="Q820" s="17">
        <f t="shared" si="73"/>
        <v>0.4</v>
      </c>
      <c r="R820" s="13">
        <v>82</v>
      </c>
      <c r="S820" s="13">
        <v>10</v>
      </c>
      <c r="V820" s="13">
        <v>5</v>
      </c>
      <c r="W820" s="13">
        <v>59.9</v>
      </c>
      <c r="X820" s="13">
        <v>10.7</v>
      </c>
      <c r="AB820" s="13">
        <v>66.400000000000006</v>
      </c>
      <c r="AC820" s="13">
        <v>9.6999999999999993</v>
      </c>
      <c r="AG820" s="13" t="s">
        <v>641</v>
      </c>
      <c r="AP820" s="13">
        <v>0.74</v>
      </c>
      <c r="AR820" s="13">
        <v>0.55000000000000004</v>
      </c>
      <c r="AS820" s="13">
        <v>0.93</v>
      </c>
      <c r="BG820" s="13">
        <v>8.5299999999999994</v>
      </c>
      <c r="BI820" s="13">
        <v>4.43</v>
      </c>
      <c r="BJ820" s="13">
        <v>17.16</v>
      </c>
      <c r="BR820" s="13">
        <v>1.76</v>
      </c>
      <c r="BT820" s="13">
        <v>0.91</v>
      </c>
      <c r="BU820" s="13">
        <v>10.43</v>
      </c>
      <c r="BY820" s="13" t="s">
        <v>484</v>
      </c>
      <c r="BZ820" s="13" t="s">
        <v>485</v>
      </c>
      <c r="CA820" s="13">
        <v>2019</v>
      </c>
      <c r="CB820" s="13" t="s">
        <v>44</v>
      </c>
      <c r="CC820" s="13" t="s">
        <v>195</v>
      </c>
      <c r="CD820" s="13">
        <v>90</v>
      </c>
      <c r="CE820" s="13">
        <v>11</v>
      </c>
      <c r="CF820" s="13" t="s">
        <v>486</v>
      </c>
      <c r="CG820" s="13" t="s">
        <v>487</v>
      </c>
    </row>
    <row r="821" spans="1:85">
      <c r="A821" s="13" t="s">
        <v>1742</v>
      </c>
      <c r="B821" s="13" t="s">
        <v>1915</v>
      </c>
      <c r="C821" s="13" t="s">
        <v>488</v>
      </c>
      <c r="D821" s="13" t="s">
        <v>830</v>
      </c>
      <c r="E821" s="13" t="s">
        <v>774</v>
      </c>
      <c r="F821" s="13" t="s">
        <v>1003</v>
      </c>
      <c r="G821" s="13" t="s">
        <v>672</v>
      </c>
      <c r="H821" s="13" t="s">
        <v>679</v>
      </c>
      <c r="J821" s="13" t="s">
        <v>586</v>
      </c>
      <c r="K821" s="14" t="s">
        <v>2906</v>
      </c>
      <c r="L821" s="13" t="s">
        <v>585</v>
      </c>
      <c r="N821" s="13">
        <v>63</v>
      </c>
      <c r="O821" s="2">
        <f t="shared" si="72"/>
        <v>0.76829268292682928</v>
      </c>
      <c r="P821" s="13">
        <v>4</v>
      </c>
      <c r="Q821" s="17">
        <f t="shared" si="73"/>
        <v>0.4</v>
      </c>
      <c r="R821" s="13">
        <v>82</v>
      </c>
      <c r="S821" s="13">
        <v>10</v>
      </c>
      <c r="V821" s="13">
        <v>5</v>
      </c>
      <c r="W821" s="13">
        <v>59.9</v>
      </c>
      <c r="X821" s="13">
        <v>10.7</v>
      </c>
      <c r="AB821" s="13">
        <v>66.400000000000006</v>
      </c>
      <c r="AC821" s="13">
        <v>9.6999999999999993</v>
      </c>
      <c r="AG821" s="13" t="s">
        <v>641</v>
      </c>
      <c r="AP821" s="13">
        <v>0.57999999999999996</v>
      </c>
      <c r="AR821" s="13">
        <v>0.36</v>
      </c>
      <c r="AS821" s="13">
        <v>0.79</v>
      </c>
      <c r="BG821" s="13">
        <v>183.82</v>
      </c>
      <c r="BI821" s="13">
        <v>141.94</v>
      </c>
      <c r="BJ821" s="13">
        <v>243.35</v>
      </c>
      <c r="BR821" s="13">
        <v>175.79</v>
      </c>
      <c r="BT821" s="13">
        <v>113.77</v>
      </c>
      <c r="BU821" s="13">
        <v>213.07</v>
      </c>
      <c r="BY821" s="13" t="s">
        <v>484</v>
      </c>
      <c r="BZ821" s="13" t="s">
        <v>485</v>
      </c>
      <c r="CA821" s="13">
        <v>2019</v>
      </c>
      <c r="CB821" s="13" t="s">
        <v>44</v>
      </c>
      <c r="CC821" s="13" t="s">
        <v>195</v>
      </c>
      <c r="CD821" s="13">
        <v>90</v>
      </c>
      <c r="CE821" s="13">
        <v>11</v>
      </c>
      <c r="CF821" s="13" t="s">
        <v>486</v>
      </c>
      <c r="CG821" s="13" t="s">
        <v>487</v>
      </c>
    </row>
    <row r="822" spans="1:85">
      <c r="A822" s="13" t="s">
        <v>1742</v>
      </c>
      <c r="B822" s="13" t="s">
        <v>1915</v>
      </c>
      <c r="C822" s="13" t="s">
        <v>488</v>
      </c>
      <c r="D822" s="13" t="s">
        <v>830</v>
      </c>
      <c r="E822" s="13" t="s">
        <v>774</v>
      </c>
      <c r="F822" s="13" t="s">
        <v>1003</v>
      </c>
      <c r="G822" s="13" t="s">
        <v>672</v>
      </c>
      <c r="H822" s="13" t="s">
        <v>1004</v>
      </c>
      <c r="J822" s="13" t="s">
        <v>586</v>
      </c>
      <c r="K822" s="14" t="s">
        <v>2906</v>
      </c>
      <c r="L822" s="13" t="s">
        <v>585</v>
      </c>
      <c r="N822" s="13">
        <v>63</v>
      </c>
      <c r="O822" s="2">
        <f t="shared" si="72"/>
        <v>0.76829268292682928</v>
      </c>
      <c r="P822" s="13">
        <v>4</v>
      </c>
      <c r="Q822" s="17">
        <f t="shared" si="73"/>
        <v>0.4</v>
      </c>
      <c r="R822" s="13">
        <v>82</v>
      </c>
      <c r="S822" s="13">
        <v>10</v>
      </c>
      <c r="V822" s="13">
        <v>5</v>
      </c>
      <c r="W822" s="13">
        <v>59.9</v>
      </c>
      <c r="X822" s="13">
        <v>10.7</v>
      </c>
      <c r="AB822" s="13">
        <v>66.400000000000006</v>
      </c>
      <c r="AC822" s="13">
        <v>9.6999999999999993</v>
      </c>
      <c r="AG822" s="13" t="s">
        <v>641</v>
      </c>
      <c r="AP822" s="13">
        <v>0.78</v>
      </c>
      <c r="AR822" s="13">
        <v>0.65</v>
      </c>
      <c r="AS822" s="13">
        <v>0.91</v>
      </c>
      <c r="BG822" s="13">
        <v>16.12</v>
      </c>
      <c r="BI822" s="13">
        <v>10.97</v>
      </c>
      <c r="BJ822" s="13">
        <v>21.84</v>
      </c>
      <c r="BR822" s="13">
        <v>8.84</v>
      </c>
      <c r="BT822" s="13">
        <v>7.52</v>
      </c>
      <c r="BU822" s="13">
        <v>9.52</v>
      </c>
      <c r="BY822" s="13" t="s">
        <v>484</v>
      </c>
      <c r="BZ822" s="13" t="s">
        <v>485</v>
      </c>
      <c r="CA822" s="13">
        <v>2019</v>
      </c>
      <c r="CB822" s="13" t="s">
        <v>44</v>
      </c>
      <c r="CC822" s="13" t="s">
        <v>195</v>
      </c>
      <c r="CD822" s="13">
        <v>90</v>
      </c>
      <c r="CE822" s="13">
        <v>11</v>
      </c>
      <c r="CF822" s="13" t="s">
        <v>486</v>
      </c>
      <c r="CG822" s="13" t="s">
        <v>487</v>
      </c>
    </row>
    <row r="823" spans="1:85">
      <c r="A823" s="13" t="s">
        <v>1742</v>
      </c>
      <c r="B823" s="13" t="s">
        <v>1915</v>
      </c>
      <c r="C823" s="13" t="s">
        <v>488</v>
      </c>
      <c r="D823" s="13" t="s">
        <v>830</v>
      </c>
      <c r="E823" s="13" t="s">
        <v>774</v>
      </c>
      <c r="F823" s="13" t="s">
        <v>1003</v>
      </c>
      <c r="G823" s="13" t="s">
        <v>672</v>
      </c>
      <c r="H823" s="13" t="s">
        <v>686</v>
      </c>
      <c r="J823" s="13" t="s">
        <v>586</v>
      </c>
      <c r="K823" s="14" t="s">
        <v>2906</v>
      </c>
      <c r="L823" s="13" t="s">
        <v>585</v>
      </c>
      <c r="N823" s="13">
        <v>63</v>
      </c>
      <c r="O823" s="2">
        <f t="shared" si="72"/>
        <v>0.76829268292682928</v>
      </c>
      <c r="P823" s="13">
        <v>4</v>
      </c>
      <c r="Q823" s="17">
        <f t="shared" si="73"/>
        <v>0.4</v>
      </c>
      <c r="R823" s="13">
        <v>82</v>
      </c>
      <c r="S823" s="13">
        <v>10</v>
      </c>
      <c r="V823" s="13">
        <v>5</v>
      </c>
      <c r="W823" s="13">
        <v>59.9</v>
      </c>
      <c r="X823" s="13">
        <v>10.7</v>
      </c>
      <c r="AB823" s="13">
        <v>66.400000000000006</v>
      </c>
      <c r="AC823" s="13">
        <v>9.6999999999999993</v>
      </c>
      <c r="AG823" s="13" t="s">
        <v>641</v>
      </c>
      <c r="AP823" s="13">
        <v>0.88</v>
      </c>
      <c r="AR823" s="13">
        <v>0.78</v>
      </c>
      <c r="AS823" s="13">
        <v>0.97</v>
      </c>
      <c r="BG823" s="13">
        <v>2.6</v>
      </c>
      <c r="BI823" s="13">
        <v>1.77</v>
      </c>
      <c r="BJ823" s="13">
        <v>4.0599999999999996</v>
      </c>
      <c r="BR823" s="13">
        <v>0.62</v>
      </c>
      <c r="BT823" s="13">
        <v>0.51</v>
      </c>
      <c r="BU823" s="13">
        <v>1</v>
      </c>
      <c r="BY823" s="13" t="s">
        <v>484</v>
      </c>
      <c r="BZ823" s="13" t="s">
        <v>485</v>
      </c>
      <c r="CA823" s="13">
        <v>2019</v>
      </c>
      <c r="CB823" s="13" t="s">
        <v>44</v>
      </c>
      <c r="CC823" s="13" t="s">
        <v>195</v>
      </c>
      <c r="CD823" s="13">
        <v>90</v>
      </c>
      <c r="CE823" s="13">
        <v>11</v>
      </c>
      <c r="CF823" s="13" t="s">
        <v>486</v>
      </c>
      <c r="CG823" s="13" t="s">
        <v>487</v>
      </c>
    </row>
    <row r="824" spans="1:85">
      <c r="A824" s="13" t="s">
        <v>1742</v>
      </c>
      <c r="B824" s="13" t="s">
        <v>1915</v>
      </c>
      <c r="C824" s="13" t="s">
        <v>488</v>
      </c>
      <c r="D824" s="13" t="s">
        <v>830</v>
      </c>
      <c r="E824" s="13" t="s">
        <v>774</v>
      </c>
      <c r="F824" s="13" t="s">
        <v>1003</v>
      </c>
      <c r="G824" s="13" t="s">
        <v>672</v>
      </c>
      <c r="H824" s="13" t="s">
        <v>684</v>
      </c>
      <c r="I824" s="13" t="s">
        <v>1006</v>
      </c>
      <c r="J824" s="13" t="s">
        <v>586</v>
      </c>
      <c r="K824" s="14" t="s">
        <v>2906</v>
      </c>
      <c r="L824" s="13" t="s">
        <v>585</v>
      </c>
      <c r="N824" s="13">
        <v>63</v>
      </c>
      <c r="O824" s="2">
        <f t="shared" si="72"/>
        <v>0.76829268292682928</v>
      </c>
      <c r="P824" s="13">
        <v>4</v>
      </c>
      <c r="Q824" s="17">
        <f t="shared" si="73"/>
        <v>0.4</v>
      </c>
      <c r="R824" s="13">
        <v>82</v>
      </c>
      <c r="S824" s="13">
        <v>10</v>
      </c>
      <c r="V824" s="13">
        <v>5</v>
      </c>
      <c r="W824" s="13">
        <v>59.9</v>
      </c>
      <c r="X824" s="13">
        <v>10.7</v>
      </c>
      <c r="AB824" s="13">
        <v>66.400000000000006</v>
      </c>
      <c r="AC824" s="13">
        <v>9.6999999999999993</v>
      </c>
      <c r="AP824" s="13">
        <v>0.88</v>
      </c>
      <c r="AR824" s="13">
        <v>0.78</v>
      </c>
      <c r="AS824" s="13">
        <v>0.98</v>
      </c>
      <c r="BY824" s="13" t="s">
        <v>484</v>
      </c>
      <c r="BZ824" s="13" t="s">
        <v>485</v>
      </c>
      <c r="CA824" s="13">
        <v>2019</v>
      </c>
      <c r="CB824" s="13" t="s">
        <v>44</v>
      </c>
      <c r="CC824" s="13" t="s">
        <v>195</v>
      </c>
      <c r="CD824" s="13">
        <v>90</v>
      </c>
      <c r="CE824" s="13">
        <v>11</v>
      </c>
      <c r="CF824" s="13" t="s">
        <v>486</v>
      </c>
      <c r="CG824" s="13" t="s">
        <v>487</v>
      </c>
    </row>
    <row r="825" spans="1:85">
      <c r="A825" s="13" t="s">
        <v>1743</v>
      </c>
      <c r="B825" s="13" t="s">
        <v>1916</v>
      </c>
      <c r="C825" s="13" t="s">
        <v>492</v>
      </c>
      <c r="D825" s="13" t="s">
        <v>830</v>
      </c>
      <c r="E825" s="13" t="s">
        <v>630</v>
      </c>
      <c r="F825" s="13" t="s">
        <v>1008</v>
      </c>
      <c r="G825" s="13" t="s">
        <v>672</v>
      </c>
      <c r="H825" s="13" t="s">
        <v>675</v>
      </c>
      <c r="J825" s="13" t="s">
        <v>586</v>
      </c>
      <c r="K825" s="14" t="s">
        <v>2908</v>
      </c>
      <c r="L825" s="13" t="s">
        <v>695</v>
      </c>
      <c r="M825" s="13" t="s">
        <v>1009</v>
      </c>
      <c r="N825" s="13">
        <v>74</v>
      </c>
      <c r="O825" s="2">
        <f t="shared" si="72"/>
        <v>0.66666666666666663</v>
      </c>
      <c r="P825" s="13">
        <v>8</v>
      </c>
      <c r="Q825" s="17">
        <f t="shared" si="73"/>
        <v>0.36363636363636365</v>
      </c>
      <c r="R825" s="13">
        <v>111</v>
      </c>
      <c r="S825" s="13">
        <v>22</v>
      </c>
      <c r="W825" s="13">
        <v>61</v>
      </c>
      <c r="X825" s="13">
        <v>12.2</v>
      </c>
      <c r="AB825" s="13">
        <v>46.9</v>
      </c>
      <c r="AC825" s="13">
        <v>15.4</v>
      </c>
      <c r="AG825" s="13" t="s">
        <v>639</v>
      </c>
      <c r="BB825" s="13">
        <v>13994.7</v>
      </c>
      <c r="BM825" s="13">
        <v>1729.2</v>
      </c>
      <c r="BX825" s="13" t="s">
        <v>635</v>
      </c>
      <c r="BY825" s="13" t="s">
        <v>489</v>
      </c>
      <c r="BZ825" s="13" t="s">
        <v>490</v>
      </c>
      <c r="CA825" s="13">
        <v>2022</v>
      </c>
      <c r="CC825" s="13" t="s">
        <v>105</v>
      </c>
      <c r="CD825" s="13">
        <v>4</v>
      </c>
      <c r="CE825" s="13">
        <v>1</v>
      </c>
      <c r="CG825" s="13" t="s">
        <v>491</v>
      </c>
    </row>
    <row r="826" spans="1:85">
      <c r="A826" s="13" t="s">
        <v>1743</v>
      </c>
      <c r="B826" s="13" t="s">
        <v>1916</v>
      </c>
      <c r="C826" s="13" t="s">
        <v>492</v>
      </c>
      <c r="D826" s="13" t="s">
        <v>830</v>
      </c>
      <c r="E826" s="13" t="s">
        <v>657</v>
      </c>
      <c r="F826" s="13" t="s">
        <v>1010</v>
      </c>
      <c r="G826" s="13" t="s">
        <v>672</v>
      </c>
      <c r="H826" s="13" t="s">
        <v>675</v>
      </c>
      <c r="J826" s="13" t="s">
        <v>586</v>
      </c>
      <c r="K826" s="14" t="s">
        <v>2908</v>
      </c>
      <c r="L826" s="13" t="s">
        <v>695</v>
      </c>
      <c r="M826" s="13" t="s">
        <v>1009</v>
      </c>
      <c r="N826" s="13">
        <v>74</v>
      </c>
      <c r="O826" s="2">
        <f t="shared" si="72"/>
        <v>0.66666666666666663</v>
      </c>
      <c r="P826" s="13">
        <v>21</v>
      </c>
      <c r="Q826" s="17">
        <f t="shared" si="73"/>
        <v>0.55263157894736847</v>
      </c>
      <c r="R826" s="13">
        <v>111</v>
      </c>
      <c r="S826" s="13">
        <v>38</v>
      </c>
      <c r="W826" s="13">
        <v>61</v>
      </c>
      <c r="X826" s="13">
        <v>12.2</v>
      </c>
      <c r="AB826" s="13">
        <v>53.9</v>
      </c>
      <c r="AC826" s="13">
        <v>20.2</v>
      </c>
      <c r="AG826" s="13" t="s">
        <v>639</v>
      </c>
      <c r="BB826" s="13">
        <v>13994.7</v>
      </c>
      <c r="BM826" s="13">
        <v>2742.9</v>
      </c>
      <c r="BX826" s="13" t="s">
        <v>635</v>
      </c>
      <c r="BY826" s="13" t="s">
        <v>489</v>
      </c>
      <c r="BZ826" s="13" t="s">
        <v>490</v>
      </c>
      <c r="CA826" s="13">
        <v>2022</v>
      </c>
      <c r="CC826" s="13" t="s">
        <v>105</v>
      </c>
      <c r="CD826" s="13">
        <v>4</v>
      </c>
      <c r="CE826" s="13">
        <v>1</v>
      </c>
      <c r="CG826" s="13" t="s">
        <v>491</v>
      </c>
    </row>
    <row r="827" spans="1:85">
      <c r="A827" s="13" t="s">
        <v>1743</v>
      </c>
      <c r="B827" s="13" t="s">
        <v>1916</v>
      </c>
      <c r="C827" s="13" t="s">
        <v>492</v>
      </c>
      <c r="D827" s="13" t="s">
        <v>830</v>
      </c>
      <c r="E827" s="13" t="s">
        <v>630</v>
      </c>
      <c r="F827" s="13" t="s">
        <v>1008</v>
      </c>
      <c r="G827" s="13" t="s">
        <v>672</v>
      </c>
      <c r="H827" s="13" t="s">
        <v>680</v>
      </c>
      <c r="J827" s="13" t="s">
        <v>586</v>
      </c>
      <c r="K827" s="14" t="s">
        <v>2908</v>
      </c>
      <c r="L827" s="13" t="s">
        <v>585</v>
      </c>
      <c r="M827" s="13" t="s">
        <v>1011</v>
      </c>
      <c r="N827" s="13">
        <v>74</v>
      </c>
      <c r="O827" s="2">
        <f t="shared" si="72"/>
        <v>0.66666666666666663</v>
      </c>
      <c r="P827" s="13">
        <v>8</v>
      </c>
      <c r="Q827" s="17">
        <f t="shared" si="73"/>
        <v>0.36363636363636365</v>
      </c>
      <c r="R827" s="13">
        <v>111</v>
      </c>
      <c r="S827" s="13">
        <v>22</v>
      </c>
      <c r="W827" s="13">
        <v>61</v>
      </c>
      <c r="X827" s="13">
        <v>12.2</v>
      </c>
      <c r="AB827" s="13">
        <v>46.9</v>
      </c>
      <c r="AC827" s="13">
        <v>15.4</v>
      </c>
      <c r="AG827" s="13" t="s">
        <v>639</v>
      </c>
      <c r="BB827" s="13">
        <v>6869.4</v>
      </c>
      <c r="BM827" s="13">
        <v>843.5</v>
      </c>
      <c r="BX827" s="13" t="s">
        <v>635</v>
      </c>
      <c r="BY827" s="13" t="s">
        <v>489</v>
      </c>
      <c r="BZ827" s="13" t="s">
        <v>490</v>
      </c>
      <c r="CA827" s="13">
        <v>2022</v>
      </c>
      <c r="CC827" s="13" t="s">
        <v>105</v>
      </c>
      <c r="CD827" s="13">
        <v>4</v>
      </c>
      <c r="CE827" s="13">
        <v>1</v>
      </c>
      <c r="CG827" s="13" t="s">
        <v>491</v>
      </c>
    </row>
    <row r="828" spans="1:85">
      <c r="A828" s="13" t="s">
        <v>1743</v>
      </c>
      <c r="B828" s="13" t="s">
        <v>1916</v>
      </c>
      <c r="C828" s="13" t="s">
        <v>492</v>
      </c>
      <c r="D828" s="13" t="s">
        <v>830</v>
      </c>
      <c r="E828" s="13" t="s">
        <v>657</v>
      </c>
      <c r="F828" s="13" t="s">
        <v>1010</v>
      </c>
      <c r="G828" s="13" t="s">
        <v>672</v>
      </c>
      <c r="H828" s="13" t="s">
        <v>680</v>
      </c>
      <c r="J828" s="13" t="s">
        <v>586</v>
      </c>
      <c r="K828" s="14" t="s">
        <v>2908</v>
      </c>
      <c r="L828" s="13" t="s">
        <v>585</v>
      </c>
      <c r="M828" s="13" t="s">
        <v>1011</v>
      </c>
      <c r="N828" s="13">
        <v>74</v>
      </c>
      <c r="O828" s="2">
        <f t="shared" si="72"/>
        <v>0.66666666666666663</v>
      </c>
      <c r="P828" s="13">
        <v>21</v>
      </c>
      <c r="Q828" s="17">
        <f t="shared" si="73"/>
        <v>0.55263157894736847</v>
      </c>
      <c r="R828" s="13">
        <v>111</v>
      </c>
      <c r="S828" s="13">
        <v>38</v>
      </c>
      <c r="W828" s="13">
        <v>61</v>
      </c>
      <c r="X828" s="13">
        <v>12.2</v>
      </c>
      <c r="AB828" s="13">
        <v>53.9</v>
      </c>
      <c r="AC828" s="13">
        <v>20.2</v>
      </c>
      <c r="AG828" s="13" t="s">
        <v>639</v>
      </c>
      <c r="BB828" s="13">
        <v>6869.4</v>
      </c>
      <c r="BM828" s="13">
        <v>2194.1</v>
      </c>
      <c r="BX828" s="13" t="s">
        <v>635</v>
      </c>
      <c r="BY828" s="13" t="s">
        <v>489</v>
      </c>
      <c r="BZ828" s="13" t="s">
        <v>490</v>
      </c>
      <c r="CA828" s="13">
        <v>2022</v>
      </c>
      <c r="CC828" s="13" t="s">
        <v>105</v>
      </c>
      <c r="CD828" s="13">
        <v>4</v>
      </c>
      <c r="CE828" s="13">
        <v>1</v>
      </c>
      <c r="CG828" s="13" t="s">
        <v>491</v>
      </c>
    </row>
    <row r="829" spans="1:85">
      <c r="A829" s="13" t="s">
        <v>1743</v>
      </c>
      <c r="B829" s="13" t="s">
        <v>1916</v>
      </c>
      <c r="C829" s="13" t="s">
        <v>492</v>
      </c>
      <c r="D829" s="13" t="s">
        <v>830</v>
      </c>
      <c r="E829" s="13" t="s">
        <v>630</v>
      </c>
      <c r="F829" s="13" t="s">
        <v>1008</v>
      </c>
      <c r="G829" s="13" t="s">
        <v>674</v>
      </c>
      <c r="H829" s="13" t="s">
        <v>675</v>
      </c>
      <c r="J829" s="13" t="s">
        <v>586</v>
      </c>
      <c r="K829" s="14" t="s">
        <v>2908</v>
      </c>
      <c r="L829" s="13" t="s">
        <v>695</v>
      </c>
      <c r="M829" s="13" t="s">
        <v>1009</v>
      </c>
      <c r="N829" s="13">
        <v>171</v>
      </c>
      <c r="O829" s="2">
        <f t="shared" si="72"/>
        <v>0.66279069767441856</v>
      </c>
      <c r="P829" s="13">
        <v>32</v>
      </c>
      <c r="Q829" s="17">
        <f t="shared" si="73"/>
        <v>0.31683168316831684</v>
      </c>
      <c r="R829" s="13">
        <v>258</v>
      </c>
      <c r="S829" s="13">
        <v>101</v>
      </c>
      <c r="W829" s="14">
        <v>62.3</v>
      </c>
      <c r="X829" s="14">
        <v>11.8</v>
      </c>
      <c r="AB829" s="13">
        <v>55.2</v>
      </c>
      <c r="AC829" s="13">
        <v>13.2</v>
      </c>
      <c r="AG829" s="13" t="s">
        <v>639</v>
      </c>
      <c r="BB829" s="13">
        <v>216.7</v>
      </c>
      <c r="BM829" s="13">
        <v>50.2</v>
      </c>
      <c r="BX829" s="13" t="s">
        <v>701</v>
      </c>
      <c r="BY829" s="13" t="s">
        <v>489</v>
      </c>
      <c r="BZ829" s="13" t="s">
        <v>490</v>
      </c>
      <c r="CA829" s="13">
        <v>2022</v>
      </c>
      <c r="CC829" s="13" t="s">
        <v>105</v>
      </c>
      <c r="CD829" s="13">
        <v>4</v>
      </c>
      <c r="CE829" s="13">
        <v>1</v>
      </c>
      <c r="CG829" s="13" t="s">
        <v>491</v>
      </c>
    </row>
    <row r="830" spans="1:85">
      <c r="A830" s="13" t="s">
        <v>1743</v>
      </c>
      <c r="B830" s="13" t="s">
        <v>1916</v>
      </c>
      <c r="C830" s="13" t="s">
        <v>492</v>
      </c>
      <c r="D830" s="13" t="s">
        <v>830</v>
      </c>
      <c r="E830" s="13" t="s">
        <v>657</v>
      </c>
      <c r="F830" s="13" t="s">
        <v>1010</v>
      </c>
      <c r="G830" s="13" t="s">
        <v>674</v>
      </c>
      <c r="H830" s="13" t="s">
        <v>675</v>
      </c>
      <c r="J830" s="13" t="s">
        <v>586</v>
      </c>
      <c r="K830" s="14" t="s">
        <v>2908</v>
      </c>
      <c r="L830" s="13" t="s">
        <v>695</v>
      </c>
      <c r="M830" s="13" t="s">
        <v>1009</v>
      </c>
      <c r="N830" s="13">
        <v>171</v>
      </c>
      <c r="O830" s="2">
        <f t="shared" si="72"/>
        <v>0.66279069767441856</v>
      </c>
      <c r="P830" s="13">
        <v>51</v>
      </c>
      <c r="Q830" s="17">
        <f t="shared" si="73"/>
        <v>0.63749999999999996</v>
      </c>
      <c r="R830" s="13">
        <v>258</v>
      </c>
      <c r="S830" s="13">
        <v>80</v>
      </c>
      <c r="W830" s="14">
        <v>62.3</v>
      </c>
      <c r="X830" s="14">
        <v>11.8</v>
      </c>
      <c r="AB830" s="13">
        <v>55.1</v>
      </c>
      <c r="AC830" s="13">
        <v>18.2</v>
      </c>
      <c r="AG830" s="13" t="s">
        <v>639</v>
      </c>
      <c r="BB830" s="13">
        <v>216.7</v>
      </c>
      <c r="BM830" s="13">
        <v>65.900000000000006</v>
      </c>
      <c r="BX830" s="13" t="s">
        <v>701</v>
      </c>
      <c r="BY830" s="13" t="s">
        <v>489</v>
      </c>
      <c r="BZ830" s="13" t="s">
        <v>490</v>
      </c>
      <c r="CA830" s="13">
        <v>2022</v>
      </c>
      <c r="CC830" s="13" t="s">
        <v>105</v>
      </c>
      <c r="CD830" s="13">
        <v>4</v>
      </c>
      <c r="CE830" s="13">
        <v>1</v>
      </c>
      <c r="CG830" s="13" t="s">
        <v>491</v>
      </c>
    </row>
    <row r="831" spans="1:85">
      <c r="A831" s="13" t="s">
        <v>1744</v>
      </c>
      <c r="B831" s="13" t="s">
        <v>1917</v>
      </c>
      <c r="C831" s="13" t="s">
        <v>497</v>
      </c>
      <c r="D831" s="13" t="s">
        <v>1012</v>
      </c>
      <c r="E831" s="13" t="s">
        <v>630</v>
      </c>
      <c r="F831" s="13" t="s">
        <v>1013</v>
      </c>
      <c r="G831" s="13" t="s">
        <v>673</v>
      </c>
      <c r="H831" s="13" t="s">
        <v>675</v>
      </c>
      <c r="J831" s="13" t="s">
        <v>637</v>
      </c>
      <c r="K831" s="14" t="s">
        <v>3845</v>
      </c>
      <c r="L831" s="13" t="s">
        <v>652</v>
      </c>
      <c r="N831" s="13">
        <v>118</v>
      </c>
      <c r="O831" s="2">
        <f t="shared" si="72"/>
        <v>0.59595959595959591</v>
      </c>
      <c r="P831" s="13">
        <v>9</v>
      </c>
      <c r="Q831" s="17">
        <f t="shared" si="73"/>
        <v>0.42857142857142855</v>
      </c>
      <c r="R831" s="13">
        <v>198</v>
      </c>
      <c r="S831" s="13">
        <v>21</v>
      </c>
      <c r="T831" s="13">
        <v>18</v>
      </c>
      <c r="U831" s="15">
        <v>9.0999999999999998E-2</v>
      </c>
      <c r="V831" s="13">
        <v>10</v>
      </c>
      <c r="W831" s="13">
        <v>65.400000000000006</v>
      </c>
      <c r="X831" s="13">
        <v>10.7</v>
      </c>
      <c r="AB831" s="13">
        <v>64.5</v>
      </c>
      <c r="AC831" s="13">
        <v>7.2</v>
      </c>
      <c r="AG831" s="13" t="s">
        <v>639</v>
      </c>
      <c r="AH831" s="13">
        <v>15</v>
      </c>
      <c r="AJ831" s="13">
        <v>94</v>
      </c>
      <c r="AM831" s="13">
        <v>100</v>
      </c>
      <c r="AP831" s="13">
        <v>0.996</v>
      </c>
      <c r="AR831" s="13">
        <v>0.97199999999999998</v>
      </c>
      <c r="AS831" s="13">
        <v>0.999</v>
      </c>
      <c r="BD831" s="13">
        <v>4.21</v>
      </c>
      <c r="BG831" s="13">
        <v>71.2</v>
      </c>
      <c r="BO831" s="13">
        <v>0.61</v>
      </c>
      <c r="BR831" s="13">
        <v>7.22</v>
      </c>
      <c r="BX831" s="13" t="s">
        <v>701</v>
      </c>
      <c r="BY831" s="13" t="s">
        <v>493</v>
      </c>
      <c r="BZ831" s="13" t="s">
        <v>494</v>
      </c>
      <c r="CA831" s="13">
        <v>2020</v>
      </c>
      <c r="CB831" s="13" t="s">
        <v>253</v>
      </c>
      <c r="CC831" s="13" t="s">
        <v>19</v>
      </c>
      <c r="CD831" s="13">
        <v>27</v>
      </c>
      <c r="CE831" s="13">
        <v>2</v>
      </c>
      <c r="CF831" s="13" t="s">
        <v>495</v>
      </c>
      <c r="CG831" s="13" t="s">
        <v>496</v>
      </c>
    </row>
    <row r="832" spans="1:85">
      <c r="A832" s="13" t="s">
        <v>3422</v>
      </c>
      <c r="C832" s="13" t="s">
        <v>3350</v>
      </c>
      <c r="D832" s="14" t="s">
        <v>898</v>
      </c>
      <c r="E832" s="13" t="s">
        <v>630</v>
      </c>
      <c r="G832" s="13" t="s">
        <v>673</v>
      </c>
      <c r="H832" s="13" t="s">
        <v>675</v>
      </c>
      <c r="J832" s="14" t="s">
        <v>637</v>
      </c>
      <c r="K832" s="14" t="s">
        <v>3962</v>
      </c>
      <c r="L832" s="13" t="s">
        <v>695</v>
      </c>
      <c r="M832" s="29" t="s">
        <v>3963</v>
      </c>
      <c r="N832" s="13">
        <v>18</v>
      </c>
      <c r="O832" s="2">
        <f t="shared" si="72"/>
        <v>0.62068965517241381</v>
      </c>
      <c r="P832" s="13">
        <v>18</v>
      </c>
      <c r="Q832" s="17">
        <f t="shared" si="73"/>
        <v>0.5</v>
      </c>
      <c r="R832" s="13">
        <v>29</v>
      </c>
      <c r="S832" s="13">
        <v>36</v>
      </c>
      <c r="W832" s="13">
        <v>56</v>
      </c>
      <c r="X832" s="13">
        <v>12</v>
      </c>
      <c r="AB832" s="13">
        <v>49</v>
      </c>
      <c r="AC832" s="13">
        <v>11</v>
      </c>
      <c r="BY832" s="13" t="s">
        <v>3598</v>
      </c>
      <c r="BZ832" s="13" t="s">
        <v>3599</v>
      </c>
      <c r="CA832" s="13">
        <v>2024</v>
      </c>
      <c r="CB832" s="13" t="s">
        <v>25</v>
      </c>
      <c r="CC832" s="13" t="s">
        <v>3600</v>
      </c>
      <c r="CD832" s="13">
        <v>45</v>
      </c>
      <c r="CE832" s="13">
        <v>4</v>
      </c>
      <c r="CF832" s="13" t="s">
        <v>3601</v>
      </c>
      <c r="CG832" s="13" t="s">
        <v>3277</v>
      </c>
    </row>
    <row r="833" spans="1:85">
      <c r="A833" s="13" t="s">
        <v>3423</v>
      </c>
      <c r="C833" s="13" t="s">
        <v>3351</v>
      </c>
      <c r="D833" s="14" t="s">
        <v>2757</v>
      </c>
      <c r="E833" s="13" t="s">
        <v>630</v>
      </c>
      <c r="F833" s="13" t="s">
        <v>3966</v>
      </c>
      <c r="G833" s="13" t="s">
        <v>725</v>
      </c>
      <c r="H833" s="13" t="s">
        <v>3970</v>
      </c>
      <c r="I833" s="13" t="s">
        <v>3969</v>
      </c>
      <c r="J833" s="14" t="s">
        <v>703</v>
      </c>
      <c r="K833" s="14" t="s">
        <v>3965</v>
      </c>
      <c r="L833" s="13" t="s">
        <v>3967</v>
      </c>
      <c r="M833" s="13" t="s">
        <v>3968</v>
      </c>
      <c r="R833" s="13">
        <v>19</v>
      </c>
      <c r="S833" s="13">
        <v>15</v>
      </c>
      <c r="V833" s="13">
        <v>19</v>
      </c>
      <c r="AG833" s="13" t="s">
        <v>3971</v>
      </c>
      <c r="AH833" s="13">
        <v>0.32600000000000001</v>
      </c>
      <c r="AJ833" s="13">
        <v>90</v>
      </c>
      <c r="AM833" s="13">
        <v>70</v>
      </c>
      <c r="AP833" s="13">
        <v>0.77800000000000002</v>
      </c>
      <c r="BY833" s="13" t="s">
        <v>3602</v>
      </c>
      <c r="BZ833" s="13" t="s">
        <v>3603</v>
      </c>
      <c r="CA833" s="13">
        <v>2024</v>
      </c>
      <c r="CB833" s="21">
        <v>45960</v>
      </c>
      <c r="CC833" s="13" t="s">
        <v>3445</v>
      </c>
      <c r="CD833" s="13">
        <v>14</v>
      </c>
      <c r="CE833" s="13">
        <v>11</v>
      </c>
      <c r="CG833" s="13" t="s">
        <v>3278</v>
      </c>
    </row>
    <row r="834" spans="1:85">
      <c r="A834" s="13" t="s">
        <v>3423</v>
      </c>
      <c r="C834" s="13" t="s">
        <v>3351</v>
      </c>
      <c r="D834" s="14" t="s">
        <v>2757</v>
      </c>
      <c r="E834" s="13" t="s">
        <v>630</v>
      </c>
      <c r="F834" s="13" t="s">
        <v>3966</v>
      </c>
      <c r="G834" s="13" t="s">
        <v>725</v>
      </c>
      <c r="H834" s="13" t="s">
        <v>3970</v>
      </c>
      <c r="I834" s="13" t="s">
        <v>3969</v>
      </c>
      <c r="J834" s="14" t="s">
        <v>703</v>
      </c>
      <c r="K834" s="14" t="s">
        <v>3965</v>
      </c>
      <c r="L834" s="13" t="s">
        <v>3967</v>
      </c>
      <c r="M834" s="13" t="s">
        <v>3968</v>
      </c>
      <c r="R834" s="13">
        <v>35</v>
      </c>
      <c r="S834" s="13">
        <v>15</v>
      </c>
      <c r="V834" s="13">
        <v>35</v>
      </c>
      <c r="AG834" s="13" t="s">
        <v>3971</v>
      </c>
      <c r="AH834" s="13">
        <v>0.122</v>
      </c>
      <c r="AJ834" s="13">
        <v>92</v>
      </c>
      <c r="AM834" s="13">
        <v>70</v>
      </c>
      <c r="AP834" s="13">
        <v>0.86799999999999999</v>
      </c>
      <c r="BY834" s="13" t="s">
        <v>3602</v>
      </c>
      <c r="BZ834" s="13" t="s">
        <v>3603</v>
      </c>
      <c r="CA834" s="13">
        <v>2024</v>
      </c>
      <c r="CB834" s="21">
        <v>45960</v>
      </c>
      <c r="CC834" s="13" t="s">
        <v>3445</v>
      </c>
      <c r="CD834" s="13">
        <v>14</v>
      </c>
      <c r="CE834" s="13">
        <v>11</v>
      </c>
      <c r="CG834" s="13" t="s">
        <v>3278</v>
      </c>
    </row>
    <row r="835" spans="1:85">
      <c r="A835" s="13" t="s">
        <v>1918</v>
      </c>
      <c r="B835" s="13" t="s">
        <v>1918</v>
      </c>
      <c r="C835" s="14" t="s">
        <v>1555</v>
      </c>
      <c r="D835" s="14" t="s">
        <v>2481</v>
      </c>
      <c r="E835" s="13" t="s">
        <v>630</v>
      </c>
      <c r="F835" s="13" t="s">
        <v>2918</v>
      </c>
      <c r="G835" s="13" t="s">
        <v>674</v>
      </c>
      <c r="H835" s="30" t="s">
        <v>2720</v>
      </c>
      <c r="J835" s="14" t="s">
        <v>703</v>
      </c>
      <c r="K835" s="13" t="s">
        <v>2915</v>
      </c>
      <c r="L835" s="14" t="s">
        <v>2916</v>
      </c>
      <c r="M835" s="13" t="s">
        <v>2917</v>
      </c>
      <c r="N835" s="13">
        <v>40</v>
      </c>
      <c r="O835" s="2">
        <f t="shared" ref="O835:O843" si="74">N835/R835</f>
        <v>0.50632911392405067</v>
      </c>
      <c r="P835" s="13">
        <v>40</v>
      </c>
      <c r="Q835" s="17">
        <f t="shared" ref="Q835:Q843" si="75">P835/S835</f>
        <v>0.50632911392405067</v>
      </c>
      <c r="R835" s="13">
        <v>79</v>
      </c>
      <c r="S835" s="13">
        <v>79</v>
      </c>
      <c r="T835" s="13">
        <v>0</v>
      </c>
      <c r="V835" s="13">
        <v>0</v>
      </c>
      <c r="Y835" s="14">
        <v>67</v>
      </c>
      <c r="Z835" s="14">
        <v>61.5</v>
      </c>
      <c r="AA835" s="14">
        <v>71</v>
      </c>
      <c r="AD835" s="14">
        <v>66</v>
      </c>
      <c r="AE835" s="14">
        <v>62.5</v>
      </c>
      <c r="AF835" s="13">
        <v>70.5</v>
      </c>
      <c r="AG835" s="13" t="s">
        <v>639</v>
      </c>
      <c r="AH835" s="13">
        <v>0.28000000000000003</v>
      </c>
      <c r="AJ835" s="13">
        <v>82.3</v>
      </c>
      <c r="AK835" s="13">
        <v>73</v>
      </c>
      <c r="AL835" s="13">
        <v>90</v>
      </c>
      <c r="AM835" s="13">
        <v>88.6</v>
      </c>
      <c r="AN835" s="13">
        <v>81</v>
      </c>
      <c r="AO835" s="13">
        <v>95</v>
      </c>
      <c r="AP835" s="13">
        <v>0.85299999999999998</v>
      </c>
      <c r="AR835" s="13">
        <v>0.79</v>
      </c>
      <c r="AS835" s="13">
        <v>0.91</v>
      </c>
      <c r="BG835" s="28">
        <v>3.22</v>
      </c>
      <c r="BR835" s="13">
        <v>0.17</v>
      </c>
      <c r="BX835" s="13" t="s">
        <v>701</v>
      </c>
      <c r="BY835" s="13" t="s">
        <v>1552</v>
      </c>
      <c r="BZ835" s="13" t="s">
        <v>1553</v>
      </c>
      <c r="CA835" s="13">
        <v>2020</v>
      </c>
      <c r="CC835" s="13" t="s">
        <v>416</v>
      </c>
      <c r="CD835" s="13">
        <v>11</v>
      </c>
      <c r="CF835" s="13" t="s">
        <v>2157</v>
      </c>
      <c r="CG835" s="13" t="s">
        <v>1554</v>
      </c>
    </row>
    <row r="836" spans="1:85">
      <c r="A836" s="13" t="s">
        <v>1918</v>
      </c>
      <c r="B836" s="13" t="s">
        <v>1918</v>
      </c>
      <c r="C836" s="14" t="s">
        <v>1555</v>
      </c>
      <c r="D836" s="14" t="s">
        <v>2481</v>
      </c>
      <c r="E836" s="13" t="s">
        <v>630</v>
      </c>
      <c r="F836" s="13" t="s">
        <v>2918</v>
      </c>
      <c r="G836" s="13" t="s">
        <v>674</v>
      </c>
      <c r="H836" s="30" t="s">
        <v>2382</v>
      </c>
      <c r="J836" s="14" t="s">
        <v>703</v>
      </c>
      <c r="K836" s="13" t="s">
        <v>2915</v>
      </c>
      <c r="L836" s="14" t="s">
        <v>2916</v>
      </c>
      <c r="M836" s="13" t="s">
        <v>2917</v>
      </c>
      <c r="N836" s="13">
        <v>40</v>
      </c>
      <c r="O836" s="2">
        <f t="shared" si="74"/>
        <v>0.50632911392405067</v>
      </c>
      <c r="P836" s="13">
        <v>40</v>
      </c>
      <c r="Q836" s="17">
        <f t="shared" si="75"/>
        <v>0.50632911392405067</v>
      </c>
      <c r="R836" s="13">
        <v>79</v>
      </c>
      <c r="S836" s="13">
        <v>79</v>
      </c>
      <c r="T836" s="13">
        <v>0</v>
      </c>
      <c r="V836" s="13">
        <v>0</v>
      </c>
      <c r="Y836" s="14">
        <v>67</v>
      </c>
      <c r="Z836" s="14">
        <v>61.5</v>
      </c>
      <c r="AA836" s="14">
        <v>71</v>
      </c>
      <c r="AD836" s="14">
        <v>66</v>
      </c>
      <c r="AE836" s="14">
        <v>62.5</v>
      </c>
      <c r="AF836" s="13">
        <v>70.5</v>
      </c>
      <c r="AG836" s="13" t="s">
        <v>639</v>
      </c>
      <c r="AH836" s="13">
        <v>5.71</v>
      </c>
      <c r="AJ836" s="13">
        <v>91.1</v>
      </c>
      <c r="AK836" s="13">
        <v>85</v>
      </c>
      <c r="AL836" s="13">
        <v>97</v>
      </c>
      <c r="AM836" s="13">
        <v>87.3</v>
      </c>
      <c r="AN836" s="13">
        <v>80</v>
      </c>
      <c r="AO836" s="13">
        <v>94</v>
      </c>
      <c r="AP836" s="13">
        <v>0.93300000000000005</v>
      </c>
      <c r="AR836" s="13">
        <v>0.89</v>
      </c>
      <c r="AS836" s="13">
        <v>0.97</v>
      </c>
      <c r="BG836" s="28">
        <v>10.11</v>
      </c>
      <c r="BR836" s="13">
        <v>1.1599999999999999</v>
      </c>
      <c r="BX836" s="13" t="s">
        <v>701</v>
      </c>
      <c r="BY836" s="13" t="s">
        <v>1552</v>
      </c>
      <c r="BZ836" s="13" t="s">
        <v>1553</v>
      </c>
      <c r="CA836" s="13">
        <v>2020</v>
      </c>
      <c r="CC836" s="13" t="s">
        <v>416</v>
      </c>
      <c r="CD836" s="13">
        <v>11</v>
      </c>
      <c r="CF836" s="13" t="s">
        <v>2157</v>
      </c>
      <c r="CG836" s="13" t="s">
        <v>1554</v>
      </c>
    </row>
    <row r="837" spans="1:85">
      <c r="A837" s="13" t="s">
        <v>1918</v>
      </c>
      <c r="B837" s="13" t="s">
        <v>1918</v>
      </c>
      <c r="C837" s="14" t="s">
        <v>1555</v>
      </c>
      <c r="D837" s="14" t="s">
        <v>2481</v>
      </c>
      <c r="E837" s="13" t="s">
        <v>630</v>
      </c>
      <c r="F837" s="13" t="s">
        <v>2918</v>
      </c>
      <c r="G837" s="13" t="s">
        <v>674</v>
      </c>
      <c r="H837" s="30" t="s">
        <v>2717</v>
      </c>
      <c r="J837" s="14" t="s">
        <v>703</v>
      </c>
      <c r="K837" s="13" t="s">
        <v>2915</v>
      </c>
      <c r="L837" s="14" t="s">
        <v>2916</v>
      </c>
      <c r="M837" s="13" t="s">
        <v>2917</v>
      </c>
      <c r="N837" s="13">
        <v>40</v>
      </c>
      <c r="O837" s="2">
        <f t="shared" si="74"/>
        <v>0.50632911392405067</v>
      </c>
      <c r="P837" s="13">
        <v>40</v>
      </c>
      <c r="Q837" s="17">
        <f t="shared" si="75"/>
        <v>0.50632911392405067</v>
      </c>
      <c r="R837" s="13">
        <v>79</v>
      </c>
      <c r="S837" s="13">
        <v>79</v>
      </c>
      <c r="T837" s="13">
        <v>0</v>
      </c>
      <c r="V837" s="13">
        <v>0</v>
      </c>
      <c r="Y837" s="14">
        <v>67</v>
      </c>
      <c r="Z837" s="14">
        <v>61.5</v>
      </c>
      <c r="AA837" s="14">
        <v>71</v>
      </c>
      <c r="AD837" s="14">
        <v>66</v>
      </c>
      <c r="AE837" s="14">
        <v>62.5</v>
      </c>
      <c r="AF837" s="13">
        <v>70.5</v>
      </c>
      <c r="AG837" s="13" t="s">
        <v>639</v>
      </c>
      <c r="AH837" s="13">
        <v>0.66</v>
      </c>
      <c r="AJ837" s="13">
        <v>77.2</v>
      </c>
      <c r="AK837" s="13">
        <v>68</v>
      </c>
      <c r="AL837" s="13">
        <v>86</v>
      </c>
      <c r="AM837" s="13">
        <v>76</v>
      </c>
      <c r="AN837" s="13">
        <v>66</v>
      </c>
      <c r="AO837" s="13">
        <v>85</v>
      </c>
      <c r="AP837" s="13">
        <v>0.78300000000000003</v>
      </c>
      <c r="AR837" s="13">
        <v>0.71</v>
      </c>
      <c r="AS837" s="13">
        <v>0.85</v>
      </c>
      <c r="BG837" s="28">
        <v>1.81</v>
      </c>
      <c r="BR837" s="13">
        <v>0.16</v>
      </c>
      <c r="BX837" s="13" t="s">
        <v>701</v>
      </c>
      <c r="BY837" s="13" t="s">
        <v>1552</v>
      </c>
      <c r="BZ837" s="13" t="s">
        <v>1553</v>
      </c>
      <c r="CA837" s="13">
        <v>2020</v>
      </c>
      <c r="CC837" s="13" t="s">
        <v>416</v>
      </c>
      <c r="CD837" s="13">
        <v>11</v>
      </c>
      <c r="CF837" s="13" t="s">
        <v>2157</v>
      </c>
      <c r="CG837" s="13" t="s">
        <v>1554</v>
      </c>
    </row>
    <row r="838" spans="1:85">
      <c r="A838" s="13" t="s">
        <v>1918</v>
      </c>
      <c r="B838" s="13" t="s">
        <v>1918</v>
      </c>
      <c r="C838" s="14" t="s">
        <v>1555</v>
      </c>
      <c r="D838" s="14" t="s">
        <v>2481</v>
      </c>
      <c r="E838" s="13" t="s">
        <v>630</v>
      </c>
      <c r="F838" s="13" t="s">
        <v>2918</v>
      </c>
      <c r="G838" s="13" t="s">
        <v>674</v>
      </c>
      <c r="H838" s="30" t="s">
        <v>2726</v>
      </c>
      <c r="J838" s="14" t="s">
        <v>703</v>
      </c>
      <c r="K838" s="13" t="s">
        <v>2915</v>
      </c>
      <c r="L838" s="14" t="s">
        <v>2916</v>
      </c>
      <c r="M838" s="13" t="s">
        <v>2917</v>
      </c>
      <c r="N838" s="13">
        <v>40</v>
      </c>
      <c r="O838" s="2">
        <f t="shared" si="74"/>
        <v>0.50632911392405067</v>
      </c>
      <c r="P838" s="13">
        <v>40</v>
      </c>
      <c r="Q838" s="17">
        <f t="shared" si="75"/>
        <v>0.50632911392405067</v>
      </c>
      <c r="R838" s="13">
        <v>79</v>
      </c>
      <c r="S838" s="13">
        <v>79</v>
      </c>
      <c r="T838" s="13">
        <v>0</v>
      </c>
      <c r="V838" s="13">
        <v>0</v>
      </c>
      <c r="Y838" s="14">
        <v>67</v>
      </c>
      <c r="Z838" s="14">
        <v>61.5</v>
      </c>
      <c r="AA838" s="14">
        <v>71</v>
      </c>
      <c r="AD838" s="14">
        <v>66</v>
      </c>
      <c r="AE838" s="14">
        <v>62.5</v>
      </c>
      <c r="AF838" s="13">
        <v>70.5</v>
      </c>
      <c r="AG838" s="13" t="s">
        <v>639</v>
      </c>
      <c r="AH838" s="13">
        <v>2.12</v>
      </c>
      <c r="AJ838" s="13">
        <v>78.5</v>
      </c>
      <c r="AK838" s="13">
        <v>70</v>
      </c>
      <c r="AL838" s="13">
        <v>87</v>
      </c>
      <c r="AM838" s="13">
        <v>79.8</v>
      </c>
      <c r="AN838" s="13">
        <v>71</v>
      </c>
      <c r="AO838" s="13">
        <v>89</v>
      </c>
      <c r="AP838" s="13">
        <v>0.872</v>
      </c>
      <c r="AR838" s="13">
        <v>0.81</v>
      </c>
      <c r="AS838" s="13">
        <v>0.93</v>
      </c>
      <c r="BG838" s="28">
        <v>2.97</v>
      </c>
      <c r="BR838" s="13">
        <v>0.45</v>
      </c>
      <c r="BX838" s="13" t="s">
        <v>701</v>
      </c>
      <c r="BY838" s="13" t="s">
        <v>1552</v>
      </c>
      <c r="BZ838" s="13" t="s">
        <v>1553</v>
      </c>
      <c r="CA838" s="13">
        <v>2020</v>
      </c>
      <c r="CC838" s="13" t="s">
        <v>416</v>
      </c>
      <c r="CD838" s="13">
        <v>11</v>
      </c>
      <c r="CF838" s="13" t="s">
        <v>2157</v>
      </c>
      <c r="CG838" s="13" t="s">
        <v>1554</v>
      </c>
    </row>
    <row r="839" spans="1:85">
      <c r="A839" s="13" t="s">
        <v>1918</v>
      </c>
      <c r="B839" s="13" t="s">
        <v>1918</v>
      </c>
      <c r="C839" s="14" t="s">
        <v>1555</v>
      </c>
      <c r="D839" s="14" t="s">
        <v>2481</v>
      </c>
      <c r="E839" s="13" t="s">
        <v>630</v>
      </c>
      <c r="F839" s="13" t="s">
        <v>2918</v>
      </c>
      <c r="G839" s="13" t="s">
        <v>674</v>
      </c>
      <c r="H839" s="30" t="s">
        <v>2556</v>
      </c>
      <c r="J839" s="14" t="s">
        <v>703</v>
      </c>
      <c r="K839" s="13" t="s">
        <v>2915</v>
      </c>
      <c r="L839" s="14" t="s">
        <v>2916</v>
      </c>
      <c r="M839" s="13" t="s">
        <v>2917</v>
      </c>
      <c r="N839" s="13">
        <v>40</v>
      </c>
      <c r="O839" s="2">
        <f t="shared" si="74"/>
        <v>0.50632911392405067</v>
      </c>
      <c r="P839" s="13">
        <v>40</v>
      </c>
      <c r="Q839" s="17">
        <f t="shared" si="75"/>
        <v>0.50632911392405067</v>
      </c>
      <c r="R839" s="13">
        <v>79</v>
      </c>
      <c r="S839" s="13">
        <v>79</v>
      </c>
      <c r="T839" s="13">
        <v>0</v>
      </c>
      <c r="V839" s="13">
        <v>0</v>
      </c>
      <c r="Y839" s="14">
        <v>67</v>
      </c>
      <c r="Z839" s="14">
        <v>61.5</v>
      </c>
      <c r="AA839" s="14">
        <v>71</v>
      </c>
      <c r="AD839" s="14">
        <v>66</v>
      </c>
      <c r="AE839" s="14">
        <v>62.5</v>
      </c>
      <c r="AF839" s="13">
        <v>70.5</v>
      </c>
      <c r="AG839" s="13" t="s">
        <v>639</v>
      </c>
      <c r="AH839" s="13">
        <v>0.76</v>
      </c>
      <c r="AJ839" s="13">
        <v>73.400000000000006</v>
      </c>
      <c r="AK839" s="13">
        <v>63</v>
      </c>
      <c r="AL839" s="13">
        <v>82</v>
      </c>
      <c r="AM839" s="13">
        <v>83.5</v>
      </c>
      <c r="AN839" s="13">
        <v>75</v>
      </c>
      <c r="AO839" s="13">
        <v>91</v>
      </c>
      <c r="AP839" s="13">
        <v>0.80600000000000005</v>
      </c>
      <c r="AR839" s="13">
        <v>0.73</v>
      </c>
      <c r="AS839" s="13">
        <v>0.88</v>
      </c>
      <c r="BG839" s="28">
        <v>1.1299999999999999</v>
      </c>
      <c r="BR839" s="13">
        <v>0.11</v>
      </c>
      <c r="BX839" s="13" t="s">
        <v>701</v>
      </c>
      <c r="BY839" s="13" t="s">
        <v>1552</v>
      </c>
      <c r="BZ839" s="13" t="s">
        <v>1553</v>
      </c>
      <c r="CA839" s="13">
        <v>2020</v>
      </c>
      <c r="CC839" s="13" t="s">
        <v>416</v>
      </c>
      <c r="CD839" s="13">
        <v>11</v>
      </c>
      <c r="CF839" s="13" t="s">
        <v>2157</v>
      </c>
      <c r="CG839" s="13" t="s">
        <v>1554</v>
      </c>
    </row>
    <row r="840" spans="1:85">
      <c r="A840" s="13" t="s">
        <v>2017</v>
      </c>
      <c r="B840" s="13" t="s">
        <v>2017</v>
      </c>
      <c r="C840" s="13" t="s">
        <v>2018</v>
      </c>
      <c r="D840" s="14" t="s">
        <v>825</v>
      </c>
      <c r="E840" s="13" t="s">
        <v>657</v>
      </c>
      <c r="F840" s="13" t="s">
        <v>2020</v>
      </c>
      <c r="G840" s="13" t="s">
        <v>672</v>
      </c>
      <c r="H840" s="13" t="s">
        <v>2019</v>
      </c>
      <c r="J840" s="14" t="s">
        <v>703</v>
      </c>
      <c r="K840" s="14" t="s">
        <v>2919</v>
      </c>
      <c r="L840" s="14" t="s">
        <v>585</v>
      </c>
      <c r="N840" s="13">
        <v>17</v>
      </c>
      <c r="O840" s="2">
        <f t="shared" si="74"/>
        <v>0.56666666666666665</v>
      </c>
      <c r="P840" s="13">
        <v>6</v>
      </c>
      <c r="Q840" s="17">
        <f t="shared" si="75"/>
        <v>0.375</v>
      </c>
      <c r="R840" s="13">
        <v>30</v>
      </c>
      <c r="S840" s="13">
        <v>16</v>
      </c>
      <c r="T840" s="13">
        <v>4</v>
      </c>
      <c r="W840" s="13">
        <v>58</v>
      </c>
      <c r="X840" s="13">
        <v>13.5</v>
      </c>
      <c r="AB840" s="13">
        <v>53</v>
      </c>
      <c r="AC840" s="13">
        <v>13</v>
      </c>
      <c r="AG840" s="13" t="s">
        <v>639</v>
      </c>
      <c r="AJ840" s="13">
        <v>97.56</v>
      </c>
      <c r="BB840" s="13">
        <v>2.04</v>
      </c>
      <c r="BC840" s="13">
        <v>4.17</v>
      </c>
      <c r="BM840" s="13">
        <v>98.77</v>
      </c>
      <c r="BN840" s="13">
        <v>106.52</v>
      </c>
      <c r="BY840" s="13" t="s">
        <v>2096</v>
      </c>
      <c r="BZ840" s="13" t="s">
        <v>2097</v>
      </c>
      <c r="CA840" s="13">
        <v>2020</v>
      </c>
      <c r="CB840" s="13" t="s">
        <v>162</v>
      </c>
      <c r="CC840" s="13" t="s">
        <v>1514</v>
      </c>
      <c r="CD840" s="13">
        <v>62</v>
      </c>
      <c r="CF840" s="13" t="s">
        <v>2156</v>
      </c>
      <c r="CG840" s="13" t="s">
        <v>2098</v>
      </c>
    </row>
    <row r="841" spans="1:85">
      <c r="A841" s="13" t="s">
        <v>2017</v>
      </c>
      <c r="B841" s="13" t="s">
        <v>2017</v>
      </c>
      <c r="C841" s="13" t="s">
        <v>2018</v>
      </c>
      <c r="D841" s="14" t="s">
        <v>825</v>
      </c>
      <c r="E841" s="13" t="s">
        <v>630</v>
      </c>
      <c r="F841" s="13" t="s">
        <v>2920</v>
      </c>
      <c r="G841" s="13" t="s">
        <v>672</v>
      </c>
      <c r="H841" s="13" t="s">
        <v>2019</v>
      </c>
      <c r="J841" s="14" t="s">
        <v>703</v>
      </c>
      <c r="K841" s="14" t="s">
        <v>2919</v>
      </c>
      <c r="L841" s="14" t="s">
        <v>585</v>
      </c>
      <c r="N841" s="13">
        <v>17</v>
      </c>
      <c r="O841" s="2">
        <f t="shared" si="74"/>
        <v>0.56666666666666665</v>
      </c>
      <c r="P841" s="13">
        <v>5</v>
      </c>
      <c r="Q841" s="17">
        <f t="shared" si="75"/>
        <v>0.5</v>
      </c>
      <c r="R841" s="13">
        <v>30</v>
      </c>
      <c r="S841" s="13">
        <v>10</v>
      </c>
      <c r="T841" s="13">
        <v>4</v>
      </c>
      <c r="W841" s="13">
        <v>58</v>
      </c>
      <c r="X841" s="13">
        <v>13.5</v>
      </c>
      <c r="AB841" s="13">
        <v>60</v>
      </c>
      <c r="AC841" s="13">
        <v>5</v>
      </c>
      <c r="AG841" s="13" t="s">
        <v>639</v>
      </c>
      <c r="BB841" s="13">
        <v>2.04</v>
      </c>
      <c r="BC841" s="13">
        <v>4.17</v>
      </c>
      <c r="BM841" s="13">
        <v>3.57</v>
      </c>
      <c r="BN841" s="13">
        <v>3.4</v>
      </c>
      <c r="BX841" s="13">
        <v>1.2800000000000001E-2</v>
      </c>
      <c r="BY841" s="13" t="s">
        <v>2096</v>
      </c>
      <c r="BZ841" s="13" t="s">
        <v>2097</v>
      </c>
      <c r="CA841" s="13">
        <v>2020</v>
      </c>
      <c r="CB841" s="13" t="s">
        <v>162</v>
      </c>
      <c r="CC841" s="13" t="s">
        <v>1514</v>
      </c>
      <c r="CD841" s="13">
        <v>62</v>
      </c>
      <c r="CF841" s="13" t="s">
        <v>2156</v>
      </c>
      <c r="CG841" s="13" t="s">
        <v>2098</v>
      </c>
    </row>
    <row r="842" spans="1:85">
      <c r="A842" s="13" t="s">
        <v>1745</v>
      </c>
      <c r="B842" s="13" t="s">
        <v>2126</v>
      </c>
      <c r="C842" s="13" t="s">
        <v>501</v>
      </c>
      <c r="D842" s="13" t="s">
        <v>1015</v>
      </c>
      <c r="E842" s="13" t="s">
        <v>1017</v>
      </c>
      <c r="F842" s="13" t="s">
        <v>1018</v>
      </c>
      <c r="G842" s="13" t="s">
        <v>672</v>
      </c>
      <c r="H842" s="13" t="s">
        <v>1014</v>
      </c>
      <c r="J842" s="13" t="s">
        <v>855</v>
      </c>
      <c r="K842" s="14" t="s">
        <v>4099</v>
      </c>
      <c r="L842" s="13" t="s">
        <v>1016</v>
      </c>
      <c r="N842" s="13">
        <v>21</v>
      </c>
      <c r="O842" s="2">
        <f t="shared" si="74"/>
        <v>0.46666666666666667</v>
      </c>
      <c r="P842" s="13">
        <v>18</v>
      </c>
      <c r="Q842" s="17">
        <f t="shared" si="75"/>
        <v>0.78260869565217395</v>
      </c>
      <c r="R842" s="13">
        <v>45</v>
      </c>
      <c r="S842" s="13">
        <v>23</v>
      </c>
      <c r="W842" s="13">
        <v>70.2</v>
      </c>
      <c r="X842" s="13">
        <v>8.5</v>
      </c>
      <c r="AB842" s="13">
        <v>67.400000000000006</v>
      </c>
      <c r="AC842" s="13">
        <v>10</v>
      </c>
      <c r="AG842" s="13" t="s">
        <v>641</v>
      </c>
      <c r="AH842" s="13">
        <v>17.7</v>
      </c>
      <c r="AJ842" s="13">
        <v>80</v>
      </c>
      <c r="AM842" s="13">
        <v>87</v>
      </c>
      <c r="AP842" s="13">
        <v>0.86</v>
      </c>
      <c r="BB842" s="13">
        <v>21</v>
      </c>
      <c r="BC842" s="13">
        <v>5.0999999999999996</v>
      </c>
      <c r="BM842" s="13">
        <v>13.7</v>
      </c>
      <c r="BN842" s="13">
        <v>4.3</v>
      </c>
      <c r="BX842" s="13" t="s">
        <v>635</v>
      </c>
      <c r="BY842" s="13" t="s">
        <v>498</v>
      </c>
      <c r="BZ842" s="13" t="s">
        <v>499</v>
      </c>
      <c r="CA842" s="13">
        <v>2021</v>
      </c>
      <c r="CB842" s="21">
        <v>45620</v>
      </c>
      <c r="CC842" s="13" t="s">
        <v>61</v>
      </c>
      <c r="CD842" s="13">
        <v>11</v>
      </c>
      <c r="CE842" s="13">
        <v>1</v>
      </c>
      <c r="CF842" s="13">
        <v>22827</v>
      </c>
      <c r="CG842" s="13" t="s">
        <v>500</v>
      </c>
    </row>
    <row r="843" spans="1:85">
      <c r="A843" s="13" t="s">
        <v>1745</v>
      </c>
      <c r="B843" s="13" t="s">
        <v>2126</v>
      </c>
      <c r="C843" s="13" t="s">
        <v>501</v>
      </c>
      <c r="D843" s="13" t="s">
        <v>1015</v>
      </c>
      <c r="E843" s="13" t="s">
        <v>799</v>
      </c>
      <c r="F843" s="13" t="s">
        <v>4185</v>
      </c>
      <c r="G843" s="13" t="s">
        <v>672</v>
      </c>
      <c r="H843" s="13" t="s">
        <v>1014</v>
      </c>
      <c r="J843" s="13" t="s">
        <v>855</v>
      </c>
      <c r="K843" s="14" t="s">
        <v>4099</v>
      </c>
      <c r="L843" s="13" t="s">
        <v>1016</v>
      </c>
      <c r="N843" s="13">
        <v>21</v>
      </c>
      <c r="O843" s="2">
        <f t="shared" si="74"/>
        <v>0.46666666666666667</v>
      </c>
      <c r="P843" s="13">
        <v>12</v>
      </c>
      <c r="Q843" s="17">
        <f t="shared" si="75"/>
        <v>0.42857142857142855</v>
      </c>
      <c r="R843" s="13">
        <v>45</v>
      </c>
      <c r="S843" s="13">
        <v>28</v>
      </c>
      <c r="W843" s="13">
        <v>70.2</v>
      </c>
      <c r="X843" s="13">
        <v>8.5</v>
      </c>
      <c r="AB843" s="13">
        <v>67</v>
      </c>
      <c r="AC843" s="13">
        <v>14.5</v>
      </c>
      <c r="AG843" s="13" t="s">
        <v>641</v>
      </c>
      <c r="BB843" s="13">
        <v>21</v>
      </c>
      <c r="BC843" s="13">
        <v>5.0999999999999996</v>
      </c>
      <c r="BM843" s="13">
        <v>13.6</v>
      </c>
      <c r="BN843" s="13">
        <v>4</v>
      </c>
      <c r="BX843" s="13" t="s">
        <v>635</v>
      </c>
      <c r="BY843" s="13" t="s">
        <v>498</v>
      </c>
      <c r="BZ843" s="13" t="s">
        <v>499</v>
      </c>
      <c r="CA843" s="13">
        <v>2021</v>
      </c>
      <c r="CB843" s="21">
        <v>45620</v>
      </c>
      <c r="CC843" s="13" t="s">
        <v>61</v>
      </c>
      <c r="CD843" s="13">
        <v>11</v>
      </c>
      <c r="CE843" s="13">
        <v>1</v>
      </c>
      <c r="CF843" s="13">
        <v>22827</v>
      </c>
      <c r="CG843" s="13" t="s">
        <v>500</v>
      </c>
    </row>
    <row r="844" spans="1:85">
      <c r="A844" s="13" t="s">
        <v>3424</v>
      </c>
      <c r="C844" s="13" t="s">
        <v>3352</v>
      </c>
      <c r="D844" s="16" t="s">
        <v>4179</v>
      </c>
      <c r="H844" s="13" t="s">
        <v>3886</v>
      </c>
      <c r="J844" s="14"/>
      <c r="BY844" s="13" t="s">
        <v>3604</v>
      </c>
      <c r="BZ844" s="13" t="s">
        <v>3605</v>
      </c>
      <c r="CA844" s="13">
        <v>2024</v>
      </c>
      <c r="CB844" s="21">
        <v>45931</v>
      </c>
      <c r="CC844" s="13" t="s">
        <v>1363</v>
      </c>
      <c r="CD844" s="13">
        <v>200</v>
      </c>
      <c r="CF844" s="13">
        <v>106639</v>
      </c>
      <c r="CG844" s="13" t="s">
        <v>3279</v>
      </c>
    </row>
    <row r="845" spans="1:85">
      <c r="A845" s="13" t="s">
        <v>1747</v>
      </c>
      <c r="B845" s="13" t="s">
        <v>1920</v>
      </c>
      <c r="C845" s="13" t="s">
        <v>511</v>
      </c>
      <c r="D845" s="13" t="s">
        <v>898</v>
      </c>
      <c r="E845" s="13" t="s">
        <v>633</v>
      </c>
      <c r="F845" s="13" t="s">
        <v>1020</v>
      </c>
      <c r="G845" s="13" t="s">
        <v>672</v>
      </c>
      <c r="H845" s="13" t="s">
        <v>675</v>
      </c>
      <c r="J845" s="13" t="s">
        <v>703</v>
      </c>
      <c r="K845" s="13" t="s">
        <v>2924</v>
      </c>
      <c r="L845" s="13" t="s">
        <v>652</v>
      </c>
      <c r="O845" s="2">
        <v>0.68</v>
      </c>
      <c r="Q845" s="17">
        <v>0.6</v>
      </c>
      <c r="R845" s="13">
        <v>114</v>
      </c>
      <c r="S845" s="13">
        <v>53</v>
      </c>
      <c r="Y845" s="13">
        <v>65</v>
      </c>
      <c r="Z845" s="13">
        <v>56</v>
      </c>
      <c r="AA845" s="13">
        <v>74</v>
      </c>
      <c r="AD845" s="13">
        <v>65</v>
      </c>
      <c r="AE845" s="13">
        <v>56.3</v>
      </c>
      <c r="AF845" s="13">
        <v>71.8</v>
      </c>
      <c r="AG845" s="13" t="s">
        <v>639</v>
      </c>
      <c r="AH845" s="13">
        <v>2517</v>
      </c>
      <c r="AJ845" s="13">
        <v>86.8</v>
      </c>
      <c r="AM845" s="13">
        <v>92.4</v>
      </c>
      <c r="AP845" s="13">
        <v>0.92400000000000004</v>
      </c>
      <c r="AR845" s="13">
        <v>0.90200000000000002</v>
      </c>
      <c r="AS845" s="13">
        <v>0.94599999999999995</v>
      </c>
      <c r="BG845" s="13">
        <v>6543</v>
      </c>
      <c r="BI845" s="13">
        <v>3697</v>
      </c>
      <c r="BJ845" s="13">
        <v>12719</v>
      </c>
      <c r="BR845" s="13">
        <v>1140</v>
      </c>
      <c r="BT845" s="13">
        <v>589.5</v>
      </c>
      <c r="BU845" s="13">
        <v>1937</v>
      </c>
      <c r="BX845" s="13" t="s">
        <v>701</v>
      </c>
      <c r="BY845" s="13" t="s">
        <v>507</v>
      </c>
      <c r="BZ845" s="13" t="s">
        <v>508</v>
      </c>
      <c r="CA845" s="13">
        <v>2021</v>
      </c>
      <c r="CC845" s="13" t="s">
        <v>509</v>
      </c>
      <c r="CD845" s="13">
        <v>13</v>
      </c>
      <c r="CF845" s="13">
        <v>753242</v>
      </c>
      <c r="CG845" s="13" t="s">
        <v>510</v>
      </c>
    </row>
    <row r="846" spans="1:85">
      <c r="A846" s="13" t="s">
        <v>1747</v>
      </c>
      <c r="B846" s="13" t="s">
        <v>1920</v>
      </c>
      <c r="C846" s="13" t="s">
        <v>511</v>
      </c>
      <c r="D846" s="13" t="s">
        <v>898</v>
      </c>
      <c r="E846" s="13" t="s">
        <v>633</v>
      </c>
      <c r="F846" s="13" t="s">
        <v>1020</v>
      </c>
      <c r="G846" s="13" t="s">
        <v>674</v>
      </c>
      <c r="H846" s="13" t="s">
        <v>675</v>
      </c>
      <c r="J846" s="13" t="s">
        <v>703</v>
      </c>
      <c r="K846" s="13" t="s">
        <v>2924</v>
      </c>
      <c r="L846" s="13" t="s">
        <v>652</v>
      </c>
      <c r="N846" s="13">
        <v>103</v>
      </c>
      <c r="O846" s="2">
        <v>0.68</v>
      </c>
      <c r="Q846" s="17">
        <v>0.6</v>
      </c>
      <c r="R846" s="13">
        <v>170</v>
      </c>
      <c r="S846" s="13">
        <v>30</v>
      </c>
      <c r="V846" s="13">
        <v>28</v>
      </c>
      <c r="Y846" s="13">
        <v>65</v>
      </c>
      <c r="Z846" s="13">
        <v>56</v>
      </c>
      <c r="AA846" s="13">
        <v>74</v>
      </c>
      <c r="AD846" s="13">
        <v>65</v>
      </c>
      <c r="AE846" s="13">
        <v>56.3</v>
      </c>
      <c r="AF846" s="13">
        <v>71.8</v>
      </c>
      <c r="AG846" s="13" t="s">
        <v>639</v>
      </c>
      <c r="AH846" s="13">
        <v>32.700000000000003</v>
      </c>
      <c r="AJ846" s="13">
        <v>84.7</v>
      </c>
      <c r="AM846" s="13">
        <v>83.3</v>
      </c>
      <c r="AP846" s="13">
        <v>0.873</v>
      </c>
      <c r="AR846" s="13">
        <v>0.83699999999999997</v>
      </c>
      <c r="AS846" s="13">
        <v>0.90900000000000003</v>
      </c>
      <c r="BG846" s="13">
        <v>73</v>
      </c>
      <c r="BI846" s="13">
        <v>45.9</v>
      </c>
      <c r="BJ846" s="13">
        <v>114.2</v>
      </c>
      <c r="BR846" s="13">
        <v>22.5</v>
      </c>
      <c r="BT846" s="13">
        <v>11.4</v>
      </c>
      <c r="BU846" s="13">
        <v>28</v>
      </c>
      <c r="BX846" s="13" t="s">
        <v>701</v>
      </c>
      <c r="BY846" s="13" t="s">
        <v>507</v>
      </c>
      <c r="BZ846" s="13" t="s">
        <v>508</v>
      </c>
      <c r="CA846" s="13">
        <v>2021</v>
      </c>
      <c r="CC846" s="13" t="s">
        <v>509</v>
      </c>
      <c r="CD846" s="13">
        <v>13</v>
      </c>
      <c r="CF846" s="13">
        <v>753242</v>
      </c>
      <c r="CG846" s="13" t="s">
        <v>510</v>
      </c>
    </row>
    <row r="847" spans="1:85">
      <c r="A847" s="13" t="s">
        <v>1747</v>
      </c>
      <c r="B847" s="13" t="s">
        <v>1920</v>
      </c>
      <c r="C847" s="13" t="s">
        <v>511</v>
      </c>
      <c r="D847" s="13" t="s">
        <v>898</v>
      </c>
      <c r="E847" s="13" t="s">
        <v>630</v>
      </c>
      <c r="F847" s="13" t="s">
        <v>1021</v>
      </c>
      <c r="G847" s="13" t="s">
        <v>672</v>
      </c>
      <c r="H847" s="13" t="s">
        <v>675</v>
      </c>
      <c r="J847" s="13" t="s">
        <v>703</v>
      </c>
      <c r="K847" s="13" t="s">
        <v>2924</v>
      </c>
      <c r="L847" s="13" t="s">
        <v>652</v>
      </c>
      <c r="O847" s="2">
        <v>0.68</v>
      </c>
      <c r="Q847" s="17">
        <v>0.54400000000000004</v>
      </c>
      <c r="R847" s="13">
        <v>114</v>
      </c>
      <c r="S847" s="13">
        <v>27</v>
      </c>
      <c r="Y847" s="13">
        <v>65</v>
      </c>
      <c r="Z847" s="13">
        <v>56</v>
      </c>
      <c r="AA847" s="13">
        <v>74</v>
      </c>
      <c r="AD847" s="13">
        <v>63</v>
      </c>
      <c r="AE847" s="13">
        <v>56.5</v>
      </c>
      <c r="AF847" s="13">
        <v>69</v>
      </c>
      <c r="AG847" s="13" t="s">
        <v>639</v>
      </c>
      <c r="BG847" s="13">
        <v>6543</v>
      </c>
      <c r="BI847" s="13">
        <v>3697</v>
      </c>
      <c r="BJ847" s="13">
        <v>12719</v>
      </c>
      <c r="BR847" s="13">
        <v>682.3</v>
      </c>
      <c r="BT847" s="13">
        <v>498.7</v>
      </c>
      <c r="BU847" s="13">
        <v>934.3</v>
      </c>
      <c r="BX847" s="13" t="s">
        <v>701</v>
      </c>
      <c r="BY847" s="13" t="s">
        <v>507</v>
      </c>
      <c r="BZ847" s="13" t="s">
        <v>508</v>
      </c>
      <c r="CA847" s="13">
        <v>2021</v>
      </c>
      <c r="CC847" s="13" t="s">
        <v>509</v>
      </c>
      <c r="CD847" s="13">
        <v>13</v>
      </c>
      <c r="CF847" s="13">
        <v>753242</v>
      </c>
      <c r="CG847" s="13" t="s">
        <v>510</v>
      </c>
    </row>
    <row r="848" spans="1:85">
      <c r="A848" s="13" t="s">
        <v>1747</v>
      </c>
      <c r="B848" s="13" t="s">
        <v>1920</v>
      </c>
      <c r="C848" s="13" t="s">
        <v>511</v>
      </c>
      <c r="D848" s="13" t="s">
        <v>898</v>
      </c>
      <c r="E848" s="13" t="s">
        <v>630</v>
      </c>
      <c r="F848" s="13" t="s">
        <v>1021</v>
      </c>
      <c r="G848" s="13" t="s">
        <v>674</v>
      </c>
      <c r="H848" s="13" t="s">
        <v>675</v>
      </c>
      <c r="J848" s="13" t="s">
        <v>703</v>
      </c>
      <c r="K848" s="13" t="s">
        <v>2924</v>
      </c>
      <c r="L848" s="13" t="s">
        <v>652</v>
      </c>
      <c r="N848" s="13">
        <v>103</v>
      </c>
      <c r="O848" s="2">
        <v>0.68</v>
      </c>
      <c r="Q848" s="17">
        <v>0.54400000000000004</v>
      </c>
      <c r="R848" s="13">
        <v>170</v>
      </c>
      <c r="S848" s="13">
        <v>30</v>
      </c>
      <c r="V848" s="13">
        <v>28</v>
      </c>
      <c r="Y848" s="13">
        <v>65</v>
      </c>
      <c r="Z848" s="13">
        <v>56</v>
      </c>
      <c r="AA848" s="13">
        <v>74</v>
      </c>
      <c r="AD848" s="13">
        <v>63</v>
      </c>
      <c r="AE848" s="13">
        <v>56.5</v>
      </c>
      <c r="AF848" s="13">
        <v>69</v>
      </c>
      <c r="AG848" s="13" t="s">
        <v>639</v>
      </c>
      <c r="BG848" s="13">
        <v>73</v>
      </c>
      <c r="BI848" s="13">
        <v>45.9</v>
      </c>
      <c r="BJ848" s="13">
        <v>114.2</v>
      </c>
      <c r="BR848" s="13">
        <v>9.4</v>
      </c>
      <c r="BT848" s="13">
        <v>6.8</v>
      </c>
      <c r="BU848" s="13">
        <v>15.5</v>
      </c>
      <c r="BX848" s="13" t="s">
        <v>701</v>
      </c>
      <c r="BY848" s="13" t="s">
        <v>507</v>
      </c>
      <c r="BZ848" s="13" t="s">
        <v>508</v>
      </c>
      <c r="CA848" s="13">
        <v>2021</v>
      </c>
      <c r="CC848" s="13" t="s">
        <v>509</v>
      </c>
      <c r="CD848" s="13">
        <v>13</v>
      </c>
      <c r="CF848" s="13">
        <v>753242</v>
      </c>
      <c r="CG848" s="13" t="s">
        <v>510</v>
      </c>
    </row>
    <row r="849" spans="1:85">
      <c r="A849" s="13" t="s">
        <v>1746</v>
      </c>
      <c r="B849" s="13" t="s">
        <v>1919</v>
      </c>
      <c r="C849" s="13" t="s">
        <v>506</v>
      </c>
      <c r="D849" s="13" t="s">
        <v>1015</v>
      </c>
      <c r="E849" s="13" t="s">
        <v>630</v>
      </c>
      <c r="F849" s="13" t="s">
        <v>929</v>
      </c>
      <c r="G849" s="13" t="s">
        <v>674</v>
      </c>
      <c r="H849" s="13" t="s">
        <v>721</v>
      </c>
      <c r="J849" s="13" t="s">
        <v>703</v>
      </c>
      <c r="K849" s="13" t="s">
        <v>2924</v>
      </c>
      <c r="L849" s="13" t="s">
        <v>652</v>
      </c>
      <c r="M849" s="13" t="s">
        <v>4151</v>
      </c>
      <c r="N849" s="13">
        <v>54</v>
      </c>
      <c r="O849" s="2">
        <f>N849/R849</f>
        <v>0.36486486486486486</v>
      </c>
      <c r="P849" s="13">
        <v>26</v>
      </c>
      <c r="Q849" s="17">
        <f t="shared" ref="Q849:Q857" si="76">P849/S849</f>
        <v>0.43333333333333335</v>
      </c>
      <c r="R849" s="13">
        <v>148</v>
      </c>
      <c r="S849" s="13">
        <v>60</v>
      </c>
      <c r="V849" s="13">
        <v>20</v>
      </c>
      <c r="Y849" s="13">
        <v>62</v>
      </c>
      <c r="Z849" s="13">
        <v>51</v>
      </c>
      <c r="AA849" s="13">
        <v>69</v>
      </c>
      <c r="AD849" s="13">
        <v>60.5</v>
      </c>
      <c r="AE849" s="13">
        <v>58.2</v>
      </c>
      <c r="AF849" s="13">
        <v>63</v>
      </c>
      <c r="AG849" s="13" t="s">
        <v>639</v>
      </c>
      <c r="BG849" s="13">
        <v>2.4700000000000002</v>
      </c>
      <c r="BI849" s="13">
        <v>1.4</v>
      </c>
      <c r="BJ849" s="13">
        <v>4.29</v>
      </c>
      <c r="BR849" s="13">
        <v>1.04</v>
      </c>
      <c r="BT849" s="13">
        <v>0.78</v>
      </c>
      <c r="BU849" s="13">
        <v>1.26</v>
      </c>
      <c r="BX849" s="13" t="s">
        <v>635</v>
      </c>
      <c r="BY849" s="13" t="s">
        <v>502</v>
      </c>
      <c r="BZ849" s="13" t="s">
        <v>503</v>
      </c>
      <c r="CA849" s="13">
        <v>2023</v>
      </c>
      <c r="CB849" s="13" t="s">
        <v>12</v>
      </c>
      <c r="CC849" s="13" t="s">
        <v>195</v>
      </c>
      <c r="CD849" s="13">
        <v>94</v>
      </c>
      <c r="CE849" s="13">
        <v>6</v>
      </c>
      <c r="CF849" s="13" t="s">
        <v>504</v>
      </c>
      <c r="CG849" s="13" t="s">
        <v>505</v>
      </c>
    </row>
    <row r="850" spans="1:85">
      <c r="A850" s="13" t="s">
        <v>1746</v>
      </c>
      <c r="B850" s="13" t="s">
        <v>1919</v>
      </c>
      <c r="C850" s="13" t="s">
        <v>506</v>
      </c>
      <c r="D850" s="13" t="s">
        <v>1015</v>
      </c>
      <c r="E850" s="13" t="s">
        <v>630</v>
      </c>
      <c r="F850" s="13" t="s">
        <v>929</v>
      </c>
      <c r="G850" s="13" t="s">
        <v>674</v>
      </c>
      <c r="H850" s="13" t="s">
        <v>675</v>
      </c>
      <c r="J850" s="13" t="s">
        <v>703</v>
      </c>
      <c r="K850" s="13" t="s">
        <v>2924</v>
      </c>
      <c r="L850" s="13" t="s">
        <v>652</v>
      </c>
      <c r="O850" s="2">
        <v>0.36499999999999999</v>
      </c>
      <c r="P850" s="13">
        <v>26</v>
      </c>
      <c r="Q850" s="17">
        <f t="shared" si="76"/>
        <v>0.43333333333333335</v>
      </c>
      <c r="R850" s="13">
        <v>144</v>
      </c>
      <c r="S850" s="13">
        <v>60</v>
      </c>
      <c r="V850" s="13">
        <v>20</v>
      </c>
      <c r="Y850" s="13">
        <v>62</v>
      </c>
      <c r="Z850" s="13">
        <v>51</v>
      </c>
      <c r="AA850" s="13">
        <v>69</v>
      </c>
      <c r="AD850" s="13">
        <v>60.5</v>
      </c>
      <c r="AE850" s="13">
        <v>58.2</v>
      </c>
      <c r="AF850" s="13">
        <v>63</v>
      </c>
      <c r="AG850" s="13" t="s">
        <v>639</v>
      </c>
      <c r="BG850" s="13">
        <v>73.5</v>
      </c>
      <c r="BI850" s="13">
        <v>42.8</v>
      </c>
      <c r="BJ850" s="13">
        <v>116.1</v>
      </c>
      <c r="BR850" s="13">
        <v>10.1</v>
      </c>
      <c r="BT850" s="13">
        <v>8.5</v>
      </c>
      <c r="BU850" s="13">
        <v>14.6</v>
      </c>
      <c r="BX850" s="13" t="s">
        <v>635</v>
      </c>
      <c r="BY850" s="13" t="s">
        <v>502</v>
      </c>
      <c r="BZ850" s="13" t="s">
        <v>503</v>
      </c>
      <c r="CA850" s="13">
        <v>2023</v>
      </c>
      <c r="CB850" s="13" t="s">
        <v>12</v>
      </c>
      <c r="CC850" s="13" t="s">
        <v>195</v>
      </c>
      <c r="CD850" s="13">
        <v>94</v>
      </c>
      <c r="CE850" s="13">
        <v>6</v>
      </c>
      <c r="CF850" s="13" t="s">
        <v>504</v>
      </c>
      <c r="CG850" s="13" t="s">
        <v>505</v>
      </c>
    </row>
    <row r="851" spans="1:85">
      <c r="A851" s="13" t="s">
        <v>1746</v>
      </c>
      <c r="B851" s="13" t="s">
        <v>1919</v>
      </c>
      <c r="C851" s="13" t="s">
        <v>506</v>
      </c>
      <c r="D851" s="13" t="s">
        <v>1015</v>
      </c>
      <c r="E851" s="13" t="s">
        <v>720</v>
      </c>
      <c r="F851" s="13" t="s">
        <v>1019</v>
      </c>
      <c r="G851" s="13" t="s">
        <v>672</v>
      </c>
      <c r="H851" s="13" t="s">
        <v>721</v>
      </c>
      <c r="J851" s="13" t="s">
        <v>703</v>
      </c>
      <c r="K851" s="13" t="s">
        <v>2924</v>
      </c>
      <c r="L851" s="13" t="s">
        <v>622</v>
      </c>
      <c r="M851" s="13" t="s">
        <v>4150</v>
      </c>
      <c r="O851" s="2">
        <v>0.36499999999999999</v>
      </c>
      <c r="P851" s="13">
        <v>53</v>
      </c>
      <c r="Q851" s="17">
        <f t="shared" si="76"/>
        <v>0.60227272727272729</v>
      </c>
      <c r="R851" s="13">
        <v>130</v>
      </c>
      <c r="S851" s="13">
        <v>88</v>
      </c>
      <c r="V851" s="13">
        <v>20</v>
      </c>
      <c r="Y851" s="13">
        <v>62</v>
      </c>
      <c r="Z851" s="13">
        <v>51</v>
      </c>
      <c r="AA851" s="13">
        <v>69</v>
      </c>
      <c r="AD851" s="13">
        <v>67</v>
      </c>
      <c r="AE851" s="13">
        <v>61</v>
      </c>
      <c r="AF851" s="13">
        <v>73.5</v>
      </c>
      <c r="AG851" s="13" t="s">
        <v>639</v>
      </c>
      <c r="BG851" s="13">
        <v>33</v>
      </c>
      <c r="BI851" s="13">
        <v>26.2</v>
      </c>
      <c r="BJ851" s="13">
        <v>42.6</v>
      </c>
      <c r="BR851" s="13">
        <v>109</v>
      </c>
      <c r="BT851" s="13">
        <v>82</v>
      </c>
      <c r="BU851" s="13">
        <v>159</v>
      </c>
      <c r="BX851" s="13" t="s">
        <v>635</v>
      </c>
      <c r="BY851" s="13" t="s">
        <v>502</v>
      </c>
      <c r="BZ851" s="13" t="s">
        <v>503</v>
      </c>
      <c r="CA851" s="13">
        <v>2023</v>
      </c>
      <c r="CB851" s="13" t="s">
        <v>12</v>
      </c>
      <c r="CC851" s="13" t="s">
        <v>195</v>
      </c>
      <c r="CD851" s="13">
        <v>94</v>
      </c>
      <c r="CE851" s="13">
        <v>6</v>
      </c>
      <c r="CF851" s="13" t="s">
        <v>504</v>
      </c>
      <c r="CG851" s="13" t="s">
        <v>505</v>
      </c>
    </row>
    <row r="852" spans="1:85">
      <c r="A852" s="13" t="s">
        <v>1746</v>
      </c>
      <c r="B852" s="13" t="s">
        <v>1919</v>
      </c>
      <c r="C852" s="13" t="s">
        <v>506</v>
      </c>
      <c r="D852" s="13" t="s">
        <v>1015</v>
      </c>
      <c r="E852" s="13" t="s">
        <v>720</v>
      </c>
      <c r="F852" s="13" t="s">
        <v>1019</v>
      </c>
      <c r="G852" s="13" t="s">
        <v>672</v>
      </c>
      <c r="H852" s="13" t="s">
        <v>675</v>
      </c>
      <c r="J852" s="13" t="s">
        <v>703</v>
      </c>
      <c r="K852" s="13" t="s">
        <v>2924</v>
      </c>
      <c r="L852" s="13" t="s">
        <v>652</v>
      </c>
      <c r="O852" s="2">
        <v>0.36499999999999999</v>
      </c>
      <c r="P852" s="13">
        <v>53</v>
      </c>
      <c r="Q852" s="17">
        <f t="shared" si="76"/>
        <v>0.60227272727272729</v>
      </c>
      <c r="R852" s="13">
        <v>117</v>
      </c>
      <c r="S852" s="13">
        <v>88</v>
      </c>
      <c r="V852" s="13">
        <v>20</v>
      </c>
      <c r="Y852" s="13">
        <v>62</v>
      </c>
      <c r="Z852" s="13">
        <v>51</v>
      </c>
      <c r="AA852" s="13">
        <v>69</v>
      </c>
      <c r="AD852" s="13">
        <v>67</v>
      </c>
      <c r="AE852" s="13">
        <v>61</v>
      </c>
      <c r="AF852" s="13">
        <v>73.5</v>
      </c>
      <c r="AG852" s="13" t="s">
        <v>639</v>
      </c>
      <c r="BG852" s="13">
        <v>6307</v>
      </c>
      <c r="BI852" s="13">
        <v>3250</v>
      </c>
      <c r="BJ852" s="13">
        <v>12011</v>
      </c>
      <c r="BR852" s="13">
        <v>1076</v>
      </c>
      <c r="BT852" s="13">
        <v>862.5</v>
      </c>
      <c r="BU852" s="13">
        <v>1488</v>
      </c>
      <c r="BX852" s="13" t="s">
        <v>635</v>
      </c>
      <c r="BY852" s="13" t="s">
        <v>502</v>
      </c>
      <c r="BZ852" s="13" t="s">
        <v>503</v>
      </c>
      <c r="CA852" s="13">
        <v>2023</v>
      </c>
      <c r="CB852" s="13" t="s">
        <v>12</v>
      </c>
      <c r="CC852" s="13" t="s">
        <v>195</v>
      </c>
      <c r="CD852" s="13">
        <v>94</v>
      </c>
      <c r="CE852" s="13">
        <v>6</v>
      </c>
      <c r="CF852" s="13" t="s">
        <v>504</v>
      </c>
      <c r="CG852" s="13" t="s">
        <v>505</v>
      </c>
    </row>
    <row r="853" spans="1:85">
      <c r="A853" s="13" t="s">
        <v>1746</v>
      </c>
      <c r="B853" s="13" t="s">
        <v>1919</v>
      </c>
      <c r="C853" s="13" t="s">
        <v>506</v>
      </c>
      <c r="D853" s="13" t="s">
        <v>1015</v>
      </c>
      <c r="E853" s="13" t="s">
        <v>720</v>
      </c>
      <c r="F853" s="13" t="s">
        <v>1019</v>
      </c>
      <c r="G853" s="13" t="s">
        <v>674</v>
      </c>
      <c r="H853" s="13" t="s">
        <v>721</v>
      </c>
      <c r="J853" s="13" t="s">
        <v>703</v>
      </c>
      <c r="K853" s="13" t="s">
        <v>2924</v>
      </c>
      <c r="L853" s="13" t="s">
        <v>652</v>
      </c>
      <c r="M853" s="13" t="s">
        <v>4151</v>
      </c>
      <c r="O853" s="2">
        <v>0.36499999999999999</v>
      </c>
      <c r="P853" s="13">
        <v>53</v>
      </c>
      <c r="Q853" s="17">
        <f t="shared" si="76"/>
        <v>0.60227272727272729</v>
      </c>
      <c r="R853" s="13">
        <v>130</v>
      </c>
      <c r="S853" s="13">
        <v>88</v>
      </c>
      <c r="V853" s="13">
        <v>20</v>
      </c>
      <c r="Y853" s="13">
        <v>62</v>
      </c>
      <c r="Z853" s="13">
        <v>51</v>
      </c>
      <c r="AA853" s="13">
        <v>69</v>
      </c>
      <c r="AD853" s="13">
        <v>67</v>
      </c>
      <c r="AE853" s="13">
        <v>61</v>
      </c>
      <c r="AF853" s="13">
        <v>73.5</v>
      </c>
      <c r="AG853" s="13" t="s">
        <v>639</v>
      </c>
      <c r="BG853" s="13">
        <v>2.4700000000000002</v>
      </c>
      <c r="BI853" s="13">
        <v>1.4</v>
      </c>
      <c r="BJ853" s="13">
        <v>4.29</v>
      </c>
      <c r="BR853" s="13">
        <v>3.26</v>
      </c>
      <c r="BT853" s="13">
        <v>2.46</v>
      </c>
      <c r="BU853" s="13">
        <v>4.3</v>
      </c>
      <c r="BX853" s="13" t="s">
        <v>635</v>
      </c>
      <c r="BY853" s="13" t="s">
        <v>502</v>
      </c>
      <c r="BZ853" s="13" t="s">
        <v>503</v>
      </c>
      <c r="CA853" s="13">
        <v>2023</v>
      </c>
      <c r="CB853" s="13" t="s">
        <v>12</v>
      </c>
      <c r="CC853" s="13" t="s">
        <v>195</v>
      </c>
      <c r="CD853" s="13">
        <v>94</v>
      </c>
      <c r="CE853" s="13">
        <v>6</v>
      </c>
      <c r="CF853" s="13" t="s">
        <v>504</v>
      </c>
      <c r="CG853" s="13" t="s">
        <v>505</v>
      </c>
    </row>
    <row r="854" spans="1:85">
      <c r="A854" s="13" t="s">
        <v>1746</v>
      </c>
      <c r="B854" s="13" t="s">
        <v>1919</v>
      </c>
      <c r="C854" s="13" t="s">
        <v>506</v>
      </c>
      <c r="D854" s="13" t="s">
        <v>1015</v>
      </c>
      <c r="E854" s="13" t="s">
        <v>720</v>
      </c>
      <c r="F854" s="13" t="s">
        <v>1019</v>
      </c>
      <c r="G854" s="13" t="s">
        <v>674</v>
      </c>
      <c r="H854" s="13" t="s">
        <v>675</v>
      </c>
      <c r="J854" s="13" t="s">
        <v>703</v>
      </c>
      <c r="K854" s="13" t="s">
        <v>2924</v>
      </c>
      <c r="L854" s="13" t="s">
        <v>652</v>
      </c>
      <c r="O854" s="2">
        <v>0.36499999999999999</v>
      </c>
      <c r="P854" s="13">
        <v>53</v>
      </c>
      <c r="Q854" s="17">
        <f t="shared" si="76"/>
        <v>0.60227272727272729</v>
      </c>
      <c r="R854" s="13">
        <v>117</v>
      </c>
      <c r="S854" s="13">
        <v>88</v>
      </c>
      <c r="V854" s="13">
        <v>20</v>
      </c>
      <c r="Y854" s="13">
        <v>62</v>
      </c>
      <c r="Z854" s="13">
        <v>51</v>
      </c>
      <c r="AA854" s="13">
        <v>69</v>
      </c>
      <c r="AD854" s="13">
        <v>67</v>
      </c>
      <c r="AE854" s="13">
        <v>61</v>
      </c>
      <c r="AF854" s="13">
        <v>73.5</v>
      </c>
      <c r="AG854" s="13" t="s">
        <v>639</v>
      </c>
      <c r="BG854" s="13">
        <v>73.5</v>
      </c>
      <c r="BI854" s="13">
        <v>42.8</v>
      </c>
      <c r="BJ854" s="13">
        <v>116.1</v>
      </c>
      <c r="BR854" s="13">
        <v>21.1</v>
      </c>
      <c r="BT854" s="13">
        <v>16.8</v>
      </c>
      <c r="BU854" s="13">
        <v>26.4</v>
      </c>
      <c r="BX854" s="13" t="s">
        <v>635</v>
      </c>
      <c r="BY854" s="13" t="s">
        <v>502</v>
      </c>
      <c r="BZ854" s="13" t="s">
        <v>503</v>
      </c>
      <c r="CA854" s="13">
        <v>2023</v>
      </c>
      <c r="CB854" s="13" t="s">
        <v>12</v>
      </c>
      <c r="CC854" s="13" t="s">
        <v>195</v>
      </c>
      <c r="CD854" s="13">
        <v>94</v>
      </c>
      <c r="CE854" s="13">
        <v>6</v>
      </c>
      <c r="CF854" s="13" t="s">
        <v>504</v>
      </c>
      <c r="CG854" s="13" t="s">
        <v>505</v>
      </c>
    </row>
    <row r="855" spans="1:85">
      <c r="A855" s="13" t="s">
        <v>1748</v>
      </c>
      <c r="C855" s="13" t="s">
        <v>516</v>
      </c>
      <c r="D855" s="13" t="s">
        <v>818</v>
      </c>
      <c r="E855" s="13" t="s">
        <v>1991</v>
      </c>
      <c r="F855" s="13" t="s">
        <v>1022</v>
      </c>
      <c r="G855" s="13" t="s">
        <v>672</v>
      </c>
      <c r="H855" s="13" t="s">
        <v>680</v>
      </c>
      <c r="J855" s="13" t="s">
        <v>865</v>
      </c>
      <c r="K855" s="13" t="s">
        <v>3643</v>
      </c>
      <c r="L855" s="13" t="s">
        <v>585</v>
      </c>
      <c r="N855" s="13">
        <v>122</v>
      </c>
      <c r="O855" s="2">
        <f>N855/R855</f>
        <v>0.77215189873417722</v>
      </c>
      <c r="P855" s="13">
        <v>37</v>
      </c>
      <c r="Q855" s="17">
        <f t="shared" si="76"/>
        <v>0.6166666666666667</v>
      </c>
      <c r="R855" s="13">
        <v>158</v>
      </c>
      <c r="S855" s="13">
        <v>60</v>
      </c>
      <c r="W855" s="13">
        <v>50.82</v>
      </c>
      <c r="X855" s="13">
        <v>9.57</v>
      </c>
      <c r="AG855" s="13" t="s">
        <v>639</v>
      </c>
      <c r="AH855" s="13">
        <v>1405.43</v>
      </c>
      <c r="AJ855" s="13">
        <v>87</v>
      </c>
      <c r="AK855" s="13">
        <v>80.400000000000006</v>
      </c>
      <c r="AL855" s="13">
        <v>92.1</v>
      </c>
      <c r="AM855" s="13">
        <v>83.3</v>
      </c>
      <c r="AN855" s="13">
        <v>75.099999999999994</v>
      </c>
      <c r="AO855" s="13">
        <v>89.4</v>
      </c>
      <c r="AP855" s="13">
        <v>0.877</v>
      </c>
      <c r="AR855" s="13">
        <v>0.82599999999999996</v>
      </c>
      <c r="AS855" s="13">
        <v>0.92900000000000005</v>
      </c>
      <c r="BY855" s="13" t="s">
        <v>512</v>
      </c>
      <c r="BZ855" s="13" t="s">
        <v>513</v>
      </c>
      <c r="CA855" s="13">
        <v>2020</v>
      </c>
      <c r="CC855" s="13" t="s">
        <v>514</v>
      </c>
      <c r="CD855" s="13">
        <v>17</v>
      </c>
      <c r="CE855" s="13">
        <v>1</v>
      </c>
      <c r="CF855" s="24">
        <v>45306</v>
      </c>
      <c r="CG855" s="13" t="s">
        <v>515</v>
      </c>
    </row>
    <row r="856" spans="1:85">
      <c r="A856" s="13" t="s">
        <v>1748</v>
      </c>
      <c r="C856" s="13" t="s">
        <v>516</v>
      </c>
      <c r="D856" s="13" t="s">
        <v>818</v>
      </c>
      <c r="E856" s="13" t="s">
        <v>852</v>
      </c>
      <c r="F856" s="13" t="s">
        <v>1022</v>
      </c>
      <c r="G856" s="13" t="s">
        <v>672</v>
      </c>
      <c r="H856" s="13" t="s">
        <v>680</v>
      </c>
      <c r="J856" s="13" t="s">
        <v>865</v>
      </c>
      <c r="K856" s="13" t="s">
        <v>3643</v>
      </c>
      <c r="L856" s="13" t="s">
        <v>585</v>
      </c>
      <c r="N856" s="13">
        <v>122</v>
      </c>
      <c r="O856" s="2">
        <f>N856/R856</f>
        <v>0.77215189873417722</v>
      </c>
      <c r="P856" s="13">
        <v>7</v>
      </c>
      <c r="Q856" s="17">
        <f t="shared" si="76"/>
        <v>0.58333333333333337</v>
      </c>
      <c r="R856" s="13">
        <v>158</v>
      </c>
      <c r="S856" s="13">
        <v>12</v>
      </c>
      <c r="W856" s="13">
        <v>50.82</v>
      </c>
      <c r="X856" s="13">
        <v>9.57</v>
      </c>
      <c r="AB856" s="13">
        <v>52.34</v>
      </c>
      <c r="AC856" s="13">
        <v>8.7799999999999994</v>
      </c>
      <c r="AG856" s="13" t="s">
        <v>639</v>
      </c>
      <c r="BB856" s="13">
        <v>22015</v>
      </c>
      <c r="BC856" s="13">
        <v>25804</v>
      </c>
      <c r="BM856" s="13">
        <v>909.4</v>
      </c>
      <c r="BN856" s="13">
        <v>934.43</v>
      </c>
      <c r="BX856" s="13" t="s">
        <v>691</v>
      </c>
      <c r="BY856" s="13" t="s">
        <v>512</v>
      </c>
      <c r="BZ856" s="13" t="s">
        <v>513</v>
      </c>
      <c r="CA856" s="13">
        <v>2020</v>
      </c>
      <c r="CC856" s="13" t="s">
        <v>514</v>
      </c>
      <c r="CD856" s="13">
        <v>17</v>
      </c>
      <c r="CE856" s="13">
        <v>1</v>
      </c>
      <c r="CF856" s="24">
        <v>45306</v>
      </c>
      <c r="CG856" s="13" t="s">
        <v>515</v>
      </c>
    </row>
    <row r="857" spans="1:85">
      <c r="A857" s="13" t="s">
        <v>1748</v>
      </c>
      <c r="C857" s="13" t="s">
        <v>516</v>
      </c>
      <c r="D857" s="13" t="s">
        <v>818</v>
      </c>
      <c r="E857" s="13" t="s">
        <v>799</v>
      </c>
      <c r="F857" s="13" t="s">
        <v>1022</v>
      </c>
      <c r="G857" s="13" t="s">
        <v>672</v>
      </c>
      <c r="H857" s="13" t="s">
        <v>680</v>
      </c>
      <c r="J857" s="13" t="s">
        <v>865</v>
      </c>
      <c r="K857" s="13" t="s">
        <v>3643</v>
      </c>
      <c r="L857" s="13" t="s">
        <v>585</v>
      </c>
      <c r="N857" s="13">
        <v>122</v>
      </c>
      <c r="O857" s="2">
        <f>N857/R857</f>
        <v>0.77215189873417722</v>
      </c>
      <c r="P857" s="13">
        <v>30</v>
      </c>
      <c r="Q857" s="17">
        <f t="shared" si="76"/>
        <v>0.625</v>
      </c>
      <c r="R857" s="13">
        <v>158</v>
      </c>
      <c r="S857" s="13">
        <v>48</v>
      </c>
      <c r="W857" s="13">
        <v>50.82</v>
      </c>
      <c r="X857" s="13">
        <v>9.57</v>
      </c>
      <c r="AB857" s="13">
        <v>42.88</v>
      </c>
      <c r="AC857" s="13">
        <v>8.25</v>
      </c>
      <c r="AG857" s="13" t="s">
        <v>639</v>
      </c>
      <c r="BB857" s="13">
        <v>22015</v>
      </c>
      <c r="BC857" s="13">
        <v>25804</v>
      </c>
      <c r="BM857" s="13">
        <v>1144</v>
      </c>
      <c r="BN857" s="13">
        <v>763.3</v>
      </c>
      <c r="BX857" s="13" t="s">
        <v>760</v>
      </c>
      <c r="BY857" s="13" t="s">
        <v>512</v>
      </c>
      <c r="BZ857" s="13" t="s">
        <v>513</v>
      </c>
      <c r="CA857" s="13">
        <v>2020</v>
      </c>
      <c r="CC857" s="13" t="s">
        <v>514</v>
      </c>
      <c r="CD857" s="13">
        <v>17</v>
      </c>
      <c r="CE857" s="13">
        <v>1</v>
      </c>
      <c r="CF857" s="24">
        <v>45306</v>
      </c>
      <c r="CG857" s="13" t="s">
        <v>515</v>
      </c>
    </row>
    <row r="858" spans="1:85">
      <c r="A858" s="13" t="s">
        <v>1748</v>
      </c>
      <c r="C858" s="13" t="s">
        <v>516</v>
      </c>
      <c r="D858" s="13" t="s">
        <v>818</v>
      </c>
      <c r="E858" s="13" t="s">
        <v>1991</v>
      </c>
      <c r="F858" s="13" t="s">
        <v>1022</v>
      </c>
      <c r="G858" s="13" t="s">
        <v>672</v>
      </c>
      <c r="H858" s="13" t="s">
        <v>1023</v>
      </c>
      <c r="J858" s="13" t="s">
        <v>865</v>
      </c>
      <c r="K858" s="13" t="s">
        <v>3643</v>
      </c>
      <c r="L858" s="13" t="s">
        <v>1025</v>
      </c>
      <c r="M858" s="13" t="s">
        <v>1024</v>
      </c>
      <c r="R858" s="13">
        <v>56</v>
      </c>
      <c r="S858" s="13">
        <v>55</v>
      </c>
      <c r="AG858" s="13" t="s">
        <v>1026</v>
      </c>
      <c r="AH858" s="13">
        <v>0.1077989</v>
      </c>
      <c r="AJ858" s="13">
        <v>80.400000000000006</v>
      </c>
      <c r="AM858" s="13">
        <v>80</v>
      </c>
      <c r="AP858" s="13">
        <v>0.88200000000000001</v>
      </c>
      <c r="AR858" s="13">
        <v>0.79200000000000004</v>
      </c>
      <c r="AS858" s="13">
        <v>0.97199999999999998</v>
      </c>
      <c r="BY858" s="13" t="s">
        <v>512</v>
      </c>
      <c r="BZ858" s="13" t="s">
        <v>513</v>
      </c>
      <c r="CA858" s="13">
        <v>2020</v>
      </c>
      <c r="CC858" s="13" t="s">
        <v>514</v>
      </c>
      <c r="CD858" s="13">
        <v>17</v>
      </c>
      <c r="CE858" s="13">
        <v>1</v>
      </c>
      <c r="CF858" s="24">
        <v>45306</v>
      </c>
      <c r="CG858" s="13" t="s">
        <v>515</v>
      </c>
    </row>
    <row r="859" spans="1:85">
      <c r="A859" s="13" t="s">
        <v>1748</v>
      </c>
      <c r="C859" s="13" t="s">
        <v>516</v>
      </c>
      <c r="D859" s="13" t="s">
        <v>818</v>
      </c>
      <c r="E859" s="13" t="s">
        <v>852</v>
      </c>
      <c r="F859" s="13" t="s">
        <v>1022</v>
      </c>
      <c r="G859" s="13" t="s">
        <v>672</v>
      </c>
      <c r="H859" s="13" t="s">
        <v>1023</v>
      </c>
      <c r="J859" s="13" t="s">
        <v>865</v>
      </c>
      <c r="K859" s="13" t="s">
        <v>3643</v>
      </c>
      <c r="L859" s="13" t="s">
        <v>1025</v>
      </c>
      <c r="M859" s="13" t="s">
        <v>1024</v>
      </c>
      <c r="R859" s="13">
        <v>56</v>
      </c>
      <c r="S859" s="13">
        <v>10</v>
      </c>
      <c r="AG859" s="13" t="s">
        <v>1026</v>
      </c>
      <c r="BB859" s="13">
        <v>1.33</v>
      </c>
      <c r="BC859" s="13">
        <v>0.2334</v>
      </c>
      <c r="BM859" s="13">
        <v>5.1490000000000001E-2</v>
      </c>
      <c r="BN859" s="13">
        <v>3.5380000000000002E-2</v>
      </c>
      <c r="BX859" s="13" t="s">
        <v>1027</v>
      </c>
      <c r="BY859" s="13" t="s">
        <v>512</v>
      </c>
      <c r="BZ859" s="13" t="s">
        <v>513</v>
      </c>
      <c r="CA859" s="13">
        <v>2020</v>
      </c>
      <c r="CC859" s="13" t="s">
        <v>514</v>
      </c>
      <c r="CD859" s="13">
        <v>17</v>
      </c>
      <c r="CE859" s="13">
        <v>1</v>
      </c>
      <c r="CF859" s="24">
        <v>45306</v>
      </c>
      <c r="CG859" s="13" t="s">
        <v>515</v>
      </c>
    </row>
    <row r="860" spans="1:85">
      <c r="A860" s="13" t="s">
        <v>1748</v>
      </c>
      <c r="C860" s="13" t="s">
        <v>516</v>
      </c>
      <c r="D860" s="13" t="s">
        <v>818</v>
      </c>
      <c r="E860" s="13" t="s">
        <v>799</v>
      </c>
      <c r="F860" s="13" t="s">
        <v>1022</v>
      </c>
      <c r="G860" s="13" t="s">
        <v>672</v>
      </c>
      <c r="H860" s="13" t="s">
        <v>1023</v>
      </c>
      <c r="J860" s="13" t="s">
        <v>865</v>
      </c>
      <c r="K860" s="13" t="s">
        <v>3643</v>
      </c>
      <c r="L860" s="13" t="s">
        <v>1025</v>
      </c>
      <c r="M860" s="13" t="s">
        <v>1024</v>
      </c>
      <c r="R860" s="13">
        <v>56</v>
      </c>
      <c r="S860" s="13">
        <v>45</v>
      </c>
      <c r="AG860" s="13" t="s">
        <v>1026</v>
      </c>
      <c r="BB860" s="13">
        <v>1.33</v>
      </c>
      <c r="BC860" s="13">
        <v>0.2334</v>
      </c>
      <c r="BM860" s="13">
        <v>8.5370000000000001E-2</v>
      </c>
      <c r="BN860" s="13">
        <v>1.7600000000000001E-2</v>
      </c>
      <c r="BX860" s="13" t="s">
        <v>760</v>
      </c>
      <c r="BY860" s="13" t="s">
        <v>512</v>
      </c>
      <c r="BZ860" s="13" t="s">
        <v>513</v>
      </c>
      <c r="CA860" s="13">
        <v>2020</v>
      </c>
      <c r="CC860" s="13" t="s">
        <v>514</v>
      </c>
      <c r="CD860" s="13">
        <v>17</v>
      </c>
      <c r="CE860" s="13">
        <v>1</v>
      </c>
      <c r="CF860" s="24">
        <v>45306</v>
      </c>
      <c r="CG860" s="13" t="s">
        <v>515</v>
      </c>
    </row>
    <row r="861" spans="1:85">
      <c r="A861" s="13" t="s">
        <v>1751</v>
      </c>
      <c r="B861" s="14" t="s">
        <v>1923</v>
      </c>
      <c r="C861" s="13" t="s">
        <v>530</v>
      </c>
      <c r="D861" s="13" t="s">
        <v>827</v>
      </c>
      <c r="E861" s="13" t="s">
        <v>799</v>
      </c>
      <c r="F861" s="13" t="s">
        <v>1030</v>
      </c>
      <c r="G861" s="13" t="s">
        <v>673</v>
      </c>
      <c r="H861" s="13" t="s">
        <v>675</v>
      </c>
      <c r="J861" s="13" t="s">
        <v>669</v>
      </c>
      <c r="K861" s="14" t="s">
        <v>2936</v>
      </c>
      <c r="L861" s="13" t="s">
        <v>652</v>
      </c>
      <c r="N861" s="13">
        <v>74</v>
      </c>
      <c r="O861" s="2">
        <f>N861/R861</f>
        <v>0.59677419354838712</v>
      </c>
      <c r="P861" s="13">
        <v>23</v>
      </c>
      <c r="Q861" s="17">
        <f>P861/S861</f>
        <v>0.46</v>
      </c>
      <c r="R861" s="13">
        <v>124</v>
      </c>
      <c r="S861" s="13">
        <v>50</v>
      </c>
      <c r="T861" s="13">
        <v>3</v>
      </c>
      <c r="U861" s="15">
        <v>2.4193548387096774E-2</v>
      </c>
      <c r="V861" s="13">
        <v>8</v>
      </c>
      <c r="Y861" s="13">
        <v>61</v>
      </c>
      <c r="AD861" s="13">
        <v>54.5</v>
      </c>
      <c r="AG861" s="13" t="s">
        <v>639</v>
      </c>
      <c r="AH861" s="13">
        <v>49</v>
      </c>
      <c r="AJ861" s="13">
        <v>89.5</v>
      </c>
      <c r="AK861" s="13">
        <v>82.7</v>
      </c>
      <c r="AL861" s="13">
        <v>94.3</v>
      </c>
      <c r="AM861" s="13">
        <v>92</v>
      </c>
      <c r="AN861" s="13">
        <v>80.8</v>
      </c>
      <c r="AO861" s="13">
        <v>97.8</v>
      </c>
      <c r="AP861" s="13">
        <v>0.97099999999999997</v>
      </c>
      <c r="AR861" s="13">
        <v>0.95</v>
      </c>
      <c r="AS861" s="13">
        <v>0.91</v>
      </c>
      <c r="BG861" s="13">
        <v>125</v>
      </c>
      <c r="BR861" s="13">
        <v>16.2</v>
      </c>
      <c r="BX861" s="13" t="s">
        <v>691</v>
      </c>
      <c r="BY861" s="13" t="s">
        <v>526</v>
      </c>
      <c r="BZ861" s="13" t="s">
        <v>527</v>
      </c>
      <c r="CA861" s="13">
        <v>2019</v>
      </c>
      <c r="CB861" s="13" t="s">
        <v>253</v>
      </c>
      <c r="CC861" s="13" t="s">
        <v>195</v>
      </c>
      <c r="CD861" s="13">
        <v>90</v>
      </c>
      <c r="CE861" s="13">
        <v>2</v>
      </c>
      <c r="CF861" s="13" t="s">
        <v>528</v>
      </c>
      <c r="CG861" s="13" t="s">
        <v>529</v>
      </c>
    </row>
    <row r="862" spans="1:85">
      <c r="A862" s="13" t="s">
        <v>1751</v>
      </c>
      <c r="B862" s="14" t="s">
        <v>1923</v>
      </c>
      <c r="C862" s="13" t="s">
        <v>530</v>
      </c>
      <c r="D862" s="13" t="s">
        <v>827</v>
      </c>
      <c r="E862" s="13" t="s">
        <v>657</v>
      </c>
      <c r="F862" s="13" t="s">
        <v>1031</v>
      </c>
      <c r="G862" s="13" t="s">
        <v>673</v>
      </c>
      <c r="H862" s="13" t="s">
        <v>675</v>
      </c>
      <c r="J862" s="13" t="s">
        <v>669</v>
      </c>
      <c r="K862" s="14" t="s">
        <v>2936</v>
      </c>
      <c r="L862" s="13" t="s">
        <v>652</v>
      </c>
      <c r="N862" s="13">
        <v>74</v>
      </c>
      <c r="O862" s="2">
        <f>N862/R862</f>
        <v>0.59677419354838712</v>
      </c>
      <c r="P862" s="13">
        <v>32</v>
      </c>
      <c r="Q862" s="17">
        <f>P862/S862</f>
        <v>0.72727272727272729</v>
      </c>
      <c r="R862" s="13">
        <v>124</v>
      </c>
      <c r="S862" s="13">
        <v>44</v>
      </c>
      <c r="T862" s="13">
        <v>3</v>
      </c>
      <c r="U862" s="15">
        <v>2.4193548387096774E-2</v>
      </c>
      <c r="V862" s="13">
        <v>8</v>
      </c>
      <c r="Y862" s="13">
        <v>61</v>
      </c>
      <c r="AD862" s="13">
        <v>59.5</v>
      </c>
      <c r="AG862" s="13" t="s">
        <v>639</v>
      </c>
      <c r="AH862" s="13">
        <v>62</v>
      </c>
      <c r="AJ862" s="13">
        <v>85.5</v>
      </c>
      <c r="AK862" s="13">
        <v>78</v>
      </c>
      <c r="AL862" s="13">
        <v>91.2</v>
      </c>
      <c r="AM862" s="13">
        <v>77.3</v>
      </c>
      <c r="AN862" s="13">
        <v>62.2</v>
      </c>
      <c r="AO862" s="13">
        <v>88.5</v>
      </c>
      <c r="AP862" s="13">
        <v>0.873</v>
      </c>
      <c r="AR862" s="13">
        <v>0.81</v>
      </c>
      <c r="AS862" s="13">
        <v>0.93500000000000005</v>
      </c>
      <c r="BG862" s="13">
        <v>125</v>
      </c>
      <c r="BR862" s="13">
        <v>27.3</v>
      </c>
      <c r="BX862" s="13" t="s">
        <v>691</v>
      </c>
      <c r="BY862" s="13" t="s">
        <v>526</v>
      </c>
      <c r="BZ862" s="13" t="s">
        <v>527</v>
      </c>
      <c r="CA862" s="13">
        <v>2019</v>
      </c>
      <c r="CB862" s="13" t="s">
        <v>253</v>
      </c>
      <c r="CC862" s="13" t="s">
        <v>195</v>
      </c>
      <c r="CD862" s="13">
        <v>90</v>
      </c>
      <c r="CE862" s="13">
        <v>2</v>
      </c>
      <c r="CF862" s="13" t="s">
        <v>528</v>
      </c>
      <c r="CG862" s="13" t="s">
        <v>529</v>
      </c>
    </row>
    <row r="863" spans="1:85">
      <c r="A863" s="13" t="s">
        <v>1751</v>
      </c>
      <c r="B863" s="14" t="s">
        <v>1923</v>
      </c>
      <c r="C863" s="13" t="s">
        <v>530</v>
      </c>
      <c r="D863" s="13" t="s">
        <v>827</v>
      </c>
      <c r="E863" s="13" t="s">
        <v>852</v>
      </c>
      <c r="F863" s="13" t="s">
        <v>1032</v>
      </c>
      <c r="G863" s="13" t="s">
        <v>673</v>
      </c>
      <c r="H863" s="13" t="s">
        <v>675</v>
      </c>
      <c r="J863" s="13" t="s">
        <v>669</v>
      </c>
      <c r="K863" s="14" t="s">
        <v>2936</v>
      </c>
      <c r="L863" s="13" t="s">
        <v>652</v>
      </c>
      <c r="N863" s="13">
        <v>74</v>
      </c>
      <c r="O863" s="2">
        <f>N863/R863</f>
        <v>0.59677419354838712</v>
      </c>
      <c r="P863" s="13">
        <f>32+23+8+11+12+4</f>
        <v>90</v>
      </c>
      <c r="Q863" s="17">
        <f>P863/S863</f>
        <v>0.56603773584905659</v>
      </c>
      <c r="R863" s="13">
        <v>124</v>
      </c>
      <c r="S863" s="13">
        <f>44+50+20+20+19+6</f>
        <v>159</v>
      </c>
      <c r="T863" s="13">
        <v>3</v>
      </c>
      <c r="U863" s="15">
        <v>2.4193548387096774E-2</v>
      </c>
      <c r="V863" s="13">
        <v>8</v>
      </c>
      <c r="Y863" s="13">
        <v>61</v>
      </c>
      <c r="AG863" s="13" t="s">
        <v>639</v>
      </c>
      <c r="AH863" s="13">
        <v>62</v>
      </c>
      <c r="AJ863" s="13">
        <v>85.5</v>
      </c>
      <c r="AK863" s="13">
        <v>78</v>
      </c>
      <c r="AL863" s="13">
        <v>91.2</v>
      </c>
      <c r="AM863" s="13">
        <v>81.8</v>
      </c>
      <c r="AN863" s="13">
        <v>74.900000000000006</v>
      </c>
      <c r="AO863" s="13">
        <v>87.4</v>
      </c>
      <c r="AP863" s="13">
        <v>0.88700000000000001</v>
      </c>
      <c r="AR863" s="13">
        <v>0.84899999999999998</v>
      </c>
      <c r="AS863" s="13">
        <v>0.92600000000000005</v>
      </c>
      <c r="BG863" s="13">
        <v>125</v>
      </c>
      <c r="BR863" s="13">
        <v>27.3</v>
      </c>
      <c r="BX863" s="13" t="s">
        <v>691</v>
      </c>
      <c r="BY863" s="13" t="s">
        <v>526</v>
      </c>
      <c r="BZ863" s="13" t="s">
        <v>527</v>
      </c>
      <c r="CA863" s="13">
        <v>2019</v>
      </c>
      <c r="CB863" s="13" t="s">
        <v>253</v>
      </c>
      <c r="CC863" s="13" t="s">
        <v>195</v>
      </c>
      <c r="CD863" s="13">
        <v>90</v>
      </c>
      <c r="CE863" s="13">
        <v>2</v>
      </c>
      <c r="CF863" s="13" t="s">
        <v>528</v>
      </c>
      <c r="CG863" s="13" t="s">
        <v>529</v>
      </c>
    </row>
    <row r="864" spans="1:85">
      <c r="A864" s="13" t="s">
        <v>1752</v>
      </c>
      <c r="B864" s="14" t="s">
        <v>1924</v>
      </c>
      <c r="C864" s="13" t="s">
        <v>533</v>
      </c>
      <c r="D864" s="13" t="s">
        <v>827</v>
      </c>
      <c r="E864" s="13" t="s">
        <v>799</v>
      </c>
      <c r="F864" s="13" t="s">
        <v>1033</v>
      </c>
      <c r="G864" s="13" t="s">
        <v>672</v>
      </c>
      <c r="H864" s="13" t="s">
        <v>686</v>
      </c>
      <c r="J864" s="13" t="s">
        <v>703</v>
      </c>
      <c r="K864" s="14" t="s">
        <v>2927</v>
      </c>
      <c r="L864" s="13" t="s">
        <v>585</v>
      </c>
      <c r="N864" s="13">
        <v>16</v>
      </c>
      <c r="O864" s="2">
        <f>N864/R864</f>
        <v>0.5714285714285714</v>
      </c>
      <c r="P864" s="13">
        <v>13</v>
      </c>
      <c r="Q864" s="17">
        <f>P864/S864</f>
        <v>0.43333333333333335</v>
      </c>
      <c r="R864" s="13">
        <v>28</v>
      </c>
      <c r="S864" s="13">
        <v>30</v>
      </c>
      <c r="Y864" s="13">
        <v>59.5</v>
      </c>
      <c r="Z864" s="13">
        <v>52</v>
      </c>
      <c r="AA864" s="13">
        <v>65.7</v>
      </c>
      <c r="AD864" s="13">
        <v>57.5</v>
      </c>
      <c r="AE864" s="13">
        <v>47.5</v>
      </c>
      <c r="AF864" s="13">
        <v>70</v>
      </c>
      <c r="AG864" s="13" t="s">
        <v>639</v>
      </c>
      <c r="AH864" s="13">
        <v>604</v>
      </c>
      <c r="AJ864" s="13">
        <v>100</v>
      </c>
      <c r="AK864" s="13">
        <v>87.9</v>
      </c>
      <c r="AL864" s="13">
        <v>100</v>
      </c>
      <c r="AM864" s="13">
        <v>96.7</v>
      </c>
      <c r="AN864" s="13">
        <v>83.3</v>
      </c>
      <c r="AO864" s="13">
        <v>99.8</v>
      </c>
      <c r="AP864" s="13">
        <v>0.996</v>
      </c>
      <c r="AR864" s="13">
        <v>0.98799999999999999</v>
      </c>
      <c r="AS864" s="13">
        <v>1</v>
      </c>
      <c r="BG864" s="13">
        <v>2366.1</v>
      </c>
      <c r="BI864" s="13">
        <v>1203.7</v>
      </c>
      <c r="BJ864" s="13">
        <v>4524.3999999999996</v>
      </c>
      <c r="BR864" s="13">
        <v>62.5</v>
      </c>
      <c r="BT864" s="13">
        <v>62.5</v>
      </c>
      <c r="BU864" s="13">
        <v>174.7</v>
      </c>
      <c r="BX864" s="13" t="s">
        <v>691</v>
      </c>
      <c r="BY864" s="13" t="s">
        <v>531</v>
      </c>
      <c r="BZ864" s="13" t="s">
        <v>532</v>
      </c>
      <c r="CA864" s="13">
        <v>2021</v>
      </c>
      <c r="CC864" s="13" t="s">
        <v>195</v>
      </c>
      <c r="CD864" s="13">
        <v>92</v>
      </c>
      <c r="CE864" s="13">
        <v>2</v>
      </c>
      <c r="CF864" s="13" t="s">
        <v>1077</v>
      </c>
      <c r="CG864" s="13" t="s">
        <v>1076</v>
      </c>
    </row>
    <row r="865" spans="1:85">
      <c r="A865" s="13" t="s">
        <v>1752</v>
      </c>
      <c r="B865" s="14" t="s">
        <v>1924</v>
      </c>
      <c r="C865" s="13" t="s">
        <v>533</v>
      </c>
      <c r="D865" s="13" t="s">
        <v>827</v>
      </c>
      <c r="E865" s="13" t="s">
        <v>799</v>
      </c>
      <c r="F865" s="13" t="s">
        <v>1033</v>
      </c>
      <c r="G865" s="13" t="s">
        <v>672</v>
      </c>
      <c r="H865" s="13" t="s">
        <v>680</v>
      </c>
      <c r="J865" s="13" t="s">
        <v>703</v>
      </c>
      <c r="K865" s="14" t="s">
        <v>2927</v>
      </c>
      <c r="L865" s="13" t="s">
        <v>585</v>
      </c>
      <c r="O865" s="2">
        <v>0.56999999999999995</v>
      </c>
      <c r="Q865" s="17">
        <v>0.43</v>
      </c>
      <c r="R865" s="13">
        <v>20</v>
      </c>
      <c r="S865" s="13">
        <v>21</v>
      </c>
      <c r="AG865" s="13" t="s">
        <v>639</v>
      </c>
      <c r="AH865" s="13">
        <v>2905</v>
      </c>
      <c r="AJ865" s="13">
        <v>95</v>
      </c>
      <c r="AK865" s="13">
        <v>76.400000000000006</v>
      </c>
      <c r="AL865" s="13">
        <v>99.7</v>
      </c>
      <c r="AM865" s="13">
        <v>90.5</v>
      </c>
      <c r="AN865" s="13">
        <v>76.400000000000006</v>
      </c>
      <c r="AO865" s="13">
        <v>99.7</v>
      </c>
      <c r="AP865" s="13">
        <v>0.98099999999999998</v>
      </c>
      <c r="AR865" s="13">
        <v>0.95</v>
      </c>
      <c r="AS865" s="13">
        <v>1</v>
      </c>
      <c r="BG865" s="13">
        <v>26622.1</v>
      </c>
      <c r="BI865" s="13">
        <v>4307.3999999999996</v>
      </c>
      <c r="BJ865" s="13">
        <v>62667.8</v>
      </c>
      <c r="BR865" s="13">
        <v>1340.4</v>
      </c>
      <c r="BT865" s="13">
        <v>703.6</v>
      </c>
      <c r="BU865" s="13">
        <v>1876.9</v>
      </c>
      <c r="BX865" s="13" t="s">
        <v>691</v>
      </c>
      <c r="BY865" s="13" t="s">
        <v>531</v>
      </c>
      <c r="BZ865" s="13" t="s">
        <v>532</v>
      </c>
      <c r="CA865" s="13">
        <v>2021</v>
      </c>
      <c r="CC865" s="13" t="s">
        <v>195</v>
      </c>
      <c r="CD865" s="13">
        <v>92</v>
      </c>
      <c r="CE865" s="13">
        <v>2</v>
      </c>
      <c r="CF865" s="13" t="s">
        <v>1077</v>
      </c>
      <c r="CG865" s="13" t="s">
        <v>1076</v>
      </c>
    </row>
    <row r="866" spans="1:85">
      <c r="A866" s="13" t="s">
        <v>1752</v>
      </c>
      <c r="B866" s="14" t="s">
        <v>1924</v>
      </c>
      <c r="C866" s="13" t="s">
        <v>533</v>
      </c>
      <c r="D866" s="13" t="s">
        <v>827</v>
      </c>
      <c r="E866" s="13" t="s">
        <v>774</v>
      </c>
      <c r="F866" s="13" t="s">
        <v>1034</v>
      </c>
      <c r="G866" s="13" t="s">
        <v>672</v>
      </c>
      <c r="H866" s="13" t="s">
        <v>686</v>
      </c>
      <c r="J866" s="13" t="s">
        <v>703</v>
      </c>
      <c r="K866" s="14" t="s">
        <v>2927</v>
      </c>
      <c r="L866" s="13" t="s">
        <v>585</v>
      </c>
      <c r="N866" s="13">
        <v>16</v>
      </c>
      <c r="O866" s="2">
        <f>N866/R866</f>
        <v>0.5714285714285714</v>
      </c>
      <c r="P866" s="13">
        <v>5</v>
      </c>
      <c r="Q866" s="17">
        <v>0.5</v>
      </c>
      <c r="R866" s="13">
        <v>28</v>
      </c>
      <c r="S866" s="13">
        <v>10</v>
      </c>
      <c r="Y866" s="13">
        <v>59.5</v>
      </c>
      <c r="Z866" s="13">
        <v>52</v>
      </c>
      <c r="AA866" s="13">
        <v>65.7</v>
      </c>
      <c r="AD866" s="13">
        <v>60.5</v>
      </c>
      <c r="AE866" s="13">
        <v>50.2</v>
      </c>
      <c r="AF866" s="13">
        <v>70.2</v>
      </c>
      <c r="AG866" s="13" t="s">
        <v>639</v>
      </c>
      <c r="AH866" s="13">
        <v>1843</v>
      </c>
      <c r="AJ866" s="13">
        <v>67.900000000000006</v>
      </c>
      <c r="AK866" s="13">
        <v>49.3</v>
      </c>
      <c r="AL866" s="13">
        <v>82.1</v>
      </c>
      <c r="AM866" s="13">
        <v>90</v>
      </c>
      <c r="AN866" s="13">
        <v>59.6</v>
      </c>
      <c r="AO866" s="13">
        <v>99.5</v>
      </c>
      <c r="AP866" s="13">
        <v>0.77100000000000002</v>
      </c>
      <c r="AR866" s="13">
        <v>0.60299999999999998</v>
      </c>
      <c r="AS866" s="13">
        <v>0.94</v>
      </c>
      <c r="BG866" s="13">
        <v>2366.1</v>
      </c>
      <c r="BI866" s="13">
        <v>1203.7</v>
      </c>
      <c r="BJ866" s="13">
        <v>4524.3999999999996</v>
      </c>
      <c r="BR866" s="13">
        <v>1172.0999999999999</v>
      </c>
      <c r="BT866" s="13">
        <v>455.9</v>
      </c>
      <c r="BU866" s="13">
        <v>1443.6</v>
      </c>
      <c r="BX866" s="13">
        <v>1.2E-2</v>
      </c>
      <c r="BY866" s="13" t="s">
        <v>531</v>
      </c>
      <c r="BZ866" s="13" t="s">
        <v>532</v>
      </c>
      <c r="CA866" s="13">
        <v>2021</v>
      </c>
      <c r="CC866" s="13" t="s">
        <v>195</v>
      </c>
      <c r="CD866" s="13">
        <v>92</v>
      </c>
      <c r="CE866" s="13">
        <v>2</v>
      </c>
      <c r="CF866" s="13" t="s">
        <v>1077</v>
      </c>
      <c r="CG866" s="13" t="s">
        <v>1076</v>
      </c>
    </row>
    <row r="867" spans="1:85">
      <c r="A867" s="13" t="s">
        <v>1752</v>
      </c>
      <c r="B867" s="14" t="s">
        <v>1924</v>
      </c>
      <c r="C867" s="13" t="s">
        <v>533</v>
      </c>
      <c r="D867" s="13" t="s">
        <v>827</v>
      </c>
      <c r="E867" s="13" t="s">
        <v>774</v>
      </c>
      <c r="F867" s="13" t="s">
        <v>1034</v>
      </c>
      <c r="G867" s="13" t="s">
        <v>672</v>
      </c>
      <c r="H867" s="13" t="s">
        <v>680</v>
      </c>
      <c r="J867" s="13" t="s">
        <v>703</v>
      </c>
      <c r="K867" s="14" t="s">
        <v>2927</v>
      </c>
      <c r="L867" s="13" t="s">
        <v>585</v>
      </c>
      <c r="O867" s="2">
        <v>0.56999999999999995</v>
      </c>
      <c r="P867" s="13">
        <v>5</v>
      </c>
      <c r="Q867" s="17">
        <v>0.5</v>
      </c>
      <c r="R867" s="13">
        <v>20</v>
      </c>
      <c r="S867" s="13">
        <v>10</v>
      </c>
      <c r="AD867" s="13">
        <v>60.5</v>
      </c>
      <c r="AE867" s="13">
        <v>50.2</v>
      </c>
      <c r="AF867" s="13">
        <v>70.2</v>
      </c>
      <c r="AG867" s="13" t="s">
        <v>639</v>
      </c>
      <c r="AH867" s="13">
        <v>28891</v>
      </c>
      <c r="AJ867" s="13">
        <v>50</v>
      </c>
      <c r="AK867" s="13">
        <v>29.9</v>
      </c>
      <c r="AL867" s="13">
        <v>70.099999999999994</v>
      </c>
      <c r="AM867" s="13">
        <v>90</v>
      </c>
      <c r="AN867" s="13">
        <v>59.6</v>
      </c>
      <c r="AO867" s="13">
        <v>99.5</v>
      </c>
      <c r="AP867" s="13">
        <v>0.74</v>
      </c>
      <c r="AR867" s="13">
        <v>0.55900000000000005</v>
      </c>
      <c r="AS867" s="13">
        <v>0.92100000000000004</v>
      </c>
      <c r="BG867" s="13">
        <v>26622.1</v>
      </c>
      <c r="BI867" s="13">
        <v>4307.3999999999996</v>
      </c>
      <c r="BJ867" s="13">
        <v>62667.8</v>
      </c>
      <c r="BR867" s="13">
        <v>6494.9</v>
      </c>
      <c r="BT867" s="13">
        <v>2171.6</v>
      </c>
      <c r="BU867" s="13">
        <v>23564.5</v>
      </c>
      <c r="BX867" s="13">
        <v>3.5000000000000003E-2</v>
      </c>
      <c r="BY867" s="13" t="s">
        <v>531</v>
      </c>
      <c r="BZ867" s="13" t="s">
        <v>532</v>
      </c>
      <c r="CA867" s="13">
        <v>2021</v>
      </c>
      <c r="CC867" s="13" t="s">
        <v>195</v>
      </c>
      <c r="CD867" s="13">
        <v>92</v>
      </c>
      <c r="CE867" s="13">
        <v>2</v>
      </c>
      <c r="CF867" s="13" t="s">
        <v>1077</v>
      </c>
      <c r="CG867" s="13" t="s">
        <v>1076</v>
      </c>
    </row>
    <row r="868" spans="1:85">
      <c r="A868" s="13" t="s">
        <v>1752</v>
      </c>
      <c r="B868" s="14" t="s">
        <v>1924</v>
      </c>
      <c r="C868" s="13" t="s">
        <v>533</v>
      </c>
      <c r="D868" s="13" t="s">
        <v>827</v>
      </c>
      <c r="E868" s="13" t="s">
        <v>774</v>
      </c>
      <c r="F868" s="13" t="s">
        <v>1034</v>
      </c>
      <c r="G868" s="13" t="s">
        <v>672</v>
      </c>
      <c r="H868" s="13" t="s">
        <v>684</v>
      </c>
      <c r="I868" s="13" t="s">
        <v>1006</v>
      </c>
      <c r="J868" s="13" t="s">
        <v>703</v>
      </c>
      <c r="K868" s="14" t="s">
        <v>2927</v>
      </c>
      <c r="L868" s="13" t="s">
        <v>585</v>
      </c>
      <c r="O868" s="2">
        <v>0.56999999999999995</v>
      </c>
      <c r="P868" s="13">
        <v>5</v>
      </c>
      <c r="Q868" s="17">
        <v>0.5</v>
      </c>
      <c r="R868" s="13">
        <v>20</v>
      </c>
      <c r="S868" s="13">
        <v>10</v>
      </c>
      <c r="AD868" s="13">
        <v>60.5</v>
      </c>
      <c r="AE868" s="13">
        <v>50.2</v>
      </c>
      <c r="AF868" s="13">
        <v>70.2</v>
      </c>
      <c r="AG868" s="13" t="s">
        <v>639</v>
      </c>
      <c r="AP868" s="13">
        <v>0.79</v>
      </c>
      <c r="AR868" s="13">
        <v>0.625</v>
      </c>
      <c r="AS868" s="13">
        <v>0.95499999999999996</v>
      </c>
      <c r="BX868" s="13">
        <v>7.0000000000000001E-3</v>
      </c>
      <c r="BY868" s="13" t="s">
        <v>531</v>
      </c>
      <c r="BZ868" s="13" t="s">
        <v>532</v>
      </c>
      <c r="CA868" s="13">
        <v>2021</v>
      </c>
      <c r="CC868" s="13" t="s">
        <v>195</v>
      </c>
      <c r="CD868" s="13">
        <v>92</v>
      </c>
      <c r="CE868" s="13">
        <v>2</v>
      </c>
      <c r="CF868" s="13" t="s">
        <v>1077</v>
      </c>
      <c r="CG868" s="13" t="s">
        <v>1076</v>
      </c>
    </row>
    <row r="869" spans="1:85">
      <c r="A869" s="13" t="s">
        <v>1749</v>
      </c>
      <c r="B869" s="14" t="s">
        <v>1921</v>
      </c>
      <c r="C869" s="13" t="s">
        <v>2930</v>
      </c>
      <c r="D869" s="13" t="s">
        <v>818</v>
      </c>
      <c r="E869" s="13" t="s">
        <v>799</v>
      </c>
      <c r="F869" s="13" t="s">
        <v>1028</v>
      </c>
      <c r="G869" s="13" t="s">
        <v>673</v>
      </c>
      <c r="H869" s="13" t="s">
        <v>675</v>
      </c>
      <c r="J869" s="13" t="s">
        <v>703</v>
      </c>
      <c r="K869" s="14" t="s">
        <v>2927</v>
      </c>
      <c r="L869" s="13" t="s">
        <v>652</v>
      </c>
      <c r="M869" s="13" t="s">
        <v>2933</v>
      </c>
      <c r="N869" s="13">
        <v>123</v>
      </c>
      <c r="O869" s="2">
        <f>N869/R869</f>
        <v>0.58851674641148322</v>
      </c>
      <c r="P869" s="13">
        <v>25</v>
      </c>
      <c r="Q869" s="17">
        <f>P869/S869</f>
        <v>0.54347826086956519</v>
      </c>
      <c r="R869" s="13">
        <v>209</v>
      </c>
      <c r="S869" s="13">
        <v>46</v>
      </c>
      <c r="T869" s="13">
        <v>28</v>
      </c>
      <c r="U869" s="15">
        <v>0.13400000000000001</v>
      </c>
      <c r="V869" s="13">
        <v>18</v>
      </c>
      <c r="Y869" s="13">
        <v>65</v>
      </c>
      <c r="Z869" s="13">
        <v>56</v>
      </c>
      <c r="AA869" s="13">
        <v>73</v>
      </c>
      <c r="AD869" s="13">
        <v>65</v>
      </c>
      <c r="AE869" s="13">
        <v>54</v>
      </c>
      <c r="AF869" s="13">
        <v>72</v>
      </c>
      <c r="AG869" s="13" t="s">
        <v>639</v>
      </c>
      <c r="AH869" s="13">
        <v>27.3</v>
      </c>
      <c r="AJ869" s="13">
        <v>95.7</v>
      </c>
      <c r="AK869" s="13">
        <v>92</v>
      </c>
      <c r="AL869" s="13">
        <v>97.7</v>
      </c>
      <c r="AM869" s="13">
        <v>95.6</v>
      </c>
      <c r="AN869" s="13">
        <v>85.5</v>
      </c>
      <c r="AO869" s="13">
        <v>99.2</v>
      </c>
      <c r="AP869" s="13">
        <v>0.96940000000000004</v>
      </c>
      <c r="AR869" s="13">
        <v>0.9395</v>
      </c>
      <c r="AS869" s="13">
        <v>0.99929999999999997</v>
      </c>
      <c r="BG869" s="13">
        <v>83.6</v>
      </c>
      <c r="BI869" s="13">
        <v>50.1</v>
      </c>
      <c r="BJ869" s="13">
        <v>132.6</v>
      </c>
      <c r="BR869" s="13">
        <v>14.5</v>
      </c>
      <c r="BX869" s="13" t="s">
        <v>701</v>
      </c>
      <c r="BY869" s="13" t="s">
        <v>517</v>
      </c>
      <c r="BZ869" s="13" t="s">
        <v>518</v>
      </c>
      <c r="CA869" s="13">
        <v>2023</v>
      </c>
      <c r="CB869" s="13" t="s">
        <v>25</v>
      </c>
      <c r="CC869" s="13" t="s">
        <v>519</v>
      </c>
      <c r="CD869" s="13">
        <v>15</v>
      </c>
      <c r="CG869" s="13" t="s">
        <v>520</v>
      </c>
    </row>
    <row r="870" spans="1:85">
      <c r="A870" s="13" t="s">
        <v>1749</v>
      </c>
      <c r="B870" s="14" t="s">
        <v>1921</v>
      </c>
      <c r="C870" s="13" t="s">
        <v>2930</v>
      </c>
      <c r="D870" s="13" t="s">
        <v>818</v>
      </c>
      <c r="E870" s="13" t="s">
        <v>774</v>
      </c>
      <c r="F870" s="13" t="s">
        <v>1028</v>
      </c>
      <c r="G870" s="13" t="s">
        <v>673</v>
      </c>
      <c r="H870" s="13" t="s">
        <v>675</v>
      </c>
      <c r="J870" s="13" t="s">
        <v>703</v>
      </c>
      <c r="K870" s="14" t="s">
        <v>2927</v>
      </c>
      <c r="L870" s="13" t="s">
        <v>652</v>
      </c>
      <c r="M870" s="13" t="s">
        <v>2933</v>
      </c>
      <c r="R870" s="13">
        <v>96</v>
      </c>
      <c r="S870" s="13">
        <v>15</v>
      </c>
      <c r="AG870" s="13" t="s">
        <v>639</v>
      </c>
      <c r="AH870" s="13">
        <v>62.2</v>
      </c>
      <c r="AJ870" s="13">
        <v>66.7</v>
      </c>
      <c r="AK870" s="13">
        <v>41.7</v>
      </c>
      <c r="AL870" s="13">
        <v>84.8</v>
      </c>
      <c r="AM870" s="13">
        <v>72.900000000000006</v>
      </c>
      <c r="AN870" s="13">
        <v>63.3</v>
      </c>
      <c r="AO870" s="13">
        <v>80.8</v>
      </c>
      <c r="AP870" s="13">
        <v>0.71009999999999995</v>
      </c>
      <c r="AR870" s="13">
        <v>0.57640000000000002</v>
      </c>
      <c r="AS870" s="13">
        <v>0.84370000000000001</v>
      </c>
      <c r="BG870" s="13">
        <v>88.6</v>
      </c>
      <c r="BR870" s="13">
        <v>61.2</v>
      </c>
      <c r="BX870" s="13">
        <v>8.2000000000000007E-3</v>
      </c>
      <c r="BY870" s="13" t="s">
        <v>517</v>
      </c>
      <c r="BZ870" s="13" t="s">
        <v>518</v>
      </c>
      <c r="CA870" s="13">
        <v>2023</v>
      </c>
      <c r="CB870" s="13" t="s">
        <v>25</v>
      </c>
      <c r="CC870" s="13" t="s">
        <v>519</v>
      </c>
      <c r="CD870" s="13">
        <v>15</v>
      </c>
      <c r="CG870" s="13" t="s">
        <v>520</v>
      </c>
    </row>
    <row r="871" spans="1:85">
      <c r="A871" s="13" t="s">
        <v>1750</v>
      </c>
      <c r="B871" s="14" t="s">
        <v>1922</v>
      </c>
      <c r="C871" s="13" t="s">
        <v>2931</v>
      </c>
      <c r="D871" s="13" t="s">
        <v>818</v>
      </c>
      <c r="E871" s="13" t="s">
        <v>799</v>
      </c>
      <c r="F871" s="13" t="s">
        <v>1029</v>
      </c>
      <c r="G871" s="13" t="s">
        <v>673</v>
      </c>
      <c r="H871" s="13" t="s">
        <v>758</v>
      </c>
      <c r="J871" s="13" t="s">
        <v>703</v>
      </c>
      <c r="K871" s="14" t="s">
        <v>2927</v>
      </c>
      <c r="L871" s="13" t="s">
        <v>652</v>
      </c>
      <c r="N871" s="13">
        <v>71</v>
      </c>
      <c r="O871" s="2">
        <f>N871/R871</f>
        <v>0.6228070175438597</v>
      </c>
      <c r="P871" s="13">
        <v>24</v>
      </c>
      <c r="Q871" s="17">
        <f>P871/S871</f>
        <v>0.63157894736842102</v>
      </c>
      <c r="R871" s="13">
        <v>114</v>
      </c>
      <c r="S871" s="13">
        <v>38</v>
      </c>
      <c r="T871" s="13">
        <v>23</v>
      </c>
      <c r="U871" s="15">
        <v>0.20175438596491227</v>
      </c>
      <c r="V871" s="13">
        <v>12</v>
      </c>
      <c r="Y871" s="13">
        <v>66</v>
      </c>
      <c r="Z871" s="13">
        <v>56</v>
      </c>
      <c r="AA871" s="13">
        <v>72</v>
      </c>
      <c r="AD871" s="13">
        <v>62.5</v>
      </c>
      <c r="AG871" s="13" t="s">
        <v>639</v>
      </c>
      <c r="AH871" s="13">
        <v>103.3</v>
      </c>
      <c r="AJ871" s="13">
        <v>61.4</v>
      </c>
      <c r="AK871" s="13">
        <v>52.23</v>
      </c>
      <c r="AL871" s="13">
        <v>69.83</v>
      </c>
      <c r="AM871" s="13">
        <v>63.16</v>
      </c>
      <c r="AN871" s="13">
        <v>47.28</v>
      </c>
      <c r="AO871" s="13">
        <v>76.62</v>
      </c>
      <c r="AP871" s="13">
        <v>0.61980000000000002</v>
      </c>
      <c r="AR871" s="13">
        <v>0.51990000000000003</v>
      </c>
      <c r="AS871" s="13">
        <v>0.7198</v>
      </c>
      <c r="BG871" s="13">
        <v>117</v>
      </c>
      <c r="BI871" s="13">
        <v>82.4</v>
      </c>
      <c r="BJ871" s="13">
        <v>172</v>
      </c>
      <c r="BR871" s="13">
        <v>92.1</v>
      </c>
      <c r="BX871" s="13">
        <v>2.69E-2</v>
      </c>
      <c r="BY871" s="13" t="s">
        <v>521</v>
      </c>
      <c r="BZ871" s="13" t="s">
        <v>522</v>
      </c>
      <c r="CA871" s="13">
        <v>2023</v>
      </c>
      <c r="CB871" s="13" t="s">
        <v>73</v>
      </c>
      <c r="CC871" s="13" t="s">
        <v>523</v>
      </c>
      <c r="CD871" s="13">
        <v>10</v>
      </c>
      <c r="CE871" s="13">
        <v>1</v>
      </c>
      <c r="CF871" s="13" t="s">
        <v>524</v>
      </c>
      <c r="CG871" s="13" t="s">
        <v>525</v>
      </c>
    </row>
    <row r="872" spans="1:85">
      <c r="A872" s="13" t="s">
        <v>3425</v>
      </c>
      <c r="B872" s="16"/>
      <c r="C872" s="13" t="s">
        <v>4170</v>
      </c>
      <c r="D872" s="14" t="s">
        <v>4175</v>
      </c>
      <c r="E872" s="13" t="s">
        <v>4169</v>
      </c>
      <c r="F872" s="13" t="s">
        <v>3974</v>
      </c>
      <c r="G872" s="13" t="s">
        <v>672</v>
      </c>
      <c r="H872" s="13" t="s">
        <v>686</v>
      </c>
      <c r="J872" s="14" t="s">
        <v>669</v>
      </c>
      <c r="K872" s="14" t="s">
        <v>3972</v>
      </c>
      <c r="L872" s="13" t="s">
        <v>585</v>
      </c>
      <c r="M872" s="13" t="s">
        <v>3975</v>
      </c>
      <c r="N872" s="13">
        <v>41</v>
      </c>
      <c r="O872" s="2">
        <f>N872/R872</f>
        <v>0.53246753246753242</v>
      </c>
      <c r="P872" s="13">
        <v>18</v>
      </c>
      <c r="Q872" s="17">
        <f>P872/S872</f>
        <v>0.69230769230769229</v>
      </c>
      <c r="R872" s="13">
        <v>77</v>
      </c>
      <c r="S872" s="13">
        <v>26</v>
      </c>
      <c r="V872" s="13">
        <v>7</v>
      </c>
      <c r="Y872" s="13">
        <v>63</v>
      </c>
      <c r="Z872" s="13">
        <v>56</v>
      </c>
      <c r="AA872" s="13">
        <v>75.5</v>
      </c>
      <c r="AD872" s="13">
        <v>64</v>
      </c>
      <c r="AE872" s="13">
        <v>59</v>
      </c>
      <c r="AF872" s="13">
        <v>72</v>
      </c>
      <c r="AG872" s="13" t="s">
        <v>639</v>
      </c>
      <c r="AH872" s="13">
        <v>569</v>
      </c>
      <c r="AI872" s="13" t="s">
        <v>3766</v>
      </c>
      <c r="AJ872" s="13">
        <v>92.2</v>
      </c>
      <c r="AM872" s="13">
        <v>76.900000000000006</v>
      </c>
      <c r="AP872" s="13">
        <v>0.9</v>
      </c>
      <c r="BG872" s="13">
        <v>2304</v>
      </c>
      <c r="BI872" s="13">
        <v>1041</v>
      </c>
      <c r="BJ872" s="13">
        <v>3827</v>
      </c>
      <c r="BR872" s="13">
        <v>417.5</v>
      </c>
      <c r="BT872" s="13">
        <v>215</v>
      </c>
      <c r="BU872" s="13">
        <v>591</v>
      </c>
      <c r="BX872" s="13" t="s">
        <v>691</v>
      </c>
      <c r="BY872" s="13" t="s">
        <v>3606</v>
      </c>
      <c r="BZ872" s="13" t="s">
        <v>3607</v>
      </c>
      <c r="CA872" s="13">
        <v>2024</v>
      </c>
      <c r="CC872" s="13" t="s">
        <v>135</v>
      </c>
      <c r="CD872" s="13">
        <v>6</v>
      </c>
      <c r="CE872" s="13">
        <v>5</v>
      </c>
      <c r="CF872" s="13" t="s">
        <v>3608</v>
      </c>
      <c r="CG872" s="13" t="s">
        <v>3280</v>
      </c>
    </row>
    <row r="873" spans="1:85">
      <c r="A873" s="13" t="s">
        <v>3425</v>
      </c>
      <c r="B873" s="16"/>
      <c r="C873" s="13" t="s">
        <v>4170</v>
      </c>
      <c r="D873" s="14" t="s">
        <v>4175</v>
      </c>
      <c r="E873" s="13" t="s">
        <v>4169</v>
      </c>
      <c r="F873" s="13" t="s">
        <v>3974</v>
      </c>
      <c r="G873" s="13" t="s">
        <v>672</v>
      </c>
      <c r="H873" s="13" t="s">
        <v>675</v>
      </c>
      <c r="J873" s="14" t="s">
        <v>669</v>
      </c>
      <c r="K873" s="14" t="s">
        <v>3972</v>
      </c>
      <c r="L873" s="13" t="s">
        <v>585</v>
      </c>
      <c r="M873" s="13" t="s">
        <v>3973</v>
      </c>
      <c r="O873" s="2">
        <v>0.53200000000000003</v>
      </c>
      <c r="Q873" s="17">
        <v>0.69199999999999995</v>
      </c>
      <c r="R873" s="13">
        <v>64</v>
      </c>
      <c r="S873" s="13">
        <v>24</v>
      </c>
      <c r="Y873" s="13">
        <v>63</v>
      </c>
      <c r="Z873" s="13">
        <v>56</v>
      </c>
      <c r="AA873" s="13">
        <v>75.5</v>
      </c>
      <c r="AD873" s="13">
        <v>64</v>
      </c>
      <c r="AE873" s="13">
        <v>59</v>
      </c>
      <c r="AF873" s="13">
        <v>72</v>
      </c>
      <c r="AG873" s="13" t="s">
        <v>639</v>
      </c>
      <c r="AH873" s="13">
        <v>1875</v>
      </c>
      <c r="AI873" s="13" t="s">
        <v>3766</v>
      </c>
      <c r="AJ873" s="13">
        <v>84.4</v>
      </c>
      <c r="AM873" s="13">
        <v>75</v>
      </c>
      <c r="AP873" s="13">
        <v>0.83599999999999997</v>
      </c>
      <c r="BG873" s="13">
        <v>6003</v>
      </c>
      <c r="BI873" s="13">
        <v>2288</v>
      </c>
      <c r="BJ873" s="13">
        <v>8217</v>
      </c>
      <c r="BR873" s="13">
        <v>1199</v>
      </c>
      <c r="BT873" s="13">
        <v>816</v>
      </c>
      <c r="BU873" s="13">
        <v>2364</v>
      </c>
      <c r="BX873" s="13" t="s">
        <v>691</v>
      </c>
      <c r="BY873" s="13" t="s">
        <v>3606</v>
      </c>
      <c r="BZ873" s="13" t="s">
        <v>3607</v>
      </c>
      <c r="CA873" s="13">
        <v>2024</v>
      </c>
      <c r="CC873" s="13" t="s">
        <v>135</v>
      </c>
      <c r="CD873" s="13">
        <v>6</v>
      </c>
      <c r="CE873" s="13">
        <v>5</v>
      </c>
      <c r="CF873" s="13" t="s">
        <v>3608</v>
      </c>
      <c r="CG873" s="13" t="s">
        <v>3280</v>
      </c>
    </row>
    <row r="874" spans="1:85">
      <c r="A874" s="13" t="s">
        <v>3425</v>
      </c>
      <c r="B874" s="16"/>
      <c r="C874" s="13" t="s">
        <v>4170</v>
      </c>
      <c r="D874" s="14" t="s">
        <v>4175</v>
      </c>
      <c r="E874" s="13" t="s">
        <v>4169</v>
      </c>
      <c r="F874" s="13" t="s">
        <v>3974</v>
      </c>
      <c r="G874" s="13" t="s">
        <v>673</v>
      </c>
      <c r="H874" s="13" t="s">
        <v>3976</v>
      </c>
      <c r="J874" s="14" t="s">
        <v>669</v>
      </c>
      <c r="K874" s="14" t="s">
        <v>3972</v>
      </c>
      <c r="L874" s="13" t="s">
        <v>3978</v>
      </c>
      <c r="M874" s="13" t="s">
        <v>3977</v>
      </c>
      <c r="O874" s="2">
        <v>0.53200000000000003</v>
      </c>
      <c r="Q874" s="17">
        <v>0.69199999999999995</v>
      </c>
      <c r="R874" s="13">
        <v>49</v>
      </c>
      <c r="S874" s="13">
        <v>23</v>
      </c>
      <c r="Y874" s="13">
        <v>63</v>
      </c>
      <c r="Z874" s="13">
        <v>56</v>
      </c>
      <c r="AA874" s="13">
        <v>75.5</v>
      </c>
      <c r="AD874" s="13">
        <v>64</v>
      </c>
      <c r="AE874" s="13">
        <v>59</v>
      </c>
      <c r="AF874" s="13">
        <v>72</v>
      </c>
      <c r="AG874" s="13" t="s">
        <v>2773</v>
      </c>
      <c r="AH874" s="13">
        <v>53</v>
      </c>
      <c r="AI874" s="13" t="s">
        <v>3766</v>
      </c>
      <c r="AJ874" s="13">
        <v>67.400000000000006</v>
      </c>
      <c r="AM874" s="13">
        <v>82.6</v>
      </c>
      <c r="AP874" s="13">
        <v>0.74099999999999999</v>
      </c>
      <c r="BG874" s="13">
        <v>63.2</v>
      </c>
      <c r="BI874" s="13">
        <v>38.6</v>
      </c>
      <c r="BJ874" s="13">
        <v>108</v>
      </c>
      <c r="BR874" s="13">
        <v>29.3</v>
      </c>
      <c r="BT874" s="13">
        <v>24.8</v>
      </c>
      <c r="BU874" s="13">
        <v>47.6</v>
      </c>
      <c r="BX874" s="13">
        <v>8.0000000000000004E-4</v>
      </c>
      <c r="BY874" s="13" t="s">
        <v>3606</v>
      </c>
      <c r="BZ874" s="13" t="s">
        <v>3607</v>
      </c>
      <c r="CA874" s="13">
        <v>2024</v>
      </c>
      <c r="CC874" s="13" t="s">
        <v>135</v>
      </c>
      <c r="CD874" s="13">
        <v>6</v>
      </c>
      <c r="CE874" s="13">
        <v>5</v>
      </c>
      <c r="CF874" s="13" t="s">
        <v>3608</v>
      </c>
      <c r="CG874" s="13" t="s">
        <v>3280</v>
      </c>
    </row>
    <row r="875" spans="1:85">
      <c r="A875" s="13" t="s">
        <v>3425</v>
      </c>
      <c r="B875" s="16"/>
      <c r="C875" s="13" t="s">
        <v>4170</v>
      </c>
      <c r="D875" s="14" t="s">
        <v>4175</v>
      </c>
      <c r="E875" s="13" t="s">
        <v>4169</v>
      </c>
      <c r="F875" s="13" t="s">
        <v>3974</v>
      </c>
      <c r="G875" s="13" t="s">
        <v>673</v>
      </c>
      <c r="H875" s="13" t="s">
        <v>707</v>
      </c>
      <c r="J875" s="14" t="s">
        <v>669</v>
      </c>
      <c r="K875" s="14" t="s">
        <v>3972</v>
      </c>
      <c r="L875" s="13" t="s">
        <v>3978</v>
      </c>
      <c r="M875" s="13" t="s">
        <v>3977</v>
      </c>
      <c r="O875" s="2">
        <v>0.53200000000000003</v>
      </c>
      <c r="Q875" s="17">
        <v>0.69199999999999995</v>
      </c>
      <c r="R875" s="13">
        <v>56</v>
      </c>
      <c r="S875" s="13">
        <v>23</v>
      </c>
      <c r="Y875" s="13">
        <v>63</v>
      </c>
      <c r="Z875" s="13">
        <v>56</v>
      </c>
      <c r="AA875" s="13">
        <v>75.5</v>
      </c>
      <c r="AD875" s="13">
        <v>64</v>
      </c>
      <c r="AE875" s="13">
        <v>59</v>
      </c>
      <c r="AF875" s="13">
        <v>72</v>
      </c>
      <c r="AG875" s="13" t="s">
        <v>708</v>
      </c>
      <c r="AH875" s="13">
        <v>15</v>
      </c>
      <c r="AI875" s="13" t="s">
        <v>3766</v>
      </c>
      <c r="AJ875" s="13">
        <v>64.3</v>
      </c>
      <c r="AM875" s="13">
        <v>78.3</v>
      </c>
      <c r="AP875" s="13">
        <v>0.76</v>
      </c>
      <c r="BG875" s="13">
        <v>18.5</v>
      </c>
      <c r="BI875" s="13">
        <v>11.3</v>
      </c>
      <c r="BJ875" s="13">
        <v>35.799999999999997</v>
      </c>
      <c r="BR875" s="13">
        <v>10</v>
      </c>
      <c r="BT875" s="13">
        <v>6</v>
      </c>
      <c r="BU875" s="13">
        <v>14</v>
      </c>
      <c r="BX875" s="13">
        <v>2.0000000000000001E-4</v>
      </c>
      <c r="BY875" s="13" t="s">
        <v>3606</v>
      </c>
      <c r="BZ875" s="13" t="s">
        <v>3607</v>
      </c>
      <c r="CA875" s="13">
        <v>2024</v>
      </c>
      <c r="CC875" s="13" t="s">
        <v>135</v>
      </c>
      <c r="CD875" s="13">
        <v>6</v>
      </c>
      <c r="CE875" s="13">
        <v>5</v>
      </c>
      <c r="CF875" s="13" t="s">
        <v>3608</v>
      </c>
      <c r="CG875" s="13" t="s">
        <v>3280</v>
      </c>
    </row>
    <row r="876" spans="1:85">
      <c r="A876" s="13" t="s">
        <v>3425</v>
      </c>
      <c r="B876" s="16"/>
      <c r="C876" s="13" t="s">
        <v>4170</v>
      </c>
      <c r="D876" s="14" t="s">
        <v>4175</v>
      </c>
      <c r="E876" s="13" t="s">
        <v>4169</v>
      </c>
      <c r="F876" s="13" t="s">
        <v>3974</v>
      </c>
      <c r="G876" s="13" t="s">
        <v>673</v>
      </c>
      <c r="H876" s="13" t="s">
        <v>2198</v>
      </c>
      <c r="J876" s="14" t="s">
        <v>669</v>
      </c>
      <c r="K876" s="14" t="s">
        <v>3972</v>
      </c>
      <c r="L876" s="13" t="s">
        <v>3978</v>
      </c>
      <c r="M876" s="13" t="s">
        <v>3977</v>
      </c>
      <c r="O876" s="2">
        <v>0.53200000000000003</v>
      </c>
      <c r="Q876" s="17">
        <v>0.69199999999999995</v>
      </c>
      <c r="R876" s="13">
        <v>70</v>
      </c>
      <c r="S876" s="13">
        <v>23</v>
      </c>
      <c r="Y876" s="13">
        <v>63</v>
      </c>
      <c r="Z876" s="13">
        <v>56</v>
      </c>
      <c r="AA876" s="13">
        <v>75.5</v>
      </c>
      <c r="AD876" s="13">
        <v>64</v>
      </c>
      <c r="AE876" s="13">
        <v>59</v>
      </c>
      <c r="AF876" s="13">
        <v>72</v>
      </c>
      <c r="AG876" s="13" t="s">
        <v>3979</v>
      </c>
      <c r="BG876" s="13">
        <v>146.4</v>
      </c>
      <c r="BI876" s="13">
        <v>80</v>
      </c>
      <c r="BJ876" s="13">
        <v>347.9</v>
      </c>
      <c r="BR876" s="13">
        <v>103.2</v>
      </c>
      <c r="BT876" s="13">
        <v>68.400000000000006</v>
      </c>
      <c r="BU876" s="13">
        <v>184.8</v>
      </c>
      <c r="BX876" s="13">
        <v>0.23499999999999999</v>
      </c>
      <c r="BY876" s="13" t="s">
        <v>3606</v>
      </c>
      <c r="BZ876" s="13" t="s">
        <v>3607</v>
      </c>
      <c r="CA876" s="13">
        <v>2024</v>
      </c>
      <c r="CC876" s="13" t="s">
        <v>135</v>
      </c>
      <c r="CD876" s="13">
        <v>6</v>
      </c>
      <c r="CE876" s="13">
        <v>5</v>
      </c>
      <c r="CF876" s="13" t="s">
        <v>3608</v>
      </c>
      <c r="CG876" s="13" t="s">
        <v>3280</v>
      </c>
    </row>
    <row r="877" spans="1:85">
      <c r="A877" s="13" t="s">
        <v>3425</v>
      </c>
      <c r="B877" s="16"/>
      <c r="C877" s="13" t="s">
        <v>4170</v>
      </c>
      <c r="D877" s="14" t="s">
        <v>4175</v>
      </c>
      <c r="E877" s="13" t="s">
        <v>4169</v>
      </c>
      <c r="F877" s="13" t="s">
        <v>3974</v>
      </c>
      <c r="G877" s="13" t="s">
        <v>673</v>
      </c>
      <c r="H877" s="13" t="s">
        <v>2337</v>
      </c>
      <c r="J877" s="14" t="s">
        <v>669</v>
      </c>
      <c r="K877" s="14" t="s">
        <v>3972</v>
      </c>
      <c r="L877" s="13" t="s">
        <v>3978</v>
      </c>
      <c r="M877" s="13" t="s">
        <v>3977</v>
      </c>
      <c r="O877" s="2">
        <v>0.53200000000000003</v>
      </c>
      <c r="P877" s="13">
        <v>18</v>
      </c>
      <c r="Q877" s="17">
        <f>P877/S877</f>
        <v>0.69230769230769229</v>
      </c>
      <c r="R877" s="13">
        <v>70</v>
      </c>
      <c r="S877" s="13">
        <v>26</v>
      </c>
      <c r="Y877" s="13">
        <v>63</v>
      </c>
      <c r="Z877" s="13">
        <v>56</v>
      </c>
      <c r="AA877" s="13">
        <v>75.5</v>
      </c>
      <c r="AD877" s="13">
        <v>64</v>
      </c>
      <c r="AE877" s="13">
        <v>59</v>
      </c>
      <c r="AF877" s="13">
        <v>72</v>
      </c>
      <c r="AG877" s="13" t="s">
        <v>2376</v>
      </c>
      <c r="BG877" s="13">
        <v>68</v>
      </c>
      <c r="BI877" s="13">
        <v>59</v>
      </c>
      <c r="BJ877" s="13">
        <v>78</v>
      </c>
      <c r="BR877" s="13">
        <v>72.5</v>
      </c>
      <c r="BT877" s="13">
        <v>64.8</v>
      </c>
      <c r="BU877" s="13">
        <v>84</v>
      </c>
      <c r="BX877" s="13">
        <v>5.6000000000000001E-2</v>
      </c>
      <c r="BY877" s="13" t="s">
        <v>3606</v>
      </c>
      <c r="BZ877" s="13" t="s">
        <v>3607</v>
      </c>
      <c r="CA877" s="13">
        <v>2024</v>
      </c>
      <c r="CC877" s="13" t="s">
        <v>135</v>
      </c>
      <c r="CD877" s="13">
        <v>6</v>
      </c>
      <c r="CE877" s="13">
        <v>5</v>
      </c>
      <c r="CF877" s="13" t="s">
        <v>3608</v>
      </c>
      <c r="CG877" s="13" t="s">
        <v>3280</v>
      </c>
    </row>
    <row r="878" spans="1:85">
      <c r="A878" s="13" t="s">
        <v>1753</v>
      </c>
      <c r="C878" s="13" t="s">
        <v>537</v>
      </c>
      <c r="D878" s="16" t="s">
        <v>4179</v>
      </c>
      <c r="U878" s="13"/>
      <c r="BY878" s="13" t="s">
        <v>534</v>
      </c>
      <c r="BZ878" s="13" t="s">
        <v>535</v>
      </c>
      <c r="CA878" s="13">
        <v>2019</v>
      </c>
      <c r="CC878" s="13" t="s">
        <v>416</v>
      </c>
      <c r="CD878" s="13">
        <v>10</v>
      </c>
      <c r="CF878" s="13">
        <v>400</v>
      </c>
      <c r="CG878" s="13" t="s">
        <v>536</v>
      </c>
    </row>
    <row r="879" spans="1:85">
      <c r="A879" s="13" t="s">
        <v>2021</v>
      </c>
      <c r="B879" s="13" t="s">
        <v>2021</v>
      </c>
      <c r="C879" s="13" t="s">
        <v>2022</v>
      </c>
      <c r="D879" s="14" t="s">
        <v>830</v>
      </c>
      <c r="E879" s="13" t="s">
        <v>630</v>
      </c>
      <c r="F879" s="13" t="s">
        <v>2942</v>
      </c>
      <c r="G879" s="13" t="s">
        <v>2938</v>
      </c>
      <c r="H879" s="13" t="s">
        <v>2941</v>
      </c>
      <c r="J879" s="14" t="s">
        <v>703</v>
      </c>
      <c r="K879" s="14" t="s">
        <v>2937</v>
      </c>
      <c r="L879" s="13" t="s">
        <v>2943</v>
      </c>
      <c r="N879" s="13">
        <v>39</v>
      </c>
      <c r="O879" s="2">
        <f t="shared" ref="O879:O900" si="77">N879/R879</f>
        <v>0.63934426229508201</v>
      </c>
      <c r="R879" s="13">
        <v>61</v>
      </c>
      <c r="S879" s="13">
        <v>30</v>
      </c>
      <c r="W879" s="13">
        <v>62.88</v>
      </c>
      <c r="X879" s="13">
        <v>12.6</v>
      </c>
      <c r="BY879" s="13" t="s">
        <v>2099</v>
      </c>
      <c r="BZ879" s="13" t="s">
        <v>2100</v>
      </c>
      <c r="CA879" s="13">
        <v>2024</v>
      </c>
      <c r="CB879" s="13" t="s">
        <v>12</v>
      </c>
      <c r="CC879" s="13" t="s">
        <v>1080</v>
      </c>
      <c r="CD879" s="13">
        <v>14</v>
      </c>
      <c r="CE879" s="13">
        <v>6</v>
      </c>
      <c r="CG879" s="13" t="s">
        <v>2101</v>
      </c>
    </row>
    <row r="880" spans="1:85">
      <c r="A880" s="13" t="s">
        <v>1925</v>
      </c>
      <c r="B880" s="13" t="s">
        <v>1925</v>
      </c>
      <c r="C880" s="14" t="s">
        <v>1560</v>
      </c>
      <c r="D880" s="14" t="s">
        <v>2371</v>
      </c>
      <c r="E880" s="13" t="s">
        <v>963</v>
      </c>
      <c r="F880" s="13" t="s">
        <v>2947</v>
      </c>
      <c r="G880" s="13" t="s">
        <v>672</v>
      </c>
      <c r="H880" s="13" t="s">
        <v>680</v>
      </c>
      <c r="J880" s="14" t="s">
        <v>584</v>
      </c>
      <c r="K880" s="14" t="s">
        <v>2944</v>
      </c>
      <c r="L880" s="14" t="s">
        <v>585</v>
      </c>
      <c r="N880" s="13">
        <v>70</v>
      </c>
      <c r="O880" s="2">
        <f t="shared" si="77"/>
        <v>0.59322033898305082</v>
      </c>
      <c r="P880" s="13">
        <v>22</v>
      </c>
      <c r="Q880" s="17">
        <f t="shared" ref="Q880:Q900" si="78">P880/S880</f>
        <v>0.53658536585365857</v>
      </c>
      <c r="R880" s="13">
        <v>118</v>
      </c>
      <c r="S880" s="13">
        <v>41</v>
      </c>
      <c r="V880" s="13">
        <v>15</v>
      </c>
      <c r="W880" s="13">
        <v>57</v>
      </c>
      <c r="X880" s="13">
        <v>10</v>
      </c>
      <c r="AG880" s="13" t="s">
        <v>639</v>
      </c>
      <c r="AH880" s="13">
        <v>6.24</v>
      </c>
      <c r="AJ880" s="13">
        <v>63.6</v>
      </c>
      <c r="AK880" s="13">
        <v>54.2</v>
      </c>
      <c r="AL880" s="13">
        <v>72.2</v>
      </c>
      <c r="AM880" s="13">
        <v>97.4</v>
      </c>
      <c r="AN880" s="13">
        <v>86.2</v>
      </c>
      <c r="AO880" s="13">
        <v>99.9</v>
      </c>
      <c r="AP880" s="13">
        <v>0.84830000000000005</v>
      </c>
      <c r="BY880" s="13" t="s">
        <v>1556</v>
      </c>
      <c r="BZ880" s="13" t="s">
        <v>1557</v>
      </c>
      <c r="CA880" s="13">
        <v>2020</v>
      </c>
      <c r="CB880" s="13" t="s">
        <v>188</v>
      </c>
      <c r="CC880" s="13" t="s">
        <v>195</v>
      </c>
      <c r="CD880" s="13">
        <v>91</v>
      </c>
      <c r="CE880" s="13">
        <v>4</v>
      </c>
      <c r="CF880" s="13" t="s">
        <v>1558</v>
      </c>
      <c r="CG880" s="13" t="s">
        <v>1559</v>
      </c>
    </row>
    <row r="881" spans="1:85">
      <c r="A881" s="13" t="s">
        <v>1925</v>
      </c>
      <c r="B881" s="13" t="s">
        <v>1925</v>
      </c>
      <c r="C881" s="14" t="s">
        <v>1560</v>
      </c>
      <c r="D881" s="14" t="s">
        <v>2371</v>
      </c>
      <c r="E881" s="13" t="s">
        <v>963</v>
      </c>
      <c r="F881" s="13" t="s">
        <v>2947</v>
      </c>
      <c r="G881" s="13" t="s">
        <v>672</v>
      </c>
      <c r="H881" s="13" t="s">
        <v>679</v>
      </c>
      <c r="J881" s="14" t="s">
        <v>584</v>
      </c>
      <c r="K881" s="14" t="s">
        <v>2944</v>
      </c>
      <c r="L881" s="14" t="s">
        <v>585</v>
      </c>
      <c r="N881" s="13">
        <v>70</v>
      </c>
      <c r="O881" s="2">
        <f t="shared" si="77"/>
        <v>0.59322033898305082</v>
      </c>
      <c r="P881" s="13">
        <v>22</v>
      </c>
      <c r="Q881" s="17">
        <f t="shared" si="78"/>
        <v>0.53658536585365857</v>
      </c>
      <c r="R881" s="13">
        <v>118</v>
      </c>
      <c r="S881" s="13">
        <v>41</v>
      </c>
      <c r="V881" s="13">
        <v>15</v>
      </c>
      <c r="W881" s="13">
        <v>57</v>
      </c>
      <c r="X881" s="13">
        <v>10</v>
      </c>
      <c r="AG881" s="13" t="s">
        <v>639</v>
      </c>
      <c r="AH881" s="13">
        <v>281.3</v>
      </c>
      <c r="AJ881" s="13">
        <v>66.3</v>
      </c>
      <c r="AK881" s="13">
        <v>55.9</v>
      </c>
      <c r="AL881" s="13">
        <v>75.7</v>
      </c>
      <c r="AM881" s="13">
        <v>50</v>
      </c>
      <c r="AN881" s="13">
        <v>33.4</v>
      </c>
      <c r="AO881" s="13">
        <v>66.3</v>
      </c>
      <c r="AP881" s="13">
        <v>0.55210000000000004</v>
      </c>
      <c r="BY881" s="13" t="s">
        <v>1556</v>
      </c>
      <c r="BZ881" s="13" t="s">
        <v>1557</v>
      </c>
      <c r="CA881" s="13">
        <v>2020</v>
      </c>
      <c r="CB881" s="13" t="s">
        <v>188</v>
      </c>
      <c r="CC881" s="13" t="s">
        <v>195</v>
      </c>
      <c r="CD881" s="13">
        <v>91</v>
      </c>
      <c r="CE881" s="13">
        <v>4</v>
      </c>
      <c r="CF881" s="13" t="s">
        <v>1558</v>
      </c>
      <c r="CG881" s="13" t="s">
        <v>1559</v>
      </c>
    </row>
    <row r="882" spans="1:85">
      <c r="A882" s="13" t="s">
        <v>1925</v>
      </c>
      <c r="B882" s="13" t="s">
        <v>1925</v>
      </c>
      <c r="C882" s="14" t="s">
        <v>1560</v>
      </c>
      <c r="D882" s="14" t="s">
        <v>2371</v>
      </c>
      <c r="E882" s="13" t="s">
        <v>963</v>
      </c>
      <c r="F882" s="13" t="s">
        <v>2947</v>
      </c>
      <c r="G882" s="13" t="s">
        <v>672</v>
      </c>
      <c r="H882" s="13" t="s">
        <v>684</v>
      </c>
      <c r="J882" s="14" t="s">
        <v>584</v>
      </c>
      <c r="K882" s="14" t="s">
        <v>2944</v>
      </c>
      <c r="L882" s="14" t="s">
        <v>585</v>
      </c>
      <c r="N882" s="13">
        <v>70</v>
      </c>
      <c r="O882" s="2">
        <f t="shared" si="77"/>
        <v>0.59322033898305082</v>
      </c>
      <c r="P882" s="13">
        <v>22</v>
      </c>
      <c r="Q882" s="17">
        <f t="shared" si="78"/>
        <v>0.53658536585365857</v>
      </c>
      <c r="R882" s="13">
        <v>118</v>
      </c>
      <c r="S882" s="13">
        <v>41</v>
      </c>
      <c r="V882" s="13">
        <v>15</v>
      </c>
      <c r="W882" s="13">
        <v>57</v>
      </c>
      <c r="X882" s="13">
        <v>10</v>
      </c>
      <c r="AP882" s="13">
        <v>0.89670000000000005</v>
      </c>
      <c r="BY882" s="13" t="s">
        <v>1556</v>
      </c>
      <c r="BZ882" s="13" t="s">
        <v>1557</v>
      </c>
      <c r="CA882" s="13">
        <v>2020</v>
      </c>
      <c r="CB882" s="13" t="s">
        <v>188</v>
      </c>
      <c r="CC882" s="13" t="s">
        <v>195</v>
      </c>
      <c r="CD882" s="13">
        <v>91</v>
      </c>
      <c r="CE882" s="13">
        <v>4</v>
      </c>
      <c r="CF882" s="13" t="s">
        <v>1558</v>
      </c>
      <c r="CG882" s="13" t="s">
        <v>1559</v>
      </c>
    </row>
    <row r="883" spans="1:85">
      <c r="A883" s="13" t="s">
        <v>1925</v>
      </c>
      <c r="B883" s="13" t="s">
        <v>1925</v>
      </c>
      <c r="C883" s="14" t="s">
        <v>1560</v>
      </c>
      <c r="D883" s="14" t="s">
        <v>2371</v>
      </c>
      <c r="E883" s="13" t="s">
        <v>963</v>
      </c>
      <c r="F883" s="13" t="s">
        <v>2947</v>
      </c>
      <c r="G883" s="13" t="s">
        <v>674</v>
      </c>
      <c r="H883" s="13" t="s">
        <v>680</v>
      </c>
      <c r="J883" s="14" t="s">
        <v>584</v>
      </c>
      <c r="K883" s="14" t="s">
        <v>2944</v>
      </c>
      <c r="L883" s="14" t="s">
        <v>585</v>
      </c>
      <c r="N883" s="13">
        <v>70</v>
      </c>
      <c r="O883" s="2">
        <f t="shared" si="77"/>
        <v>0.59322033898305082</v>
      </c>
      <c r="P883" s="13">
        <v>22</v>
      </c>
      <c r="Q883" s="17">
        <f t="shared" si="78"/>
        <v>0.53658536585365857</v>
      </c>
      <c r="R883" s="13">
        <v>118</v>
      </c>
      <c r="S883" s="13">
        <v>41</v>
      </c>
      <c r="V883" s="13">
        <v>15</v>
      </c>
      <c r="W883" s="13">
        <v>57</v>
      </c>
      <c r="X883" s="13">
        <v>10</v>
      </c>
      <c r="AG883" s="13" t="s">
        <v>639</v>
      </c>
      <c r="AP883" s="13">
        <v>0.60199999999999998</v>
      </c>
      <c r="BY883" s="13" t="s">
        <v>1556</v>
      </c>
      <c r="BZ883" s="13" t="s">
        <v>1557</v>
      </c>
      <c r="CA883" s="13">
        <v>2020</v>
      </c>
      <c r="CB883" s="13" t="s">
        <v>188</v>
      </c>
      <c r="CC883" s="13" t="s">
        <v>195</v>
      </c>
      <c r="CD883" s="13">
        <v>91</v>
      </c>
      <c r="CE883" s="13">
        <v>4</v>
      </c>
      <c r="CF883" s="13" t="s">
        <v>1558</v>
      </c>
      <c r="CG883" s="13" t="s">
        <v>1559</v>
      </c>
    </row>
    <row r="884" spans="1:85">
      <c r="A884" s="13" t="s">
        <v>1925</v>
      </c>
      <c r="B884" s="13" t="s">
        <v>1925</v>
      </c>
      <c r="C884" s="14" t="s">
        <v>1560</v>
      </c>
      <c r="D884" s="14" t="s">
        <v>2371</v>
      </c>
      <c r="E884" s="13" t="s">
        <v>963</v>
      </c>
      <c r="F884" s="13" t="s">
        <v>2947</v>
      </c>
      <c r="G884" s="13" t="s">
        <v>674</v>
      </c>
      <c r="H884" s="13" t="s">
        <v>679</v>
      </c>
      <c r="J884" s="14" t="s">
        <v>584</v>
      </c>
      <c r="K884" s="14" t="s">
        <v>2944</v>
      </c>
      <c r="L884" s="14" t="s">
        <v>585</v>
      </c>
      <c r="N884" s="13">
        <v>70</v>
      </c>
      <c r="O884" s="2">
        <f t="shared" si="77"/>
        <v>0.59322033898305082</v>
      </c>
      <c r="P884" s="13">
        <v>22</v>
      </c>
      <c r="Q884" s="17">
        <f t="shared" si="78"/>
        <v>0.53658536585365857</v>
      </c>
      <c r="R884" s="13">
        <v>118</v>
      </c>
      <c r="S884" s="13">
        <v>41</v>
      </c>
      <c r="V884" s="13">
        <v>15</v>
      </c>
      <c r="W884" s="13">
        <v>57</v>
      </c>
      <c r="X884" s="13">
        <v>10</v>
      </c>
      <c r="AG884" s="13" t="s">
        <v>639</v>
      </c>
      <c r="AP884" s="13">
        <v>0.56489999999999996</v>
      </c>
      <c r="BY884" s="13" t="s">
        <v>1556</v>
      </c>
      <c r="BZ884" s="13" t="s">
        <v>1557</v>
      </c>
      <c r="CA884" s="13">
        <v>2020</v>
      </c>
      <c r="CB884" s="13" t="s">
        <v>188</v>
      </c>
      <c r="CC884" s="13" t="s">
        <v>195</v>
      </c>
      <c r="CD884" s="13">
        <v>91</v>
      </c>
      <c r="CE884" s="13">
        <v>4</v>
      </c>
      <c r="CF884" s="13" t="s">
        <v>1558</v>
      </c>
      <c r="CG884" s="13" t="s">
        <v>1559</v>
      </c>
    </row>
    <row r="885" spans="1:85">
      <c r="A885" s="13" t="s">
        <v>1925</v>
      </c>
      <c r="B885" s="13" t="s">
        <v>1925</v>
      </c>
      <c r="C885" s="14" t="s">
        <v>1560</v>
      </c>
      <c r="D885" s="14" t="s">
        <v>2371</v>
      </c>
      <c r="E885" s="13" t="s">
        <v>963</v>
      </c>
      <c r="F885" s="13" t="s">
        <v>2947</v>
      </c>
      <c r="G885" s="13" t="s">
        <v>674</v>
      </c>
      <c r="H885" s="13" t="s">
        <v>684</v>
      </c>
      <c r="J885" s="14" t="s">
        <v>584</v>
      </c>
      <c r="K885" s="14" t="s">
        <v>2944</v>
      </c>
      <c r="L885" s="14" t="s">
        <v>585</v>
      </c>
      <c r="N885" s="13">
        <v>70</v>
      </c>
      <c r="O885" s="2">
        <f t="shared" si="77"/>
        <v>0.59322033898305082</v>
      </c>
      <c r="P885" s="13">
        <v>22</v>
      </c>
      <c r="Q885" s="17">
        <f t="shared" si="78"/>
        <v>0.53658536585365857</v>
      </c>
      <c r="R885" s="13">
        <v>118</v>
      </c>
      <c r="S885" s="13">
        <v>41</v>
      </c>
      <c r="V885" s="13">
        <v>15</v>
      </c>
      <c r="W885" s="13">
        <v>57</v>
      </c>
      <c r="X885" s="13">
        <v>10</v>
      </c>
      <c r="AP885" s="13">
        <v>0.75800000000000001</v>
      </c>
      <c r="BY885" s="13" t="s">
        <v>1556</v>
      </c>
      <c r="BZ885" s="13" t="s">
        <v>1557</v>
      </c>
      <c r="CA885" s="13">
        <v>2020</v>
      </c>
      <c r="CB885" s="13" t="s">
        <v>188</v>
      </c>
      <c r="CC885" s="13" t="s">
        <v>195</v>
      </c>
      <c r="CD885" s="13">
        <v>91</v>
      </c>
      <c r="CE885" s="13">
        <v>4</v>
      </c>
      <c r="CF885" s="13" t="s">
        <v>1558</v>
      </c>
      <c r="CG885" s="13" t="s">
        <v>1559</v>
      </c>
    </row>
    <row r="886" spans="1:85">
      <c r="A886" s="13" t="s">
        <v>2023</v>
      </c>
      <c r="B886" s="13" t="s">
        <v>2023</v>
      </c>
      <c r="C886" s="14" t="s">
        <v>2024</v>
      </c>
      <c r="D886" s="14" t="s">
        <v>827</v>
      </c>
      <c r="E886" s="13" t="s">
        <v>630</v>
      </c>
      <c r="F886" s="13" t="s">
        <v>2960</v>
      </c>
      <c r="G886" s="13" t="s">
        <v>673</v>
      </c>
      <c r="H886" s="13" t="s">
        <v>2912</v>
      </c>
      <c r="J886" s="14" t="s">
        <v>712</v>
      </c>
      <c r="K886" s="14" t="s">
        <v>2955</v>
      </c>
      <c r="L886" s="14" t="s">
        <v>2956</v>
      </c>
      <c r="N886" s="13">
        <v>162</v>
      </c>
      <c r="O886" s="2">
        <f t="shared" si="77"/>
        <v>0.66122448979591841</v>
      </c>
      <c r="P886" s="13">
        <v>50</v>
      </c>
      <c r="Q886" s="17">
        <f t="shared" si="78"/>
        <v>0.6097560975609756</v>
      </c>
      <c r="R886" s="13">
        <v>245</v>
      </c>
      <c r="S886" s="13">
        <v>82</v>
      </c>
      <c r="W886" s="13">
        <v>55.87</v>
      </c>
      <c r="X886" s="13">
        <v>9.7100000000000009</v>
      </c>
      <c r="AB886" s="13">
        <v>54.98</v>
      </c>
      <c r="AC886" s="13">
        <v>7.5469999999999997</v>
      </c>
      <c r="AG886" s="13" t="s">
        <v>903</v>
      </c>
      <c r="BB886" s="13">
        <v>0.22</v>
      </c>
      <c r="BC886" s="13">
        <v>0.06</v>
      </c>
      <c r="BM886" s="13">
        <v>0.21</v>
      </c>
      <c r="BN886" s="13">
        <v>0.05</v>
      </c>
      <c r="BX886" s="13">
        <v>0.74399999999999999</v>
      </c>
      <c r="BY886" s="13" t="s">
        <v>2102</v>
      </c>
      <c r="BZ886" s="13" t="s">
        <v>2103</v>
      </c>
      <c r="CA886" s="13">
        <v>2021</v>
      </c>
      <c r="CB886" s="13" t="s">
        <v>12</v>
      </c>
      <c r="CC886" s="13" t="s">
        <v>1215</v>
      </c>
      <c r="CD886" s="13">
        <v>12</v>
      </c>
      <c r="CG886" s="13" t="s">
        <v>2104</v>
      </c>
    </row>
    <row r="887" spans="1:85">
      <c r="A887" s="13" t="s">
        <v>2023</v>
      </c>
      <c r="B887" s="13" t="s">
        <v>2023</v>
      </c>
      <c r="C887" s="14" t="s">
        <v>2024</v>
      </c>
      <c r="D887" s="14" t="s">
        <v>827</v>
      </c>
      <c r="E887" s="13" t="s">
        <v>630</v>
      </c>
      <c r="F887" s="13" t="s">
        <v>2960</v>
      </c>
      <c r="G887" s="13" t="s">
        <v>673</v>
      </c>
      <c r="H887" s="13" t="s">
        <v>2576</v>
      </c>
      <c r="J887" s="14" t="s">
        <v>712</v>
      </c>
      <c r="K887" s="14" t="s">
        <v>2955</v>
      </c>
      <c r="L887" s="14" t="s">
        <v>2956</v>
      </c>
      <c r="N887" s="13">
        <v>162</v>
      </c>
      <c r="O887" s="2">
        <f t="shared" si="77"/>
        <v>0.66122448979591841</v>
      </c>
      <c r="P887" s="13">
        <v>50</v>
      </c>
      <c r="Q887" s="17">
        <f t="shared" si="78"/>
        <v>0.6097560975609756</v>
      </c>
      <c r="R887" s="13">
        <v>245</v>
      </c>
      <c r="S887" s="13">
        <v>82</v>
      </c>
      <c r="W887" s="13">
        <v>55.87</v>
      </c>
      <c r="X887" s="13">
        <v>9.7100000000000009</v>
      </c>
      <c r="AB887" s="13">
        <v>54.98</v>
      </c>
      <c r="AC887" s="13">
        <v>7.5469999999999997</v>
      </c>
      <c r="AG887" s="13" t="s">
        <v>903</v>
      </c>
      <c r="BB887" s="13">
        <v>0.85</v>
      </c>
      <c r="BC887" s="13">
        <v>0.16</v>
      </c>
      <c r="BM887" s="13">
        <v>0.87</v>
      </c>
      <c r="BN887" s="13">
        <v>0.16</v>
      </c>
      <c r="BX887" s="13">
        <v>0.38500000000000001</v>
      </c>
      <c r="BY887" s="13" t="s">
        <v>2102</v>
      </c>
      <c r="BZ887" s="13" t="s">
        <v>2103</v>
      </c>
      <c r="CA887" s="13">
        <v>2021</v>
      </c>
      <c r="CB887" s="13" t="s">
        <v>12</v>
      </c>
      <c r="CC887" s="13" t="s">
        <v>1215</v>
      </c>
      <c r="CD887" s="13">
        <v>12</v>
      </c>
      <c r="CG887" s="13" t="s">
        <v>2104</v>
      </c>
    </row>
    <row r="888" spans="1:85">
      <c r="A888" s="13" t="s">
        <v>2023</v>
      </c>
      <c r="B888" s="13" t="s">
        <v>2023</v>
      </c>
      <c r="C888" s="14" t="s">
        <v>2024</v>
      </c>
      <c r="D888" s="14" t="s">
        <v>827</v>
      </c>
      <c r="E888" s="13" t="s">
        <v>630</v>
      </c>
      <c r="F888" s="13" t="s">
        <v>2960</v>
      </c>
      <c r="G888" s="13" t="s">
        <v>673</v>
      </c>
      <c r="H888" s="13" t="s">
        <v>2954</v>
      </c>
      <c r="J888" s="14" t="s">
        <v>712</v>
      </c>
      <c r="K888" s="14" t="s">
        <v>2955</v>
      </c>
      <c r="L888" s="14" t="s">
        <v>2956</v>
      </c>
      <c r="N888" s="13">
        <v>162</v>
      </c>
      <c r="O888" s="2">
        <f t="shared" si="77"/>
        <v>0.66122448979591841</v>
      </c>
      <c r="P888" s="13">
        <v>50</v>
      </c>
      <c r="Q888" s="17">
        <f t="shared" si="78"/>
        <v>0.6097560975609756</v>
      </c>
      <c r="R888" s="13">
        <v>245</v>
      </c>
      <c r="S888" s="13">
        <v>82</v>
      </c>
      <c r="W888" s="13">
        <v>55.87</v>
      </c>
      <c r="X888" s="13">
        <v>9.7100000000000009</v>
      </c>
      <c r="AB888" s="13">
        <v>54.98</v>
      </c>
      <c r="AC888" s="13">
        <v>7.5469999999999997</v>
      </c>
      <c r="AG888" s="13" t="s">
        <v>903</v>
      </c>
      <c r="BB888" s="13">
        <v>11.5</v>
      </c>
      <c r="BC888" s="13">
        <v>2.59</v>
      </c>
      <c r="BM888" s="13">
        <v>12.73</v>
      </c>
      <c r="BN888" s="13">
        <v>2.74</v>
      </c>
      <c r="BX888" s="13" t="s">
        <v>1027</v>
      </c>
      <c r="BY888" s="13" t="s">
        <v>2102</v>
      </c>
      <c r="BZ888" s="13" t="s">
        <v>2103</v>
      </c>
      <c r="CA888" s="13">
        <v>2021</v>
      </c>
      <c r="CB888" s="13" t="s">
        <v>12</v>
      </c>
      <c r="CC888" s="13" t="s">
        <v>1215</v>
      </c>
      <c r="CD888" s="13">
        <v>12</v>
      </c>
      <c r="CG888" s="13" t="s">
        <v>2104</v>
      </c>
    </row>
    <row r="889" spans="1:85">
      <c r="A889" s="13" t="s">
        <v>2023</v>
      </c>
      <c r="B889" s="13" t="s">
        <v>2023</v>
      </c>
      <c r="C889" s="14" t="s">
        <v>2024</v>
      </c>
      <c r="D889" s="14" t="s">
        <v>827</v>
      </c>
      <c r="E889" s="13" t="s">
        <v>630</v>
      </c>
      <c r="F889" s="13" t="s">
        <v>2960</v>
      </c>
      <c r="G889" s="13" t="s">
        <v>673</v>
      </c>
      <c r="H889" s="13" t="s">
        <v>2957</v>
      </c>
      <c r="J889" s="14" t="s">
        <v>712</v>
      </c>
      <c r="K889" s="14" t="s">
        <v>2955</v>
      </c>
      <c r="L889" s="14" t="s">
        <v>2956</v>
      </c>
      <c r="N889" s="13">
        <v>162</v>
      </c>
      <c r="O889" s="2">
        <f t="shared" si="77"/>
        <v>0.66122448979591841</v>
      </c>
      <c r="P889" s="13">
        <v>50</v>
      </c>
      <c r="Q889" s="17">
        <f t="shared" si="78"/>
        <v>0.6097560975609756</v>
      </c>
      <c r="R889" s="13">
        <v>245</v>
      </c>
      <c r="S889" s="13">
        <v>82</v>
      </c>
      <c r="W889" s="13">
        <v>55.87</v>
      </c>
      <c r="X889" s="13">
        <v>9.7100000000000009</v>
      </c>
      <c r="AB889" s="13">
        <v>54.98</v>
      </c>
      <c r="AC889" s="13">
        <v>7.5469999999999997</v>
      </c>
      <c r="AG889" s="13" t="s">
        <v>903</v>
      </c>
      <c r="BB889" s="13">
        <v>2.14</v>
      </c>
      <c r="BC889" s="13">
        <v>1.04</v>
      </c>
      <c r="BM889" s="13">
        <v>2.3199999999999998</v>
      </c>
      <c r="BN889" s="13">
        <v>0.98</v>
      </c>
      <c r="BX889" s="13">
        <v>0.16900000000000001</v>
      </c>
      <c r="BY889" s="13" t="s">
        <v>2102</v>
      </c>
      <c r="BZ889" s="13" t="s">
        <v>2103</v>
      </c>
      <c r="CA889" s="13">
        <v>2021</v>
      </c>
      <c r="CB889" s="13" t="s">
        <v>12</v>
      </c>
      <c r="CC889" s="13" t="s">
        <v>1215</v>
      </c>
      <c r="CD889" s="13">
        <v>12</v>
      </c>
      <c r="CG889" s="13" t="s">
        <v>2104</v>
      </c>
    </row>
    <row r="890" spans="1:85">
      <c r="A890" s="13" t="s">
        <v>2023</v>
      </c>
      <c r="B890" s="13" t="s">
        <v>2023</v>
      </c>
      <c r="C890" s="14" t="s">
        <v>2024</v>
      </c>
      <c r="D890" s="14" t="s">
        <v>827</v>
      </c>
      <c r="E890" s="13" t="s">
        <v>630</v>
      </c>
      <c r="F890" s="13" t="s">
        <v>2960</v>
      </c>
      <c r="G890" s="13" t="s">
        <v>673</v>
      </c>
      <c r="H890" s="13" t="s">
        <v>2958</v>
      </c>
      <c r="J890" s="14" t="s">
        <v>712</v>
      </c>
      <c r="K890" s="14" t="s">
        <v>2955</v>
      </c>
      <c r="L890" s="14" t="s">
        <v>2956</v>
      </c>
      <c r="N890" s="13">
        <v>162</v>
      </c>
      <c r="O890" s="2">
        <f t="shared" si="77"/>
        <v>0.66122448979591841</v>
      </c>
      <c r="P890" s="13">
        <v>50</v>
      </c>
      <c r="Q890" s="17">
        <f t="shared" si="78"/>
        <v>0.6097560975609756</v>
      </c>
      <c r="R890" s="13">
        <v>245</v>
      </c>
      <c r="S890" s="13">
        <v>82</v>
      </c>
      <c r="W890" s="13">
        <v>55.87</v>
      </c>
      <c r="X890" s="13">
        <v>9.7100000000000009</v>
      </c>
      <c r="AB890" s="13">
        <v>54.98</v>
      </c>
      <c r="AC890" s="13">
        <v>7.5469999999999997</v>
      </c>
      <c r="AG890" s="13" t="s">
        <v>903</v>
      </c>
      <c r="BB890" s="13">
        <v>1.24</v>
      </c>
      <c r="BC890" s="13">
        <v>0.59</v>
      </c>
      <c r="BM890" s="13">
        <v>1.1200000000000001</v>
      </c>
      <c r="BN890" s="13">
        <v>0.48</v>
      </c>
      <c r="BX890" s="13">
        <v>0.44800000000000001</v>
      </c>
      <c r="BY890" s="13" t="s">
        <v>2102</v>
      </c>
      <c r="BZ890" s="13" t="s">
        <v>2103</v>
      </c>
      <c r="CA890" s="13">
        <v>2021</v>
      </c>
      <c r="CB890" s="13" t="s">
        <v>12</v>
      </c>
      <c r="CC890" s="13" t="s">
        <v>1215</v>
      </c>
      <c r="CD890" s="13">
        <v>12</v>
      </c>
      <c r="CG890" s="13" t="s">
        <v>2104</v>
      </c>
    </row>
    <row r="891" spans="1:85">
      <c r="A891" s="13" t="s">
        <v>2023</v>
      </c>
      <c r="B891" s="13" t="s">
        <v>2023</v>
      </c>
      <c r="C891" s="14" t="s">
        <v>2024</v>
      </c>
      <c r="D891" s="14" t="s">
        <v>827</v>
      </c>
      <c r="E891" s="13" t="s">
        <v>2959</v>
      </c>
      <c r="F891" s="13" t="s">
        <v>2961</v>
      </c>
      <c r="G891" s="13" t="s">
        <v>673</v>
      </c>
      <c r="H891" s="13" t="s">
        <v>2912</v>
      </c>
      <c r="J891" s="14" t="s">
        <v>712</v>
      </c>
      <c r="K891" s="14" t="s">
        <v>2955</v>
      </c>
      <c r="L891" s="14" t="s">
        <v>2956</v>
      </c>
      <c r="N891" s="13">
        <v>162</v>
      </c>
      <c r="O891" s="2">
        <f t="shared" si="77"/>
        <v>0.66122448979591841</v>
      </c>
      <c r="P891" s="13">
        <v>40</v>
      </c>
      <c r="Q891" s="17">
        <f t="shared" si="78"/>
        <v>0.61538461538461542</v>
      </c>
      <c r="R891" s="13">
        <v>245</v>
      </c>
      <c r="S891" s="13">
        <v>65</v>
      </c>
      <c r="W891" s="13">
        <v>55.87</v>
      </c>
      <c r="X891" s="13">
        <v>9.7100000000000009</v>
      </c>
      <c r="AB891" s="13">
        <v>58.02</v>
      </c>
      <c r="AC891" s="13">
        <v>7.95</v>
      </c>
      <c r="AG891" s="13" t="s">
        <v>903</v>
      </c>
      <c r="BB891" s="13">
        <v>0.22</v>
      </c>
      <c r="BC891" s="13">
        <v>0.06</v>
      </c>
      <c r="BM891" s="13">
        <v>0.2</v>
      </c>
      <c r="BN891" s="13">
        <v>0.05</v>
      </c>
      <c r="BX891" s="13">
        <v>1.7000000000000001E-2</v>
      </c>
      <c r="BY891" s="13" t="s">
        <v>2102</v>
      </c>
      <c r="BZ891" s="13" t="s">
        <v>2103</v>
      </c>
      <c r="CA891" s="13">
        <v>2021</v>
      </c>
      <c r="CB891" s="13" t="s">
        <v>12</v>
      </c>
      <c r="CC891" s="13" t="s">
        <v>1215</v>
      </c>
      <c r="CD891" s="13">
        <v>12</v>
      </c>
      <c r="CG891" s="13" t="s">
        <v>2104</v>
      </c>
    </row>
    <row r="892" spans="1:85">
      <c r="A892" s="13" t="s">
        <v>2023</v>
      </c>
      <c r="B892" s="13" t="s">
        <v>2023</v>
      </c>
      <c r="C892" s="14" t="s">
        <v>2024</v>
      </c>
      <c r="D892" s="14" t="s">
        <v>827</v>
      </c>
      <c r="E892" s="13" t="s">
        <v>2959</v>
      </c>
      <c r="F892" s="13" t="s">
        <v>2961</v>
      </c>
      <c r="G892" s="13" t="s">
        <v>673</v>
      </c>
      <c r="H892" s="13" t="s">
        <v>2576</v>
      </c>
      <c r="J892" s="14" t="s">
        <v>712</v>
      </c>
      <c r="K892" s="14" t="s">
        <v>2955</v>
      </c>
      <c r="L892" s="14" t="s">
        <v>2956</v>
      </c>
      <c r="N892" s="13">
        <v>162</v>
      </c>
      <c r="O892" s="2">
        <f t="shared" si="77"/>
        <v>0.66122448979591841</v>
      </c>
      <c r="P892" s="13">
        <v>40</v>
      </c>
      <c r="Q892" s="17">
        <f t="shared" si="78"/>
        <v>0.61538461538461542</v>
      </c>
      <c r="R892" s="13">
        <v>245</v>
      </c>
      <c r="S892" s="13">
        <v>65</v>
      </c>
      <c r="W892" s="13">
        <v>55.87</v>
      </c>
      <c r="X892" s="13">
        <v>9.7100000000000009</v>
      </c>
      <c r="AB892" s="13">
        <v>58.02</v>
      </c>
      <c r="AC892" s="13">
        <v>7.95</v>
      </c>
      <c r="AG892" s="13" t="s">
        <v>903</v>
      </c>
      <c r="BB892" s="13">
        <v>0.85</v>
      </c>
      <c r="BC892" s="13">
        <v>0.16</v>
      </c>
      <c r="BM892" s="13">
        <v>0.8</v>
      </c>
      <c r="BN892" s="13">
        <v>0.14000000000000001</v>
      </c>
      <c r="BX892" s="13">
        <v>0.01</v>
      </c>
      <c r="BY892" s="13" t="s">
        <v>2102</v>
      </c>
      <c r="BZ892" s="13" t="s">
        <v>2103</v>
      </c>
      <c r="CA892" s="13">
        <v>2021</v>
      </c>
      <c r="CB892" s="13" t="s">
        <v>12</v>
      </c>
      <c r="CC892" s="13" t="s">
        <v>1215</v>
      </c>
      <c r="CD892" s="13">
        <v>12</v>
      </c>
      <c r="CG892" s="13" t="s">
        <v>2104</v>
      </c>
    </row>
    <row r="893" spans="1:85">
      <c r="A893" s="13" t="s">
        <v>2023</v>
      </c>
      <c r="B893" s="13" t="s">
        <v>2023</v>
      </c>
      <c r="C893" s="14" t="s">
        <v>2024</v>
      </c>
      <c r="D893" s="14" t="s">
        <v>827</v>
      </c>
      <c r="E893" s="13" t="s">
        <v>2959</v>
      </c>
      <c r="F893" s="13" t="s">
        <v>2961</v>
      </c>
      <c r="G893" s="13" t="s">
        <v>673</v>
      </c>
      <c r="H893" s="13" t="s">
        <v>2954</v>
      </c>
      <c r="J893" s="14" t="s">
        <v>712</v>
      </c>
      <c r="K893" s="14" t="s">
        <v>2955</v>
      </c>
      <c r="L893" s="14" t="s">
        <v>2956</v>
      </c>
      <c r="N893" s="13">
        <v>162</v>
      </c>
      <c r="O893" s="2">
        <f t="shared" si="77"/>
        <v>0.66122448979591841</v>
      </c>
      <c r="P893" s="13">
        <v>40</v>
      </c>
      <c r="Q893" s="17">
        <f t="shared" si="78"/>
        <v>0.61538461538461542</v>
      </c>
      <c r="R893" s="13">
        <v>245</v>
      </c>
      <c r="S893" s="13">
        <v>65</v>
      </c>
      <c r="W893" s="13">
        <v>55.87</v>
      </c>
      <c r="X893" s="13">
        <v>9.7100000000000009</v>
      </c>
      <c r="AB893" s="13">
        <v>58.02</v>
      </c>
      <c r="AC893" s="13">
        <v>7.95</v>
      </c>
      <c r="AG893" s="13" t="s">
        <v>903</v>
      </c>
      <c r="BB893" s="13">
        <v>11.5</v>
      </c>
      <c r="BC893" s="13">
        <v>2.59</v>
      </c>
      <c r="BM893" s="13">
        <v>12.2</v>
      </c>
      <c r="BN893" s="13">
        <v>3.2</v>
      </c>
      <c r="BX893" s="13">
        <v>0.24399999999999999</v>
      </c>
      <c r="BY893" s="13" t="s">
        <v>2102</v>
      </c>
      <c r="BZ893" s="13" t="s">
        <v>2103</v>
      </c>
      <c r="CA893" s="13">
        <v>2021</v>
      </c>
      <c r="CB893" s="13" t="s">
        <v>12</v>
      </c>
      <c r="CC893" s="13" t="s">
        <v>1215</v>
      </c>
      <c r="CD893" s="13">
        <v>12</v>
      </c>
      <c r="CG893" s="13" t="s">
        <v>2104</v>
      </c>
    </row>
    <row r="894" spans="1:85">
      <c r="A894" s="13" t="s">
        <v>2023</v>
      </c>
      <c r="B894" s="13" t="s">
        <v>2023</v>
      </c>
      <c r="C894" s="14" t="s">
        <v>2024</v>
      </c>
      <c r="D894" s="14" t="s">
        <v>827</v>
      </c>
      <c r="E894" s="13" t="s">
        <v>2959</v>
      </c>
      <c r="F894" s="13" t="s">
        <v>2961</v>
      </c>
      <c r="G894" s="13" t="s">
        <v>673</v>
      </c>
      <c r="H894" s="13" t="s">
        <v>2957</v>
      </c>
      <c r="J894" s="14" t="s">
        <v>712</v>
      </c>
      <c r="K894" s="14" t="s">
        <v>2955</v>
      </c>
      <c r="L894" s="14" t="s">
        <v>2956</v>
      </c>
      <c r="N894" s="13">
        <v>162</v>
      </c>
      <c r="O894" s="2">
        <f t="shared" si="77"/>
        <v>0.66122448979591841</v>
      </c>
      <c r="P894" s="13">
        <v>40</v>
      </c>
      <c r="Q894" s="17">
        <f t="shared" si="78"/>
        <v>0.61538461538461542</v>
      </c>
      <c r="R894" s="13">
        <v>245</v>
      </c>
      <c r="S894" s="13">
        <v>65</v>
      </c>
      <c r="W894" s="13">
        <v>55.87</v>
      </c>
      <c r="X894" s="13">
        <v>9.7100000000000009</v>
      </c>
      <c r="AB894" s="13">
        <v>58.02</v>
      </c>
      <c r="AC894" s="13">
        <v>7.95</v>
      </c>
      <c r="AG894" s="13" t="s">
        <v>903</v>
      </c>
      <c r="BB894" s="13">
        <v>2.14</v>
      </c>
      <c r="BC894" s="13">
        <v>1.04</v>
      </c>
      <c r="BM894" s="13">
        <v>2.14</v>
      </c>
      <c r="BN894" s="13">
        <v>0.97</v>
      </c>
      <c r="BX894" s="13">
        <v>0.52900000000000003</v>
      </c>
      <c r="BY894" s="13" t="s">
        <v>2102</v>
      </c>
      <c r="BZ894" s="13" t="s">
        <v>2103</v>
      </c>
      <c r="CA894" s="13">
        <v>2021</v>
      </c>
      <c r="CB894" s="13" t="s">
        <v>12</v>
      </c>
      <c r="CC894" s="13" t="s">
        <v>1215</v>
      </c>
      <c r="CD894" s="13">
        <v>12</v>
      </c>
      <c r="CG894" s="13" t="s">
        <v>2104</v>
      </c>
    </row>
    <row r="895" spans="1:85">
      <c r="A895" s="13" t="s">
        <v>2023</v>
      </c>
      <c r="B895" s="13" t="s">
        <v>2023</v>
      </c>
      <c r="C895" s="14" t="s">
        <v>2024</v>
      </c>
      <c r="D895" s="14" t="s">
        <v>827</v>
      </c>
      <c r="E895" s="13" t="s">
        <v>2959</v>
      </c>
      <c r="F895" s="13" t="s">
        <v>2961</v>
      </c>
      <c r="G895" s="13" t="s">
        <v>673</v>
      </c>
      <c r="H895" s="13" t="s">
        <v>2958</v>
      </c>
      <c r="J895" s="14" t="s">
        <v>712</v>
      </c>
      <c r="K895" s="14" t="s">
        <v>2955</v>
      </c>
      <c r="L895" s="14" t="s">
        <v>2956</v>
      </c>
      <c r="N895" s="13">
        <v>162</v>
      </c>
      <c r="O895" s="2">
        <f t="shared" si="77"/>
        <v>0.66122448979591841</v>
      </c>
      <c r="P895" s="13">
        <v>40</v>
      </c>
      <c r="Q895" s="17">
        <f t="shared" si="78"/>
        <v>0.61538461538461542</v>
      </c>
      <c r="R895" s="13">
        <v>245</v>
      </c>
      <c r="S895" s="13">
        <v>65</v>
      </c>
      <c r="W895" s="13">
        <v>55.87</v>
      </c>
      <c r="X895" s="13">
        <v>9.7100000000000009</v>
      </c>
      <c r="AB895" s="13">
        <v>58.02</v>
      </c>
      <c r="AC895" s="13">
        <v>7.95</v>
      </c>
      <c r="AG895" s="13" t="s">
        <v>903</v>
      </c>
      <c r="BB895" s="13">
        <v>1.24</v>
      </c>
      <c r="BC895" s="13">
        <v>0.59</v>
      </c>
      <c r="BM895" s="13">
        <v>1.18</v>
      </c>
      <c r="BN895" s="13">
        <v>0.51</v>
      </c>
      <c r="BX895" s="13">
        <v>0.72</v>
      </c>
      <c r="BY895" s="13" t="s">
        <v>2102</v>
      </c>
      <c r="BZ895" s="13" t="s">
        <v>2103</v>
      </c>
      <c r="CA895" s="13">
        <v>2021</v>
      </c>
      <c r="CB895" s="13" t="s">
        <v>12</v>
      </c>
      <c r="CC895" s="13" t="s">
        <v>1215</v>
      </c>
      <c r="CD895" s="13">
        <v>12</v>
      </c>
      <c r="CG895" s="13" t="s">
        <v>2104</v>
      </c>
    </row>
    <row r="896" spans="1:85">
      <c r="A896" s="13" t="s">
        <v>2023</v>
      </c>
      <c r="B896" s="13" t="s">
        <v>2023</v>
      </c>
      <c r="C896" s="14" t="s">
        <v>2024</v>
      </c>
      <c r="D896" s="14" t="s">
        <v>827</v>
      </c>
      <c r="E896" s="13" t="s">
        <v>689</v>
      </c>
      <c r="F896" s="13" t="s">
        <v>2962</v>
      </c>
      <c r="G896" s="13" t="s">
        <v>673</v>
      </c>
      <c r="H896" s="13" t="s">
        <v>2912</v>
      </c>
      <c r="J896" s="14" t="s">
        <v>712</v>
      </c>
      <c r="K896" s="14" t="s">
        <v>2955</v>
      </c>
      <c r="L896" s="14" t="s">
        <v>2956</v>
      </c>
      <c r="N896" s="13">
        <v>162</v>
      </c>
      <c r="O896" s="2">
        <f t="shared" si="77"/>
        <v>0.66122448979591841</v>
      </c>
      <c r="P896" s="13">
        <v>31</v>
      </c>
      <c r="Q896" s="17">
        <f t="shared" si="78"/>
        <v>0.51666666666666672</v>
      </c>
      <c r="R896" s="13">
        <v>245</v>
      </c>
      <c r="S896" s="13">
        <v>60</v>
      </c>
      <c r="W896" s="13">
        <v>55.87</v>
      </c>
      <c r="X896" s="13">
        <v>9.7100000000000009</v>
      </c>
      <c r="AB896" s="13">
        <v>57.08</v>
      </c>
      <c r="AC896" s="13">
        <v>10.49</v>
      </c>
      <c r="AG896" s="13" t="s">
        <v>903</v>
      </c>
      <c r="BB896" s="13">
        <v>0.22</v>
      </c>
      <c r="BC896" s="13">
        <v>0.06</v>
      </c>
      <c r="BM896" s="13">
        <v>0.2</v>
      </c>
      <c r="BN896" s="13">
        <v>0.05</v>
      </c>
      <c r="BX896" s="13">
        <v>8.5000000000000006E-2</v>
      </c>
      <c r="BY896" s="13" t="s">
        <v>2102</v>
      </c>
      <c r="BZ896" s="13" t="s">
        <v>2103</v>
      </c>
      <c r="CA896" s="13">
        <v>2021</v>
      </c>
      <c r="CB896" s="13" t="s">
        <v>12</v>
      </c>
      <c r="CC896" s="13" t="s">
        <v>1215</v>
      </c>
      <c r="CD896" s="13">
        <v>12</v>
      </c>
      <c r="CG896" s="13" t="s">
        <v>2104</v>
      </c>
    </row>
    <row r="897" spans="1:85">
      <c r="A897" s="13" t="s">
        <v>2023</v>
      </c>
      <c r="B897" s="13" t="s">
        <v>2023</v>
      </c>
      <c r="C897" s="14" t="s">
        <v>2024</v>
      </c>
      <c r="D897" s="14" t="s">
        <v>827</v>
      </c>
      <c r="E897" s="13" t="s">
        <v>689</v>
      </c>
      <c r="F897" s="13" t="s">
        <v>2962</v>
      </c>
      <c r="G897" s="13" t="s">
        <v>673</v>
      </c>
      <c r="H897" s="13" t="s">
        <v>2576</v>
      </c>
      <c r="J897" s="14" t="s">
        <v>712</v>
      </c>
      <c r="K897" s="14" t="s">
        <v>2955</v>
      </c>
      <c r="L897" s="14" t="s">
        <v>2956</v>
      </c>
      <c r="N897" s="13">
        <v>162</v>
      </c>
      <c r="O897" s="2">
        <f t="shared" si="77"/>
        <v>0.66122448979591841</v>
      </c>
      <c r="P897" s="13">
        <v>31</v>
      </c>
      <c r="Q897" s="17">
        <f t="shared" si="78"/>
        <v>0.51666666666666672</v>
      </c>
      <c r="R897" s="13">
        <v>245</v>
      </c>
      <c r="S897" s="13">
        <v>60</v>
      </c>
      <c r="W897" s="13">
        <v>55.87</v>
      </c>
      <c r="X897" s="13">
        <v>9.7100000000000009</v>
      </c>
      <c r="AB897" s="13">
        <v>57.08</v>
      </c>
      <c r="AC897" s="13">
        <v>10.49</v>
      </c>
      <c r="AG897" s="13" t="s">
        <v>903</v>
      </c>
      <c r="BB897" s="13">
        <v>0.85</v>
      </c>
      <c r="BC897" s="13">
        <v>0.16</v>
      </c>
      <c r="BM897" s="13">
        <v>0.8</v>
      </c>
      <c r="BN897" s="13">
        <v>0.16</v>
      </c>
      <c r="BX897" s="13">
        <v>2.5999999999999999E-2</v>
      </c>
      <c r="BY897" s="13" t="s">
        <v>2102</v>
      </c>
      <c r="BZ897" s="13" t="s">
        <v>2103</v>
      </c>
      <c r="CA897" s="13">
        <v>2021</v>
      </c>
      <c r="CB897" s="13" t="s">
        <v>12</v>
      </c>
      <c r="CC897" s="13" t="s">
        <v>1215</v>
      </c>
      <c r="CD897" s="13">
        <v>12</v>
      </c>
      <c r="CG897" s="13" t="s">
        <v>2104</v>
      </c>
    </row>
    <row r="898" spans="1:85">
      <c r="A898" s="13" t="s">
        <v>2023</v>
      </c>
      <c r="B898" s="13" t="s">
        <v>2023</v>
      </c>
      <c r="C898" s="14" t="s">
        <v>2024</v>
      </c>
      <c r="D898" s="14" t="s">
        <v>827</v>
      </c>
      <c r="E898" s="13" t="s">
        <v>689</v>
      </c>
      <c r="F898" s="13" t="s">
        <v>2962</v>
      </c>
      <c r="G898" s="13" t="s">
        <v>673</v>
      </c>
      <c r="H898" s="13" t="s">
        <v>2954</v>
      </c>
      <c r="J898" s="14" t="s">
        <v>712</v>
      </c>
      <c r="K898" s="14" t="s">
        <v>2955</v>
      </c>
      <c r="L898" s="14" t="s">
        <v>2956</v>
      </c>
      <c r="N898" s="13">
        <v>162</v>
      </c>
      <c r="O898" s="2">
        <f t="shared" si="77"/>
        <v>0.66122448979591841</v>
      </c>
      <c r="P898" s="13">
        <v>31</v>
      </c>
      <c r="Q898" s="17">
        <f t="shared" si="78"/>
        <v>0.51666666666666672</v>
      </c>
      <c r="R898" s="13">
        <v>245</v>
      </c>
      <c r="S898" s="13">
        <v>60</v>
      </c>
      <c r="W898" s="13">
        <v>55.87</v>
      </c>
      <c r="X898" s="13">
        <v>9.7100000000000009</v>
      </c>
      <c r="AB898" s="13">
        <v>57.08</v>
      </c>
      <c r="AC898" s="13">
        <v>10.49</v>
      </c>
      <c r="AG898" s="13" t="s">
        <v>903</v>
      </c>
      <c r="BB898" s="13">
        <v>11.5</v>
      </c>
      <c r="BC898" s="13">
        <v>2.59</v>
      </c>
      <c r="BM898" s="13">
        <v>12.18</v>
      </c>
      <c r="BN898" s="13">
        <v>2.64</v>
      </c>
      <c r="BX898" s="13">
        <v>7.0000000000000007E-2</v>
      </c>
      <c r="BY898" s="13" t="s">
        <v>2102</v>
      </c>
      <c r="BZ898" s="13" t="s">
        <v>2103</v>
      </c>
      <c r="CA898" s="13">
        <v>2021</v>
      </c>
      <c r="CB898" s="13" t="s">
        <v>12</v>
      </c>
      <c r="CC898" s="13" t="s">
        <v>1215</v>
      </c>
      <c r="CD898" s="13">
        <v>12</v>
      </c>
      <c r="CG898" s="13" t="s">
        <v>2104</v>
      </c>
    </row>
    <row r="899" spans="1:85">
      <c r="A899" s="13" t="s">
        <v>2023</v>
      </c>
      <c r="B899" s="13" t="s">
        <v>2023</v>
      </c>
      <c r="C899" s="14" t="s">
        <v>2024</v>
      </c>
      <c r="D899" s="14" t="s">
        <v>827</v>
      </c>
      <c r="E899" s="13" t="s">
        <v>689</v>
      </c>
      <c r="F899" s="13" t="s">
        <v>2962</v>
      </c>
      <c r="G899" s="13" t="s">
        <v>673</v>
      </c>
      <c r="H899" s="13" t="s">
        <v>2957</v>
      </c>
      <c r="J899" s="14" t="s">
        <v>712</v>
      </c>
      <c r="K899" s="14" t="s">
        <v>2955</v>
      </c>
      <c r="L899" s="14" t="s">
        <v>2956</v>
      </c>
      <c r="N899" s="13">
        <v>162</v>
      </c>
      <c r="O899" s="2">
        <f t="shared" si="77"/>
        <v>0.66122448979591841</v>
      </c>
      <c r="P899" s="13">
        <v>31</v>
      </c>
      <c r="Q899" s="17">
        <f t="shared" si="78"/>
        <v>0.51666666666666672</v>
      </c>
      <c r="R899" s="13">
        <v>245</v>
      </c>
      <c r="S899" s="13">
        <v>60</v>
      </c>
      <c r="W899" s="13">
        <v>55.87</v>
      </c>
      <c r="X899" s="13">
        <v>9.7100000000000009</v>
      </c>
      <c r="AB899" s="13">
        <v>57.08</v>
      </c>
      <c r="AC899" s="13">
        <v>10.49</v>
      </c>
      <c r="AG899" s="13" t="s">
        <v>903</v>
      </c>
      <c r="BB899" s="13">
        <v>2.14</v>
      </c>
      <c r="BC899" s="13">
        <v>1.04</v>
      </c>
      <c r="BM899" s="13">
        <v>2.2200000000000002</v>
      </c>
      <c r="BN899" s="13">
        <v>0.92</v>
      </c>
      <c r="BX899" s="13">
        <v>0.59699999999999998</v>
      </c>
      <c r="BY899" s="13" t="s">
        <v>2102</v>
      </c>
      <c r="BZ899" s="13" t="s">
        <v>2103</v>
      </c>
      <c r="CA899" s="13">
        <v>2021</v>
      </c>
      <c r="CB899" s="13" t="s">
        <v>12</v>
      </c>
      <c r="CC899" s="13" t="s">
        <v>1215</v>
      </c>
      <c r="CD899" s="13">
        <v>12</v>
      </c>
      <c r="CG899" s="13" t="s">
        <v>2104</v>
      </c>
    </row>
    <row r="900" spans="1:85">
      <c r="A900" s="13" t="s">
        <v>2023</v>
      </c>
      <c r="B900" s="13" t="s">
        <v>2023</v>
      </c>
      <c r="C900" s="14" t="s">
        <v>2024</v>
      </c>
      <c r="D900" s="14" t="s">
        <v>827</v>
      </c>
      <c r="E900" s="13" t="s">
        <v>689</v>
      </c>
      <c r="F900" s="13" t="s">
        <v>2962</v>
      </c>
      <c r="G900" s="13" t="s">
        <v>673</v>
      </c>
      <c r="H900" s="13" t="s">
        <v>2958</v>
      </c>
      <c r="J900" s="14" t="s">
        <v>712</v>
      </c>
      <c r="K900" s="14" t="s">
        <v>2955</v>
      </c>
      <c r="L900" s="14" t="s">
        <v>2956</v>
      </c>
      <c r="N900" s="13">
        <v>162</v>
      </c>
      <c r="O900" s="2">
        <f t="shared" si="77"/>
        <v>0.66122448979591841</v>
      </c>
      <c r="P900" s="13">
        <v>31</v>
      </c>
      <c r="Q900" s="17">
        <f t="shared" si="78"/>
        <v>0.51666666666666672</v>
      </c>
      <c r="R900" s="13">
        <v>245</v>
      </c>
      <c r="S900" s="13">
        <v>60</v>
      </c>
      <c r="W900" s="13">
        <v>55.87</v>
      </c>
      <c r="X900" s="13">
        <v>9.7100000000000009</v>
      </c>
      <c r="AB900" s="13">
        <v>57.08</v>
      </c>
      <c r="AC900" s="13">
        <v>10.49</v>
      </c>
      <c r="AG900" s="13" t="s">
        <v>903</v>
      </c>
      <c r="BB900" s="13">
        <v>1.24</v>
      </c>
      <c r="BC900" s="13">
        <v>0.59</v>
      </c>
      <c r="BM900" s="13">
        <v>1.1599999999999999</v>
      </c>
      <c r="BN900" s="13">
        <v>0.52</v>
      </c>
      <c r="BX900" s="13">
        <v>0.309</v>
      </c>
      <c r="BY900" s="13" t="s">
        <v>2102</v>
      </c>
      <c r="BZ900" s="13" t="s">
        <v>2103</v>
      </c>
      <c r="CA900" s="13">
        <v>2021</v>
      </c>
      <c r="CB900" s="13" t="s">
        <v>12</v>
      </c>
      <c r="CC900" s="13" t="s">
        <v>1215</v>
      </c>
      <c r="CD900" s="13">
        <v>12</v>
      </c>
      <c r="CG900" s="13" t="s">
        <v>2104</v>
      </c>
    </row>
    <row r="901" spans="1:85">
      <c r="A901" s="13" t="s">
        <v>3426</v>
      </c>
      <c r="C901" s="13" t="s">
        <v>3982</v>
      </c>
      <c r="D901" s="14" t="s">
        <v>3981</v>
      </c>
      <c r="H901" s="13" t="s">
        <v>3983</v>
      </c>
      <c r="J901" s="14" t="s">
        <v>712</v>
      </c>
      <c r="K901" s="13" t="s">
        <v>3887</v>
      </c>
      <c r="BY901" s="13" t="s">
        <v>3609</v>
      </c>
      <c r="BZ901" s="13" t="s">
        <v>3610</v>
      </c>
      <c r="CA901" s="13">
        <v>2024</v>
      </c>
      <c r="CB901" s="21">
        <v>45977</v>
      </c>
      <c r="CC901" s="13" t="s">
        <v>61</v>
      </c>
      <c r="CD901" s="13">
        <v>14</v>
      </c>
      <c r="CE901" s="13">
        <v>1</v>
      </c>
      <c r="CF901" s="13">
        <v>28289</v>
      </c>
      <c r="CG901" s="13" t="s">
        <v>3281</v>
      </c>
    </row>
    <row r="902" spans="1:85">
      <c r="A902" s="13" t="s">
        <v>1930</v>
      </c>
      <c r="B902" s="13" t="s">
        <v>1930</v>
      </c>
      <c r="C902" s="14" t="s">
        <v>1585</v>
      </c>
      <c r="D902" s="14" t="s">
        <v>2772</v>
      </c>
      <c r="E902" s="13" t="s">
        <v>630</v>
      </c>
      <c r="F902" s="13" t="s">
        <v>2971</v>
      </c>
      <c r="G902" s="13" t="s">
        <v>725</v>
      </c>
      <c r="H902" s="13" t="s">
        <v>2595</v>
      </c>
      <c r="J902" s="14" t="s">
        <v>712</v>
      </c>
      <c r="K902" s="14" t="s">
        <v>2968</v>
      </c>
      <c r="L902" s="14" t="s">
        <v>2969</v>
      </c>
      <c r="M902" s="27" t="s">
        <v>2969</v>
      </c>
      <c r="O902" s="2">
        <v>0.58799999999999997</v>
      </c>
      <c r="Q902" s="17">
        <v>0.54100000000000004</v>
      </c>
      <c r="R902" s="13">
        <v>1030</v>
      </c>
      <c r="S902" s="13">
        <v>292</v>
      </c>
      <c r="W902" s="13">
        <v>57</v>
      </c>
      <c r="X902" s="13">
        <v>11.4</v>
      </c>
      <c r="AB902" s="13">
        <v>57.6</v>
      </c>
      <c r="AC902" s="13">
        <v>7.7</v>
      </c>
      <c r="BB902" s="13">
        <v>2.2599999999999998</v>
      </c>
      <c r="BC902" s="13">
        <v>1.33</v>
      </c>
      <c r="BM902" s="13">
        <v>1.89</v>
      </c>
      <c r="BN902" s="13">
        <v>0.8</v>
      </c>
      <c r="BX902" s="13" t="s">
        <v>1027</v>
      </c>
      <c r="BY902" s="13" t="s">
        <v>1580</v>
      </c>
      <c r="BZ902" s="13" t="s">
        <v>1581</v>
      </c>
      <c r="CA902" s="13">
        <v>2022</v>
      </c>
      <c r="CC902" s="13" t="s">
        <v>1582</v>
      </c>
      <c r="CD902" s="13">
        <v>17</v>
      </c>
      <c r="CE902" s="13">
        <v>4</v>
      </c>
      <c r="CF902" s="13" t="s">
        <v>1583</v>
      </c>
      <c r="CG902" s="13" t="s">
        <v>1584</v>
      </c>
    </row>
    <row r="903" spans="1:85">
      <c r="A903" s="13" t="s">
        <v>1930</v>
      </c>
      <c r="B903" s="13" t="s">
        <v>1930</v>
      </c>
      <c r="C903" s="14" t="s">
        <v>1585</v>
      </c>
      <c r="D903" s="14" t="s">
        <v>2772</v>
      </c>
      <c r="E903" s="13" t="s">
        <v>2959</v>
      </c>
      <c r="F903" s="13" t="s">
        <v>2972</v>
      </c>
      <c r="G903" s="13" t="s">
        <v>725</v>
      </c>
      <c r="H903" s="13" t="s">
        <v>2595</v>
      </c>
      <c r="J903" s="14" t="s">
        <v>712</v>
      </c>
      <c r="K903" s="14" t="s">
        <v>2968</v>
      </c>
      <c r="L903" s="14" t="s">
        <v>2969</v>
      </c>
      <c r="M903" s="27" t="s">
        <v>2969</v>
      </c>
      <c r="O903" s="2">
        <v>0.58799999999999997</v>
      </c>
      <c r="Q903" s="17">
        <v>0.59899999999999998</v>
      </c>
      <c r="R903" s="13">
        <v>1030</v>
      </c>
      <c r="S903" s="13">
        <v>292</v>
      </c>
      <c r="W903" s="13">
        <v>57</v>
      </c>
      <c r="X903" s="13">
        <v>11.4</v>
      </c>
      <c r="AB903" s="13">
        <v>58</v>
      </c>
      <c r="AC903" s="13">
        <v>7.1</v>
      </c>
      <c r="BB903" s="13">
        <v>2.2599999999999998</v>
      </c>
      <c r="BC903" s="13">
        <v>1.33</v>
      </c>
      <c r="BM903" s="13">
        <v>2.37</v>
      </c>
      <c r="BN903" s="13">
        <v>1.93</v>
      </c>
      <c r="BX903" s="13">
        <v>0.39400000000000002</v>
      </c>
      <c r="BY903" s="13" t="s">
        <v>1580</v>
      </c>
      <c r="BZ903" s="13" t="s">
        <v>1581</v>
      </c>
      <c r="CA903" s="13">
        <v>2022</v>
      </c>
      <c r="CC903" s="13" t="s">
        <v>1582</v>
      </c>
      <c r="CD903" s="13">
        <v>17</v>
      </c>
      <c r="CE903" s="13">
        <v>4</v>
      </c>
      <c r="CF903" s="13" t="s">
        <v>1583</v>
      </c>
      <c r="CG903" s="13" t="s">
        <v>1584</v>
      </c>
    </row>
    <row r="904" spans="1:85">
      <c r="A904" s="13" t="s">
        <v>1929</v>
      </c>
      <c r="B904" s="13" t="s">
        <v>1929</v>
      </c>
      <c r="C904" s="14" t="s">
        <v>1579</v>
      </c>
      <c r="D904" s="14" t="s">
        <v>898</v>
      </c>
      <c r="E904" s="13" t="s">
        <v>630</v>
      </c>
      <c r="F904" s="13" t="s">
        <v>2966</v>
      </c>
      <c r="G904" s="13" t="s">
        <v>673</v>
      </c>
      <c r="H904" s="13" t="s">
        <v>2963</v>
      </c>
      <c r="J904" s="14" t="s">
        <v>712</v>
      </c>
      <c r="K904" s="14" t="s">
        <v>2964</v>
      </c>
      <c r="L904" s="14" t="s">
        <v>585</v>
      </c>
      <c r="N904" s="13">
        <v>123</v>
      </c>
      <c r="O904" s="2">
        <f t="shared" ref="O904:O918" si="79">N904/R904</f>
        <v>0.65079365079365081</v>
      </c>
      <c r="P904" s="13">
        <v>41</v>
      </c>
      <c r="Q904" s="17">
        <f t="shared" ref="Q904:Q918" si="80">P904/S904</f>
        <v>0.65079365079365081</v>
      </c>
      <c r="R904" s="13">
        <v>189</v>
      </c>
      <c r="S904" s="13">
        <v>63</v>
      </c>
      <c r="W904" s="13">
        <v>50.17</v>
      </c>
      <c r="X904" s="13">
        <v>9.16</v>
      </c>
      <c r="AB904" s="13">
        <v>52.43</v>
      </c>
      <c r="AC904" s="13">
        <v>8.7200000000000006</v>
      </c>
      <c r="AG904" s="13" t="s">
        <v>639</v>
      </c>
      <c r="BX904" s="13" t="s">
        <v>691</v>
      </c>
      <c r="BY904" s="13" t="s">
        <v>1575</v>
      </c>
      <c r="BZ904" s="13" t="s">
        <v>1576</v>
      </c>
      <c r="CA904" s="13">
        <v>2023</v>
      </c>
      <c r="CB904" s="13" t="s">
        <v>2152</v>
      </c>
      <c r="CC904" s="13" t="s">
        <v>1577</v>
      </c>
      <c r="CD904" s="13">
        <v>8</v>
      </c>
      <c r="CE904" s="13">
        <v>1</v>
      </c>
      <c r="CF904" s="13" t="s">
        <v>2151</v>
      </c>
      <c r="CG904" s="13" t="s">
        <v>1578</v>
      </c>
    </row>
    <row r="905" spans="1:85">
      <c r="A905" s="13" t="s">
        <v>1929</v>
      </c>
      <c r="B905" s="13" t="s">
        <v>1929</v>
      </c>
      <c r="C905" s="14" t="s">
        <v>1579</v>
      </c>
      <c r="D905" s="14" t="s">
        <v>898</v>
      </c>
      <c r="E905" s="13" t="s">
        <v>630</v>
      </c>
      <c r="F905" s="13" t="s">
        <v>2966</v>
      </c>
      <c r="G905" s="13" t="s">
        <v>673</v>
      </c>
      <c r="H905" s="13" t="s">
        <v>2726</v>
      </c>
      <c r="J905" s="14" t="s">
        <v>712</v>
      </c>
      <c r="K905" s="14" t="s">
        <v>2964</v>
      </c>
      <c r="L905" s="14" t="s">
        <v>585</v>
      </c>
      <c r="N905" s="13">
        <v>123</v>
      </c>
      <c r="O905" s="2">
        <f t="shared" si="79"/>
        <v>0.65079365079365081</v>
      </c>
      <c r="P905" s="13">
        <v>41</v>
      </c>
      <c r="Q905" s="17">
        <f t="shared" si="80"/>
        <v>0.65079365079365081</v>
      </c>
      <c r="R905" s="13">
        <v>189</v>
      </c>
      <c r="S905" s="13">
        <v>63</v>
      </c>
      <c r="W905" s="13">
        <v>50.17</v>
      </c>
      <c r="X905" s="13">
        <v>9.16</v>
      </c>
      <c r="AB905" s="13">
        <v>52.43</v>
      </c>
      <c r="AC905" s="13">
        <v>8.7200000000000006</v>
      </c>
      <c r="AG905" s="13" t="s">
        <v>639</v>
      </c>
      <c r="BB905" s="13">
        <v>6.74</v>
      </c>
      <c r="BC905" s="13">
        <v>2.1</v>
      </c>
      <c r="BM905" s="13">
        <v>5.91</v>
      </c>
      <c r="BN905" s="13">
        <v>1.79</v>
      </c>
      <c r="BX905" s="13">
        <v>5.3E-3</v>
      </c>
      <c r="BY905" s="13" t="s">
        <v>1575</v>
      </c>
      <c r="BZ905" s="13" t="s">
        <v>1576</v>
      </c>
      <c r="CA905" s="13">
        <v>2023</v>
      </c>
      <c r="CB905" s="13" t="s">
        <v>2152</v>
      </c>
      <c r="CC905" s="13" t="s">
        <v>1577</v>
      </c>
      <c r="CD905" s="13">
        <v>8</v>
      </c>
      <c r="CE905" s="13">
        <v>1</v>
      </c>
      <c r="CF905" s="13" t="s">
        <v>2151</v>
      </c>
      <c r="CG905" s="13" t="s">
        <v>1578</v>
      </c>
    </row>
    <row r="906" spans="1:85">
      <c r="A906" s="13" t="s">
        <v>1929</v>
      </c>
      <c r="B906" s="13" t="s">
        <v>1929</v>
      </c>
      <c r="C906" s="14" t="s">
        <v>1579</v>
      </c>
      <c r="D906" s="14" t="s">
        <v>898</v>
      </c>
      <c r="E906" s="13" t="s">
        <v>630</v>
      </c>
      <c r="F906" s="13" t="s">
        <v>2966</v>
      </c>
      <c r="G906" s="13" t="s">
        <v>673</v>
      </c>
      <c r="H906" s="13" t="s">
        <v>2965</v>
      </c>
      <c r="J906" s="14" t="s">
        <v>712</v>
      </c>
      <c r="K906" s="14" t="s">
        <v>2964</v>
      </c>
      <c r="L906" s="14" t="s">
        <v>585</v>
      </c>
      <c r="N906" s="13">
        <v>123</v>
      </c>
      <c r="O906" s="2">
        <f t="shared" si="79"/>
        <v>0.65079365079365081</v>
      </c>
      <c r="P906" s="13">
        <v>41</v>
      </c>
      <c r="Q906" s="17">
        <f t="shared" si="80"/>
        <v>0.65079365079365081</v>
      </c>
      <c r="R906" s="13">
        <v>189</v>
      </c>
      <c r="S906" s="13">
        <v>63</v>
      </c>
      <c r="W906" s="13">
        <v>50.17</v>
      </c>
      <c r="X906" s="13">
        <v>9.16</v>
      </c>
      <c r="AB906" s="13">
        <v>52.43</v>
      </c>
      <c r="AC906" s="13">
        <v>8.7200000000000006</v>
      </c>
      <c r="AG906" s="13" t="s">
        <v>2435</v>
      </c>
      <c r="BB906" s="13">
        <v>339.23</v>
      </c>
      <c r="BC906" s="13">
        <v>109.34</v>
      </c>
      <c r="BM906" s="13">
        <v>348.78</v>
      </c>
      <c r="BN906" s="13">
        <v>108.6</v>
      </c>
      <c r="BX906" s="13">
        <v>0.54969999999999997</v>
      </c>
      <c r="BY906" s="13" t="s">
        <v>1575</v>
      </c>
      <c r="BZ906" s="13" t="s">
        <v>1576</v>
      </c>
      <c r="CA906" s="13">
        <v>2023</v>
      </c>
      <c r="CB906" s="13" t="s">
        <v>2152</v>
      </c>
      <c r="CC906" s="13" t="s">
        <v>1577</v>
      </c>
      <c r="CD906" s="13">
        <v>8</v>
      </c>
      <c r="CE906" s="13">
        <v>1</v>
      </c>
      <c r="CF906" s="13" t="s">
        <v>2151</v>
      </c>
      <c r="CG906" s="13" t="s">
        <v>1578</v>
      </c>
    </row>
    <row r="907" spans="1:85">
      <c r="A907" s="13" t="s">
        <v>1929</v>
      </c>
      <c r="B907" s="13" t="s">
        <v>1929</v>
      </c>
      <c r="C907" s="14" t="s">
        <v>1579</v>
      </c>
      <c r="D907" s="14" t="s">
        <v>898</v>
      </c>
      <c r="E907" s="13" t="s">
        <v>630</v>
      </c>
      <c r="F907" s="13" t="s">
        <v>2966</v>
      </c>
      <c r="G907" s="13" t="s">
        <v>673</v>
      </c>
      <c r="H907" s="13" t="s">
        <v>2382</v>
      </c>
      <c r="J907" s="14" t="s">
        <v>712</v>
      </c>
      <c r="K907" s="14" t="s">
        <v>2964</v>
      </c>
      <c r="L907" s="14" t="s">
        <v>585</v>
      </c>
      <c r="N907" s="13">
        <v>123</v>
      </c>
      <c r="O907" s="2">
        <f t="shared" si="79"/>
        <v>0.65079365079365081</v>
      </c>
      <c r="P907" s="13">
        <v>41</v>
      </c>
      <c r="Q907" s="17">
        <f t="shared" si="80"/>
        <v>0.65079365079365081</v>
      </c>
      <c r="R907" s="13">
        <v>189</v>
      </c>
      <c r="S907" s="13">
        <v>63</v>
      </c>
      <c r="W907" s="13">
        <v>50.17</v>
      </c>
      <c r="X907" s="13">
        <v>9.16</v>
      </c>
      <c r="AB907" s="13">
        <v>52.43</v>
      </c>
      <c r="AC907" s="13">
        <v>8.7200000000000006</v>
      </c>
      <c r="AG907" s="13" t="s">
        <v>639</v>
      </c>
      <c r="BB907" s="13">
        <v>3.37</v>
      </c>
      <c r="BC907" s="13">
        <v>2.2999999999999998</v>
      </c>
      <c r="BM907" s="13">
        <v>3.16</v>
      </c>
      <c r="BN907" s="13">
        <v>1.1599999999999999</v>
      </c>
      <c r="BX907" s="13">
        <v>0.92769999999999997</v>
      </c>
      <c r="BY907" s="13" t="s">
        <v>1575</v>
      </c>
      <c r="BZ907" s="13" t="s">
        <v>1576</v>
      </c>
      <c r="CA907" s="13">
        <v>2023</v>
      </c>
      <c r="CB907" s="13" t="s">
        <v>2152</v>
      </c>
      <c r="CC907" s="13" t="s">
        <v>1577</v>
      </c>
      <c r="CD907" s="13">
        <v>8</v>
      </c>
      <c r="CE907" s="13">
        <v>1</v>
      </c>
      <c r="CF907" s="13" t="s">
        <v>2151</v>
      </c>
      <c r="CG907" s="13" t="s">
        <v>1578</v>
      </c>
    </row>
    <row r="908" spans="1:85">
      <c r="A908" s="13" t="s">
        <v>1929</v>
      </c>
      <c r="B908" s="13" t="s">
        <v>1929</v>
      </c>
      <c r="C908" s="14" t="s">
        <v>1579</v>
      </c>
      <c r="D908" s="14" t="s">
        <v>898</v>
      </c>
      <c r="E908" s="13" t="s">
        <v>630</v>
      </c>
      <c r="F908" s="13" t="s">
        <v>2966</v>
      </c>
      <c r="G908" s="13" t="s">
        <v>673</v>
      </c>
      <c r="H908" s="13" t="s">
        <v>2722</v>
      </c>
      <c r="J908" s="14" t="s">
        <v>712</v>
      </c>
      <c r="K908" s="14" t="s">
        <v>2964</v>
      </c>
      <c r="L908" s="14" t="s">
        <v>585</v>
      </c>
      <c r="N908" s="13">
        <v>123</v>
      </c>
      <c r="O908" s="2">
        <f t="shared" si="79"/>
        <v>0.65079365079365081</v>
      </c>
      <c r="P908" s="13">
        <v>41</v>
      </c>
      <c r="Q908" s="17">
        <f t="shared" si="80"/>
        <v>0.65079365079365081</v>
      </c>
      <c r="R908" s="13">
        <v>189</v>
      </c>
      <c r="S908" s="13">
        <v>63</v>
      </c>
      <c r="W908" s="13">
        <v>50.17</v>
      </c>
      <c r="X908" s="13">
        <v>9.16</v>
      </c>
      <c r="AB908" s="13">
        <v>52.43</v>
      </c>
      <c r="AC908" s="13">
        <v>8.7200000000000006</v>
      </c>
      <c r="AG908" s="13" t="s">
        <v>639</v>
      </c>
      <c r="BB908" s="13">
        <v>16.38</v>
      </c>
      <c r="BC908" s="13">
        <v>18.11</v>
      </c>
      <c r="BM908" s="13">
        <v>10.16</v>
      </c>
      <c r="BN908" s="13">
        <v>4.8899999999999997</v>
      </c>
      <c r="BX908" s="13" t="s">
        <v>701</v>
      </c>
      <c r="BY908" s="13" t="s">
        <v>1575</v>
      </c>
      <c r="BZ908" s="13" t="s">
        <v>1576</v>
      </c>
      <c r="CA908" s="13">
        <v>2023</v>
      </c>
      <c r="CB908" s="13" t="s">
        <v>2152</v>
      </c>
      <c r="CC908" s="13" t="s">
        <v>1577</v>
      </c>
      <c r="CD908" s="13">
        <v>8</v>
      </c>
      <c r="CE908" s="13">
        <v>1</v>
      </c>
      <c r="CF908" s="13" t="s">
        <v>2151</v>
      </c>
      <c r="CG908" s="13" t="s">
        <v>1578</v>
      </c>
    </row>
    <row r="909" spans="1:85">
      <c r="A909" s="13" t="s">
        <v>1929</v>
      </c>
      <c r="B909" s="13" t="s">
        <v>1929</v>
      </c>
      <c r="C909" s="14" t="s">
        <v>1579</v>
      </c>
      <c r="D909" s="14" t="s">
        <v>898</v>
      </c>
      <c r="E909" s="13" t="s">
        <v>630</v>
      </c>
      <c r="F909" s="13" t="s">
        <v>2966</v>
      </c>
      <c r="G909" s="13" t="s">
        <v>673</v>
      </c>
      <c r="H909" s="13" t="s">
        <v>2724</v>
      </c>
      <c r="J909" s="14" t="s">
        <v>712</v>
      </c>
      <c r="K909" s="14" t="s">
        <v>2964</v>
      </c>
      <c r="L909" s="14" t="s">
        <v>585</v>
      </c>
      <c r="N909" s="13">
        <v>123</v>
      </c>
      <c r="O909" s="2">
        <f t="shared" si="79"/>
        <v>0.65079365079365081</v>
      </c>
      <c r="P909" s="13">
        <v>41</v>
      </c>
      <c r="Q909" s="17">
        <f t="shared" si="80"/>
        <v>0.65079365079365081</v>
      </c>
      <c r="R909" s="13">
        <v>189</v>
      </c>
      <c r="S909" s="13">
        <v>63</v>
      </c>
      <c r="W909" s="13">
        <v>50.17</v>
      </c>
      <c r="X909" s="13">
        <v>9.16</v>
      </c>
      <c r="AB909" s="13">
        <v>52.43</v>
      </c>
      <c r="AC909" s="13">
        <v>8.7200000000000006</v>
      </c>
      <c r="AG909" s="13" t="s">
        <v>639</v>
      </c>
      <c r="BY909" s="13" t="s">
        <v>1575</v>
      </c>
      <c r="BZ909" s="13" t="s">
        <v>1576</v>
      </c>
      <c r="CA909" s="13">
        <v>2023</v>
      </c>
      <c r="CB909" s="13" t="s">
        <v>2152</v>
      </c>
      <c r="CC909" s="13" t="s">
        <v>1577</v>
      </c>
      <c r="CD909" s="13">
        <v>8</v>
      </c>
      <c r="CE909" s="13">
        <v>1</v>
      </c>
      <c r="CF909" s="13" t="s">
        <v>2151</v>
      </c>
      <c r="CG909" s="13" t="s">
        <v>1578</v>
      </c>
    </row>
    <row r="910" spans="1:85">
      <c r="A910" s="13" t="s">
        <v>1929</v>
      </c>
      <c r="B910" s="13" t="s">
        <v>1929</v>
      </c>
      <c r="C910" s="14" t="s">
        <v>1579</v>
      </c>
      <c r="D910" s="14" t="s">
        <v>898</v>
      </c>
      <c r="E910" s="13" t="s">
        <v>630</v>
      </c>
      <c r="F910" s="13" t="s">
        <v>2966</v>
      </c>
      <c r="G910" s="13" t="s">
        <v>673</v>
      </c>
      <c r="H910" s="13" t="s">
        <v>2717</v>
      </c>
      <c r="J910" s="14" t="s">
        <v>712</v>
      </c>
      <c r="K910" s="14" t="s">
        <v>2964</v>
      </c>
      <c r="L910" s="14" t="s">
        <v>585</v>
      </c>
      <c r="N910" s="13">
        <v>123</v>
      </c>
      <c r="O910" s="2">
        <f t="shared" si="79"/>
        <v>0.65079365079365081</v>
      </c>
      <c r="P910" s="13">
        <v>41</v>
      </c>
      <c r="Q910" s="17">
        <f t="shared" si="80"/>
        <v>0.65079365079365081</v>
      </c>
      <c r="R910" s="13">
        <v>189</v>
      </c>
      <c r="S910" s="13">
        <v>63</v>
      </c>
      <c r="W910" s="13">
        <v>50.17</v>
      </c>
      <c r="X910" s="13">
        <v>9.16</v>
      </c>
      <c r="AB910" s="13">
        <v>52.43</v>
      </c>
      <c r="AC910" s="13">
        <v>8.7200000000000006</v>
      </c>
      <c r="AG910" s="13" t="s">
        <v>639</v>
      </c>
      <c r="BY910" s="13" t="s">
        <v>1575</v>
      </c>
      <c r="BZ910" s="13" t="s">
        <v>1576</v>
      </c>
      <c r="CA910" s="13">
        <v>2023</v>
      </c>
      <c r="CB910" s="13" t="s">
        <v>2152</v>
      </c>
      <c r="CC910" s="13" t="s">
        <v>1577</v>
      </c>
      <c r="CD910" s="13">
        <v>8</v>
      </c>
      <c r="CE910" s="13">
        <v>1</v>
      </c>
      <c r="CF910" s="13" t="s">
        <v>2151</v>
      </c>
      <c r="CG910" s="13" t="s">
        <v>1578</v>
      </c>
    </row>
    <row r="911" spans="1:85">
      <c r="A911" s="13" t="s">
        <v>2025</v>
      </c>
      <c r="B911" s="13" t="s">
        <v>2025</v>
      </c>
      <c r="C911" s="14" t="s">
        <v>2026</v>
      </c>
      <c r="D911" s="14" t="s">
        <v>830</v>
      </c>
      <c r="E911" s="13" t="s">
        <v>630</v>
      </c>
      <c r="F911" s="13" t="s">
        <v>2974</v>
      </c>
      <c r="G911" s="13" t="s">
        <v>672</v>
      </c>
      <c r="H911" s="13" t="s">
        <v>686</v>
      </c>
      <c r="J911" s="14" t="s">
        <v>669</v>
      </c>
      <c r="K911" s="14" t="s">
        <v>2973</v>
      </c>
      <c r="L911" s="14" t="s">
        <v>2975</v>
      </c>
      <c r="N911" s="13">
        <v>4</v>
      </c>
      <c r="O911" s="2">
        <f t="shared" si="79"/>
        <v>0.4</v>
      </c>
      <c r="P911" s="13">
        <v>4</v>
      </c>
      <c r="Q911" s="17">
        <f t="shared" si="80"/>
        <v>0.4</v>
      </c>
      <c r="R911" s="13">
        <v>10</v>
      </c>
      <c r="S911" s="13">
        <v>10</v>
      </c>
      <c r="Y911" s="13">
        <v>69.599999999999994</v>
      </c>
      <c r="Z911" s="13">
        <v>57.8</v>
      </c>
      <c r="AA911" s="13">
        <v>74.5</v>
      </c>
      <c r="AD911" s="13">
        <v>73.5</v>
      </c>
      <c r="AE911" s="13">
        <v>64.400000000000006</v>
      </c>
      <c r="AF911" s="13">
        <v>74.5</v>
      </c>
      <c r="AG911" s="13" t="s">
        <v>639</v>
      </c>
      <c r="AP911" s="13">
        <v>1</v>
      </c>
      <c r="AR911" s="13">
        <v>1</v>
      </c>
      <c r="AS911" s="13">
        <v>1</v>
      </c>
      <c r="BG911" s="13">
        <v>1384</v>
      </c>
      <c r="BI911" s="13">
        <v>1046</v>
      </c>
      <c r="BJ911" s="13">
        <v>1480</v>
      </c>
      <c r="BR911" s="13">
        <v>164</v>
      </c>
      <c r="BT911" s="13">
        <v>87</v>
      </c>
      <c r="BU911" s="13">
        <v>248</v>
      </c>
      <c r="BX911" s="13" t="s">
        <v>635</v>
      </c>
      <c r="BY911" s="13" t="s">
        <v>2105</v>
      </c>
      <c r="BZ911" s="13" t="s">
        <v>2106</v>
      </c>
      <c r="CA911" s="13">
        <v>2019</v>
      </c>
      <c r="CB911" s="13" t="s">
        <v>2150</v>
      </c>
      <c r="CC911" s="13" t="s">
        <v>2107</v>
      </c>
      <c r="CD911" s="13">
        <v>57</v>
      </c>
      <c r="CE911" s="13">
        <v>10</v>
      </c>
      <c r="CF911" s="13" t="s">
        <v>2108</v>
      </c>
      <c r="CG911" s="13" t="s">
        <v>2109</v>
      </c>
    </row>
    <row r="912" spans="1:85">
      <c r="A912" s="13" t="s">
        <v>2025</v>
      </c>
      <c r="B912" s="13" t="s">
        <v>2025</v>
      </c>
      <c r="C912" s="14" t="s">
        <v>2026</v>
      </c>
      <c r="D912" s="14" t="s">
        <v>830</v>
      </c>
      <c r="E912" s="13" t="s">
        <v>630</v>
      </c>
      <c r="F912" s="13" t="s">
        <v>2974</v>
      </c>
      <c r="G912" s="13" t="s">
        <v>672</v>
      </c>
      <c r="H912" s="13" t="s">
        <v>686</v>
      </c>
      <c r="J912" s="14" t="s">
        <v>669</v>
      </c>
      <c r="K912" s="14" t="s">
        <v>2973</v>
      </c>
      <c r="L912" s="14" t="s">
        <v>2976</v>
      </c>
      <c r="N912" s="13">
        <v>4</v>
      </c>
      <c r="O912" s="2">
        <f t="shared" si="79"/>
        <v>0.4</v>
      </c>
      <c r="P912" s="13">
        <v>4</v>
      </c>
      <c r="Q912" s="17">
        <f t="shared" si="80"/>
        <v>0.4</v>
      </c>
      <c r="R912" s="13">
        <v>10</v>
      </c>
      <c r="S912" s="13">
        <v>10</v>
      </c>
      <c r="Y912" s="13">
        <v>69.599999999999994</v>
      </c>
      <c r="Z912" s="13">
        <v>57.8</v>
      </c>
      <c r="AA912" s="13">
        <v>74.5</v>
      </c>
      <c r="AD912" s="13">
        <v>73.5</v>
      </c>
      <c r="AE912" s="13">
        <v>64.400000000000006</v>
      </c>
      <c r="AF912" s="13">
        <v>74.5</v>
      </c>
      <c r="AG912" s="13" t="s">
        <v>639</v>
      </c>
      <c r="AP912" s="13">
        <v>1</v>
      </c>
      <c r="AR912" s="13">
        <v>1</v>
      </c>
      <c r="AS912" s="13">
        <v>1</v>
      </c>
      <c r="BG912" s="13">
        <v>2125</v>
      </c>
      <c r="BI912" s="13">
        <v>1869</v>
      </c>
      <c r="BJ912" s="13">
        <v>2668</v>
      </c>
      <c r="BR912" s="13">
        <v>429</v>
      </c>
      <c r="BT912" s="13">
        <v>286</v>
      </c>
      <c r="BU912" s="13">
        <v>652</v>
      </c>
      <c r="BX912" s="13" t="s">
        <v>635</v>
      </c>
      <c r="BY912" s="13" t="s">
        <v>2105</v>
      </c>
      <c r="BZ912" s="13" t="s">
        <v>2106</v>
      </c>
      <c r="CA912" s="13">
        <v>2019</v>
      </c>
      <c r="CB912" s="13" t="s">
        <v>2150</v>
      </c>
      <c r="CC912" s="13" t="s">
        <v>2107</v>
      </c>
      <c r="CD912" s="13">
        <v>57</v>
      </c>
      <c r="CE912" s="13">
        <v>10</v>
      </c>
      <c r="CF912" s="13" t="s">
        <v>2108</v>
      </c>
      <c r="CG912" s="13" t="s">
        <v>2109</v>
      </c>
    </row>
    <row r="913" spans="1:85">
      <c r="A913" s="13" t="s">
        <v>2025</v>
      </c>
      <c r="B913" s="13" t="s">
        <v>2025</v>
      </c>
      <c r="C913" s="14" t="s">
        <v>2026</v>
      </c>
      <c r="D913" s="14" t="s">
        <v>830</v>
      </c>
      <c r="E913" s="13" t="s">
        <v>630</v>
      </c>
      <c r="F913" s="13" t="s">
        <v>2974</v>
      </c>
      <c r="G913" s="13" t="s">
        <v>672</v>
      </c>
      <c r="H913" s="13" t="s">
        <v>686</v>
      </c>
      <c r="J913" s="14" t="s">
        <v>669</v>
      </c>
      <c r="K913" s="14" t="s">
        <v>2973</v>
      </c>
      <c r="L913" s="14" t="s">
        <v>585</v>
      </c>
      <c r="N913" s="13">
        <v>4</v>
      </c>
      <c r="O913" s="2">
        <f t="shared" si="79"/>
        <v>0.4</v>
      </c>
      <c r="P913" s="13">
        <v>4</v>
      </c>
      <c r="Q913" s="17">
        <f t="shared" si="80"/>
        <v>0.4</v>
      </c>
      <c r="R913" s="13">
        <v>10</v>
      </c>
      <c r="S913" s="13">
        <v>10</v>
      </c>
      <c r="Y913" s="13">
        <v>69.599999999999994</v>
      </c>
      <c r="Z913" s="13">
        <v>57.8</v>
      </c>
      <c r="AA913" s="13">
        <v>74.5</v>
      </c>
      <c r="AD913" s="13">
        <v>73.5</v>
      </c>
      <c r="AE913" s="13">
        <v>64.400000000000006</v>
      </c>
      <c r="AF913" s="13">
        <v>74.5</v>
      </c>
      <c r="AG913" s="13" t="s">
        <v>639</v>
      </c>
      <c r="AP913" s="13">
        <v>1</v>
      </c>
      <c r="AR913" s="13">
        <v>1</v>
      </c>
      <c r="AS913" s="13">
        <v>1</v>
      </c>
      <c r="BG913" s="13">
        <v>35551</v>
      </c>
      <c r="BI913" s="13">
        <v>31669</v>
      </c>
      <c r="BJ913" s="13">
        <v>40705</v>
      </c>
      <c r="BR913" s="13">
        <v>4781</v>
      </c>
      <c r="BT913" s="13">
        <v>2879</v>
      </c>
      <c r="BU913" s="13">
        <v>7156</v>
      </c>
      <c r="BX913" s="13" t="s">
        <v>635</v>
      </c>
      <c r="BY913" s="13" t="s">
        <v>2105</v>
      </c>
      <c r="BZ913" s="13" t="s">
        <v>2106</v>
      </c>
      <c r="CA913" s="13">
        <v>2019</v>
      </c>
      <c r="CB913" s="13" t="s">
        <v>2150</v>
      </c>
      <c r="CC913" s="13" t="s">
        <v>2107</v>
      </c>
      <c r="CD913" s="13">
        <v>57</v>
      </c>
      <c r="CE913" s="13">
        <v>10</v>
      </c>
      <c r="CF913" s="13" t="s">
        <v>2108</v>
      </c>
      <c r="CG913" s="13" t="s">
        <v>2109</v>
      </c>
    </row>
    <row r="914" spans="1:85">
      <c r="A914" s="13" t="s">
        <v>2025</v>
      </c>
      <c r="B914" s="13" t="s">
        <v>2025</v>
      </c>
      <c r="C914" s="14" t="s">
        <v>2026</v>
      </c>
      <c r="D914" s="14" t="s">
        <v>830</v>
      </c>
      <c r="E914" s="13" t="s">
        <v>630</v>
      </c>
      <c r="F914" s="13" t="s">
        <v>2974</v>
      </c>
      <c r="G914" s="13" t="s">
        <v>673</v>
      </c>
      <c r="H914" s="13" t="s">
        <v>686</v>
      </c>
      <c r="J914" s="14" t="s">
        <v>669</v>
      </c>
      <c r="K914" s="14" t="s">
        <v>2973</v>
      </c>
      <c r="L914" s="14" t="s">
        <v>2975</v>
      </c>
      <c r="N914" s="13">
        <v>4</v>
      </c>
      <c r="O914" s="2">
        <f t="shared" si="79"/>
        <v>0.4</v>
      </c>
      <c r="P914" s="13">
        <v>4</v>
      </c>
      <c r="Q914" s="17">
        <f t="shared" si="80"/>
        <v>0.4</v>
      </c>
      <c r="R914" s="13">
        <v>10</v>
      </c>
      <c r="S914" s="13">
        <v>10</v>
      </c>
      <c r="Y914" s="13">
        <v>69.599999999999994</v>
      </c>
      <c r="Z914" s="13">
        <v>57.8</v>
      </c>
      <c r="AA914" s="13">
        <v>74.5</v>
      </c>
      <c r="AD914" s="13">
        <v>73.5</v>
      </c>
      <c r="AE914" s="13">
        <v>64.400000000000006</v>
      </c>
      <c r="AF914" s="13">
        <v>74.5</v>
      </c>
      <c r="AG914" s="13" t="s">
        <v>639</v>
      </c>
      <c r="AP914" s="13">
        <v>0.92</v>
      </c>
      <c r="AR914" s="13">
        <v>0.81</v>
      </c>
      <c r="AS914" s="13">
        <v>1</v>
      </c>
      <c r="BG914" s="13">
        <v>260.89999999999998</v>
      </c>
      <c r="BI914" s="13">
        <v>49.1</v>
      </c>
      <c r="BJ914" s="13">
        <v>370.7</v>
      </c>
      <c r="BR914" s="13">
        <v>16.5</v>
      </c>
      <c r="BT914" s="13">
        <v>3.7</v>
      </c>
      <c r="BU914" s="13">
        <v>29.4</v>
      </c>
      <c r="BX914" s="13" t="s">
        <v>635</v>
      </c>
      <c r="BY914" s="13" t="s">
        <v>2105</v>
      </c>
      <c r="BZ914" s="13" t="s">
        <v>2106</v>
      </c>
      <c r="CA914" s="13">
        <v>2019</v>
      </c>
      <c r="CB914" s="13" t="s">
        <v>2150</v>
      </c>
      <c r="CC914" s="13" t="s">
        <v>2107</v>
      </c>
      <c r="CD914" s="13">
        <v>57</v>
      </c>
      <c r="CE914" s="13">
        <v>10</v>
      </c>
      <c r="CF914" s="13" t="s">
        <v>2108</v>
      </c>
      <c r="CG914" s="13" t="s">
        <v>2109</v>
      </c>
    </row>
    <row r="915" spans="1:85">
      <c r="A915" s="13" t="s">
        <v>2025</v>
      </c>
      <c r="B915" s="13" t="s">
        <v>2025</v>
      </c>
      <c r="C915" s="14" t="s">
        <v>2026</v>
      </c>
      <c r="D915" s="14" t="s">
        <v>830</v>
      </c>
      <c r="E915" s="13" t="s">
        <v>630</v>
      </c>
      <c r="F915" s="13" t="s">
        <v>2974</v>
      </c>
      <c r="G915" s="13" t="s">
        <v>673</v>
      </c>
      <c r="H915" s="13" t="s">
        <v>686</v>
      </c>
      <c r="J915" s="14" t="s">
        <v>669</v>
      </c>
      <c r="K915" s="14" t="s">
        <v>2973</v>
      </c>
      <c r="L915" s="14" t="s">
        <v>2976</v>
      </c>
      <c r="N915" s="13">
        <v>4</v>
      </c>
      <c r="O915" s="2">
        <f t="shared" si="79"/>
        <v>0.4</v>
      </c>
      <c r="P915" s="13">
        <v>4</v>
      </c>
      <c r="Q915" s="17">
        <f t="shared" si="80"/>
        <v>0.4</v>
      </c>
      <c r="R915" s="13">
        <v>10</v>
      </c>
      <c r="S915" s="13">
        <v>10</v>
      </c>
      <c r="Y915" s="13">
        <v>69.599999999999994</v>
      </c>
      <c r="Z915" s="13">
        <v>57.8</v>
      </c>
      <c r="AA915" s="13">
        <v>74.5</v>
      </c>
      <c r="AD915" s="13">
        <v>73.5</v>
      </c>
      <c r="AE915" s="13">
        <v>64.400000000000006</v>
      </c>
      <c r="AF915" s="13">
        <v>74.5</v>
      </c>
      <c r="AG915" s="13" t="s">
        <v>639</v>
      </c>
      <c r="AP915" s="13">
        <v>0.93</v>
      </c>
      <c r="AR915" s="13">
        <v>0.83</v>
      </c>
      <c r="AS915" s="13">
        <v>1</v>
      </c>
      <c r="BG915" s="13">
        <v>596</v>
      </c>
      <c r="BI915" s="13">
        <v>194</v>
      </c>
      <c r="BJ915" s="13">
        <v>869</v>
      </c>
      <c r="BR915" s="13">
        <v>48</v>
      </c>
      <c r="BT915" s="13">
        <v>35</v>
      </c>
      <c r="BU915" s="13">
        <v>110</v>
      </c>
      <c r="BX915" s="13" t="s">
        <v>635</v>
      </c>
      <c r="BY915" s="13" t="s">
        <v>2105</v>
      </c>
      <c r="BZ915" s="13" t="s">
        <v>2106</v>
      </c>
      <c r="CA915" s="13">
        <v>2019</v>
      </c>
      <c r="CB915" s="13" t="s">
        <v>2150</v>
      </c>
      <c r="CC915" s="13" t="s">
        <v>2107</v>
      </c>
      <c r="CD915" s="13">
        <v>57</v>
      </c>
      <c r="CE915" s="13">
        <v>10</v>
      </c>
      <c r="CF915" s="13" t="s">
        <v>2108</v>
      </c>
      <c r="CG915" s="13" t="s">
        <v>2109</v>
      </c>
    </row>
    <row r="916" spans="1:85">
      <c r="A916" s="13" t="s">
        <v>2025</v>
      </c>
      <c r="B916" s="13" t="s">
        <v>2025</v>
      </c>
      <c r="C916" s="14" t="s">
        <v>2026</v>
      </c>
      <c r="D916" s="14" t="s">
        <v>830</v>
      </c>
      <c r="E916" s="13" t="s">
        <v>630</v>
      </c>
      <c r="F916" s="13" t="s">
        <v>2974</v>
      </c>
      <c r="G916" s="13" t="s">
        <v>673</v>
      </c>
      <c r="H916" s="13" t="s">
        <v>686</v>
      </c>
      <c r="J916" s="14" t="s">
        <v>669</v>
      </c>
      <c r="K916" s="14" t="s">
        <v>2973</v>
      </c>
      <c r="L916" s="14" t="s">
        <v>585</v>
      </c>
      <c r="N916" s="13">
        <v>4</v>
      </c>
      <c r="O916" s="2">
        <f t="shared" si="79"/>
        <v>0.4</v>
      </c>
      <c r="P916" s="13">
        <v>4</v>
      </c>
      <c r="Q916" s="17">
        <f t="shared" si="80"/>
        <v>0.4</v>
      </c>
      <c r="R916" s="13">
        <v>10</v>
      </c>
      <c r="S916" s="13">
        <v>10</v>
      </c>
      <c r="Y916" s="13">
        <v>69.599999999999994</v>
      </c>
      <c r="Z916" s="13">
        <v>57.8</v>
      </c>
      <c r="AA916" s="13">
        <v>74.5</v>
      </c>
      <c r="AD916" s="13">
        <v>73.5</v>
      </c>
      <c r="AE916" s="13">
        <v>64.400000000000006</v>
      </c>
      <c r="AF916" s="13">
        <v>74.5</v>
      </c>
      <c r="AG916" s="13" t="s">
        <v>639</v>
      </c>
      <c r="AP916" s="13">
        <v>0.69</v>
      </c>
      <c r="AR916" s="13">
        <v>0.47</v>
      </c>
      <c r="AS916" s="13">
        <v>0.91</v>
      </c>
      <c r="BG916" s="13">
        <v>1233</v>
      </c>
      <c r="BI916" s="13">
        <v>127</v>
      </c>
      <c r="BJ916" s="13">
        <v>2660</v>
      </c>
      <c r="BR916" s="13">
        <v>291</v>
      </c>
      <c r="BT916" s="13">
        <v>66</v>
      </c>
      <c r="BU916" s="13">
        <v>1215</v>
      </c>
      <c r="BX916" s="13">
        <v>0.128</v>
      </c>
      <c r="BY916" s="13" t="s">
        <v>2105</v>
      </c>
      <c r="BZ916" s="13" t="s">
        <v>2106</v>
      </c>
      <c r="CA916" s="13">
        <v>2019</v>
      </c>
      <c r="CB916" s="13" t="s">
        <v>2150</v>
      </c>
      <c r="CC916" s="13" t="s">
        <v>2107</v>
      </c>
      <c r="CD916" s="13">
        <v>57</v>
      </c>
      <c r="CE916" s="13">
        <v>10</v>
      </c>
      <c r="CF916" s="13" t="s">
        <v>2108</v>
      </c>
      <c r="CG916" s="13" t="s">
        <v>2109</v>
      </c>
    </row>
    <row r="917" spans="1:85">
      <c r="A917" s="13" t="s">
        <v>3427</v>
      </c>
      <c r="B917" s="16"/>
      <c r="C917" s="13" t="s">
        <v>3353</v>
      </c>
      <c r="D917" s="14" t="s">
        <v>1015</v>
      </c>
      <c r="E917" s="13" t="s">
        <v>630</v>
      </c>
      <c r="F917" s="13" t="s">
        <v>3984</v>
      </c>
      <c r="G917" s="13" t="s">
        <v>673</v>
      </c>
      <c r="H917" s="13" t="s">
        <v>675</v>
      </c>
      <c r="J917" s="14" t="s">
        <v>669</v>
      </c>
      <c r="K917" s="14" t="s">
        <v>3986</v>
      </c>
      <c r="L917" s="13" t="s">
        <v>808</v>
      </c>
      <c r="N917" s="13">
        <v>478</v>
      </c>
      <c r="O917" s="2">
        <f t="shared" si="79"/>
        <v>0.60506329113924051</v>
      </c>
      <c r="P917" s="13">
        <v>335</v>
      </c>
      <c r="Q917" s="17">
        <f t="shared" si="80"/>
        <v>0.58058925476603118</v>
      </c>
      <c r="R917" s="13">
        <v>790</v>
      </c>
      <c r="S917" s="13">
        <v>577</v>
      </c>
      <c r="Y917" s="13">
        <v>66.5</v>
      </c>
      <c r="Z917" s="13">
        <v>58.2</v>
      </c>
      <c r="AA917" s="13">
        <v>73.8</v>
      </c>
      <c r="AD917" s="13">
        <v>66.099999999999994</v>
      </c>
      <c r="AE917" s="13">
        <v>59.3</v>
      </c>
      <c r="AF917" s="13">
        <v>72.400000000000006</v>
      </c>
      <c r="AG917" s="13" t="s">
        <v>639</v>
      </c>
      <c r="AH917" s="13">
        <v>43</v>
      </c>
      <c r="AI917" s="13" t="s">
        <v>3985</v>
      </c>
      <c r="AJ917" s="13">
        <v>88.6</v>
      </c>
      <c r="AM917" s="13">
        <v>90</v>
      </c>
      <c r="AP917" s="13">
        <v>0.94699999999999995</v>
      </c>
      <c r="AR917" s="13">
        <v>0.93500000000000005</v>
      </c>
      <c r="AS917" s="13">
        <v>0.95799999999999996</v>
      </c>
      <c r="BG917" s="13">
        <v>119</v>
      </c>
      <c r="BI917" s="13">
        <v>72</v>
      </c>
      <c r="BJ917" s="13">
        <v>177</v>
      </c>
      <c r="BR917" s="13">
        <v>24</v>
      </c>
      <c r="BT917" s="13">
        <v>19</v>
      </c>
      <c r="BU917" s="13">
        <v>32</v>
      </c>
      <c r="BX917" s="13" t="s">
        <v>1027</v>
      </c>
      <c r="BY917" s="13" t="s">
        <v>3611</v>
      </c>
      <c r="BZ917" s="13" t="s">
        <v>4100</v>
      </c>
      <c r="CA917" s="13">
        <v>2024</v>
      </c>
      <c r="CB917" s="13" t="s">
        <v>162</v>
      </c>
      <c r="CC917" s="13" t="s">
        <v>125</v>
      </c>
      <c r="CD917" s="13">
        <v>96</v>
      </c>
      <c r="CE917" s="13">
        <v>6</v>
      </c>
      <c r="CF917" s="13" t="s">
        <v>3613</v>
      </c>
      <c r="CG917" s="13" t="s">
        <v>3282</v>
      </c>
    </row>
    <row r="918" spans="1:85">
      <c r="A918" s="13" t="s">
        <v>3427</v>
      </c>
      <c r="B918" s="16"/>
      <c r="C918" s="13" t="s">
        <v>3353</v>
      </c>
      <c r="D918" s="14" t="s">
        <v>1015</v>
      </c>
      <c r="E918" s="13" t="s">
        <v>630</v>
      </c>
      <c r="F918" s="13" t="s">
        <v>3984</v>
      </c>
      <c r="G918" s="13" t="s">
        <v>673</v>
      </c>
      <c r="H918" s="13" t="s">
        <v>686</v>
      </c>
      <c r="J918" s="14" t="s">
        <v>669</v>
      </c>
      <c r="K918" s="14" t="s">
        <v>3986</v>
      </c>
      <c r="L918" s="13" t="s">
        <v>808</v>
      </c>
      <c r="N918" s="13">
        <v>478</v>
      </c>
      <c r="O918" s="2">
        <f t="shared" si="79"/>
        <v>0.60506329113924051</v>
      </c>
      <c r="P918" s="13">
        <v>335</v>
      </c>
      <c r="Q918" s="17">
        <f t="shared" si="80"/>
        <v>0.58058925476603118</v>
      </c>
      <c r="R918" s="13">
        <v>790</v>
      </c>
      <c r="S918" s="13">
        <v>577</v>
      </c>
      <c r="Y918" s="13">
        <v>66.5</v>
      </c>
      <c r="Z918" s="13">
        <v>58.2</v>
      </c>
      <c r="AA918" s="13">
        <v>73.8</v>
      </c>
      <c r="AD918" s="13">
        <v>66.099999999999994</v>
      </c>
      <c r="AE918" s="13">
        <v>59.3</v>
      </c>
      <c r="AF918" s="13">
        <v>72.400000000000006</v>
      </c>
      <c r="AG918" s="13" t="s">
        <v>639</v>
      </c>
      <c r="AH918" s="13">
        <v>728</v>
      </c>
      <c r="AI918" s="13" t="s">
        <v>3985</v>
      </c>
      <c r="AJ918" s="13">
        <v>70</v>
      </c>
      <c r="AM918" s="13">
        <v>90</v>
      </c>
      <c r="AP918" s="13">
        <v>0.86699999999999999</v>
      </c>
      <c r="AR918" s="13">
        <v>0.84799999999999998</v>
      </c>
      <c r="AS918" s="13">
        <v>0.88600000000000001</v>
      </c>
      <c r="BG918" s="13">
        <v>1522</v>
      </c>
      <c r="BI918" s="13">
        <v>570</v>
      </c>
      <c r="BJ918" s="13">
        <v>3055</v>
      </c>
      <c r="BR918" s="13">
        <v>249</v>
      </c>
      <c r="BT918" s="13">
        <v>122</v>
      </c>
      <c r="BU918" s="13">
        <v>452</v>
      </c>
      <c r="BX918" s="13" t="s">
        <v>1027</v>
      </c>
      <c r="BY918" s="13" t="s">
        <v>3611</v>
      </c>
      <c r="BZ918" s="13" t="s">
        <v>3612</v>
      </c>
      <c r="CA918" s="13">
        <v>2024</v>
      </c>
      <c r="CB918" s="13" t="s">
        <v>162</v>
      </c>
      <c r="CC918" s="13" t="s">
        <v>125</v>
      </c>
      <c r="CD918" s="13">
        <v>96</v>
      </c>
      <c r="CE918" s="13">
        <v>6</v>
      </c>
      <c r="CF918" s="13" t="s">
        <v>3613</v>
      </c>
      <c r="CG918" s="13" t="s">
        <v>3282</v>
      </c>
    </row>
    <row r="919" spans="1:85">
      <c r="A919" s="13" t="s">
        <v>1754</v>
      </c>
      <c r="C919" s="13" t="s">
        <v>542</v>
      </c>
      <c r="D919" s="13" t="s">
        <v>1035</v>
      </c>
      <c r="E919" s="13" t="s">
        <v>882</v>
      </c>
      <c r="F919" s="13" t="s">
        <v>4186</v>
      </c>
      <c r="G919" s="13" t="s">
        <v>673</v>
      </c>
      <c r="H919" s="13" t="s">
        <v>675</v>
      </c>
      <c r="J919" s="13" t="s">
        <v>669</v>
      </c>
      <c r="K919" s="14" t="s">
        <v>4053</v>
      </c>
      <c r="L919" s="13" t="s">
        <v>808</v>
      </c>
      <c r="R919" s="13">
        <v>34</v>
      </c>
      <c r="S919" s="13">
        <v>16</v>
      </c>
      <c r="V919" s="13">
        <v>5</v>
      </c>
      <c r="Y919" s="13">
        <v>62</v>
      </c>
      <c r="AG919" s="13" t="s">
        <v>639</v>
      </c>
      <c r="AH919" s="13">
        <v>44.15</v>
      </c>
      <c r="AJ919" s="13">
        <v>93.5</v>
      </c>
      <c r="AM919" s="13">
        <v>93.7</v>
      </c>
      <c r="AP919" s="13">
        <v>0.94599999999999995</v>
      </c>
      <c r="AR919" s="13">
        <v>0.85599999999999998</v>
      </c>
      <c r="AS919" s="13">
        <v>1.0349999999999999</v>
      </c>
      <c r="BG919" s="13">
        <v>81</v>
      </c>
      <c r="BI919" s="13">
        <v>22</v>
      </c>
      <c r="BJ919" s="13">
        <v>605</v>
      </c>
      <c r="BR919" s="13">
        <v>15.95</v>
      </c>
      <c r="BT919" s="13">
        <v>4.25</v>
      </c>
      <c r="BU919" s="13">
        <v>118</v>
      </c>
      <c r="BX919" s="13">
        <v>1E-3</v>
      </c>
      <c r="BY919" s="13" t="s">
        <v>538</v>
      </c>
      <c r="BZ919" s="13" t="s">
        <v>539</v>
      </c>
      <c r="CA919" s="13">
        <v>2024</v>
      </c>
      <c r="CB919" s="13" t="s">
        <v>53</v>
      </c>
      <c r="CC919" s="13" t="s">
        <v>13</v>
      </c>
      <c r="CD919" s="13">
        <v>271</v>
      </c>
      <c r="CE919" s="13">
        <v>7</v>
      </c>
      <c r="CF919" s="13" t="s">
        <v>540</v>
      </c>
      <c r="CG919" s="13" t="s">
        <v>541</v>
      </c>
    </row>
    <row r="920" spans="1:85">
      <c r="A920" s="13" t="s">
        <v>1754</v>
      </c>
      <c r="C920" s="13" t="s">
        <v>542</v>
      </c>
      <c r="D920" s="13" t="s">
        <v>1035</v>
      </c>
      <c r="E920" s="13" t="s">
        <v>882</v>
      </c>
      <c r="F920" s="13" t="s">
        <v>4186</v>
      </c>
      <c r="G920" s="13" t="s">
        <v>672</v>
      </c>
      <c r="H920" s="13" t="s">
        <v>686</v>
      </c>
      <c r="J920" s="13" t="s">
        <v>669</v>
      </c>
      <c r="K920" s="16" t="s">
        <v>3636</v>
      </c>
      <c r="L920" s="13" t="s">
        <v>585</v>
      </c>
      <c r="R920" s="13">
        <v>34</v>
      </c>
      <c r="S920" s="13">
        <v>16</v>
      </c>
      <c r="V920" s="13">
        <v>5</v>
      </c>
      <c r="Y920" s="13">
        <v>62</v>
      </c>
      <c r="AG920" s="13" t="s">
        <v>639</v>
      </c>
      <c r="AH920" s="13">
        <v>715.5</v>
      </c>
      <c r="AJ920" s="13">
        <v>90</v>
      </c>
      <c r="AM920" s="13">
        <v>100</v>
      </c>
      <c r="AP920" s="13">
        <v>0.91900000000000004</v>
      </c>
      <c r="AR920" s="13">
        <v>0.80800000000000005</v>
      </c>
      <c r="AS920" s="13">
        <v>1.03</v>
      </c>
      <c r="BG920" s="13">
        <v>81</v>
      </c>
      <c r="BI920" s="13">
        <v>22</v>
      </c>
      <c r="BJ920" s="13">
        <v>605</v>
      </c>
      <c r="BR920" s="13">
        <v>15.95</v>
      </c>
      <c r="BT920" s="13">
        <v>4.25</v>
      </c>
      <c r="BU920" s="13">
        <v>118</v>
      </c>
      <c r="BX920" s="13">
        <v>1E-3</v>
      </c>
      <c r="BY920" s="13" t="s">
        <v>538</v>
      </c>
      <c r="BZ920" s="13" t="s">
        <v>539</v>
      </c>
      <c r="CA920" s="13">
        <v>2024</v>
      </c>
      <c r="CB920" s="13" t="s">
        <v>53</v>
      </c>
      <c r="CC920" s="13" t="s">
        <v>13</v>
      </c>
      <c r="CD920" s="13">
        <v>271</v>
      </c>
      <c r="CE920" s="13">
        <v>7</v>
      </c>
      <c r="CF920" s="13" t="s">
        <v>540</v>
      </c>
      <c r="CG920" s="13" t="s">
        <v>541</v>
      </c>
    </row>
    <row r="921" spans="1:85">
      <c r="A921" s="13" t="s">
        <v>1934</v>
      </c>
      <c r="B921" s="13" t="s">
        <v>1934</v>
      </c>
      <c r="C921" s="14" t="s">
        <v>2993</v>
      </c>
      <c r="D921" s="14" t="s">
        <v>827</v>
      </c>
      <c r="E921" s="13" t="s">
        <v>630</v>
      </c>
      <c r="F921" s="13" t="s">
        <v>2971</v>
      </c>
      <c r="G921" s="13" t="s">
        <v>672</v>
      </c>
      <c r="H921" s="13" t="s">
        <v>2382</v>
      </c>
      <c r="J921" s="14" t="s">
        <v>584</v>
      </c>
      <c r="K921" s="14" t="s">
        <v>2949</v>
      </c>
      <c r="L921" s="14" t="s">
        <v>585</v>
      </c>
      <c r="M921" s="14" t="s">
        <v>2992</v>
      </c>
      <c r="N921" s="13">
        <v>33</v>
      </c>
      <c r="O921" s="2">
        <f t="shared" ref="O921:O952" si="81">N921/R921</f>
        <v>0.7021276595744681</v>
      </c>
      <c r="P921" s="13">
        <v>26</v>
      </c>
      <c r="Q921" s="17">
        <f t="shared" ref="Q921:Q962" si="82">P921/S921</f>
        <v>0.56521739130434778</v>
      </c>
      <c r="R921" s="13">
        <v>47</v>
      </c>
      <c r="S921" s="13">
        <v>46</v>
      </c>
      <c r="W921" s="13">
        <v>56.9</v>
      </c>
      <c r="Y921" s="13">
        <v>56</v>
      </c>
      <c r="AB921" s="13">
        <v>46.8</v>
      </c>
      <c r="AD921" s="13">
        <v>45.5</v>
      </c>
      <c r="AG921" s="13" t="s">
        <v>639</v>
      </c>
      <c r="AJ921" s="13">
        <v>76.599999999999994</v>
      </c>
      <c r="AM921" s="13">
        <v>70.599999999999994</v>
      </c>
      <c r="AP921" s="13">
        <v>0.75</v>
      </c>
      <c r="BX921" s="13" t="s">
        <v>1027</v>
      </c>
      <c r="BY921" s="13" t="s">
        <v>1598</v>
      </c>
      <c r="BZ921" s="13" t="s">
        <v>1599</v>
      </c>
      <c r="CA921" s="13">
        <v>2019</v>
      </c>
      <c r="CB921" s="13" t="s">
        <v>44</v>
      </c>
      <c r="CC921" s="13" t="s">
        <v>1171</v>
      </c>
      <c r="CD921" s="13">
        <v>6</v>
      </c>
      <c r="CE921" s="13">
        <v>6</v>
      </c>
      <c r="CG921" s="13" t="s">
        <v>1600</v>
      </c>
    </row>
    <row r="922" spans="1:85">
      <c r="A922" s="13" t="s">
        <v>1934</v>
      </c>
      <c r="B922" s="13" t="s">
        <v>1934</v>
      </c>
      <c r="C922" s="14" t="s">
        <v>2993</v>
      </c>
      <c r="D922" s="14" t="s">
        <v>827</v>
      </c>
      <c r="E922" s="13" t="s">
        <v>630</v>
      </c>
      <c r="F922" s="13" t="s">
        <v>2971</v>
      </c>
      <c r="G922" s="13" t="s">
        <v>673</v>
      </c>
      <c r="H922" s="13" t="s">
        <v>2382</v>
      </c>
      <c r="J922" s="14" t="s">
        <v>584</v>
      </c>
      <c r="K922" s="14" t="s">
        <v>2949</v>
      </c>
      <c r="L922" s="14" t="s">
        <v>585</v>
      </c>
      <c r="M922" s="14" t="s">
        <v>2992</v>
      </c>
      <c r="N922" s="13">
        <v>33</v>
      </c>
      <c r="O922" s="2">
        <f t="shared" si="81"/>
        <v>0.7021276595744681</v>
      </c>
      <c r="P922" s="13">
        <v>26</v>
      </c>
      <c r="Q922" s="17">
        <f t="shared" si="82"/>
        <v>0.56521739130434778</v>
      </c>
      <c r="R922" s="13">
        <v>47</v>
      </c>
      <c r="S922" s="13">
        <v>46</v>
      </c>
      <c r="W922" s="13">
        <v>56.9</v>
      </c>
      <c r="Y922" s="13">
        <v>56</v>
      </c>
      <c r="AB922" s="13">
        <v>46.8</v>
      </c>
      <c r="AD922" s="13">
        <v>45.5</v>
      </c>
      <c r="AG922" s="13" t="s">
        <v>639</v>
      </c>
      <c r="BX922" s="13">
        <v>0.04</v>
      </c>
      <c r="BY922" s="13" t="s">
        <v>1598</v>
      </c>
      <c r="BZ922" s="13" t="s">
        <v>1599</v>
      </c>
      <c r="CA922" s="13">
        <v>2019</v>
      </c>
      <c r="CB922" s="13" t="s">
        <v>44</v>
      </c>
      <c r="CC922" s="13" t="s">
        <v>1171</v>
      </c>
      <c r="CD922" s="13">
        <v>6</v>
      </c>
      <c r="CE922" s="13">
        <v>6</v>
      </c>
      <c r="CG922" s="13" t="s">
        <v>1600</v>
      </c>
    </row>
    <row r="923" spans="1:85">
      <c r="A923" s="13" t="s">
        <v>1934</v>
      </c>
      <c r="B923" s="13" t="s">
        <v>1934</v>
      </c>
      <c r="C923" s="14" t="s">
        <v>2993</v>
      </c>
      <c r="D923" s="14" t="s">
        <v>827</v>
      </c>
      <c r="E923" s="13" t="s">
        <v>630</v>
      </c>
      <c r="F923" s="13" t="s">
        <v>2971</v>
      </c>
      <c r="G923" s="13" t="s">
        <v>672</v>
      </c>
      <c r="H923" s="13" t="s">
        <v>2996</v>
      </c>
      <c r="J923" s="14" t="s">
        <v>584</v>
      </c>
      <c r="K923" s="14" t="s">
        <v>2949</v>
      </c>
      <c r="L923" s="14" t="s">
        <v>585</v>
      </c>
      <c r="M923" s="14" t="s">
        <v>2992</v>
      </c>
      <c r="N923" s="13">
        <v>33</v>
      </c>
      <c r="O923" s="2">
        <f t="shared" si="81"/>
        <v>0.7021276595744681</v>
      </c>
      <c r="P923" s="13">
        <v>26</v>
      </c>
      <c r="Q923" s="17">
        <f t="shared" si="82"/>
        <v>0.56521739130434778</v>
      </c>
      <c r="R923" s="13">
        <v>47</v>
      </c>
      <c r="S923" s="13">
        <v>46</v>
      </c>
      <c r="W923" s="13">
        <v>56.9</v>
      </c>
      <c r="Y923" s="13">
        <v>56</v>
      </c>
      <c r="AB923" s="13">
        <v>46.8</v>
      </c>
      <c r="AD923" s="13">
        <v>45.5</v>
      </c>
      <c r="AG923" s="13" t="s">
        <v>639</v>
      </c>
      <c r="BX923" s="13" t="s">
        <v>760</v>
      </c>
      <c r="BY923" s="13" t="s">
        <v>1598</v>
      </c>
      <c r="BZ923" s="13" t="s">
        <v>1599</v>
      </c>
      <c r="CA923" s="13">
        <v>2019</v>
      </c>
      <c r="CB923" s="13" t="s">
        <v>44</v>
      </c>
      <c r="CC923" s="13" t="s">
        <v>1171</v>
      </c>
      <c r="CD923" s="13">
        <v>6</v>
      </c>
      <c r="CE923" s="13">
        <v>6</v>
      </c>
      <c r="CG923" s="13" t="s">
        <v>1600</v>
      </c>
    </row>
    <row r="924" spans="1:85">
      <c r="A924" s="13" t="s">
        <v>1934</v>
      </c>
      <c r="B924" s="13" t="s">
        <v>1934</v>
      </c>
      <c r="C924" s="14" t="s">
        <v>2993</v>
      </c>
      <c r="D924" s="14" t="s">
        <v>827</v>
      </c>
      <c r="E924" s="13" t="s">
        <v>630</v>
      </c>
      <c r="F924" s="13" t="s">
        <v>2971</v>
      </c>
      <c r="G924" s="13" t="s">
        <v>673</v>
      </c>
      <c r="H924" s="13" t="s">
        <v>2996</v>
      </c>
      <c r="J924" s="14" t="s">
        <v>584</v>
      </c>
      <c r="K924" s="14" t="s">
        <v>2949</v>
      </c>
      <c r="L924" s="14" t="s">
        <v>585</v>
      </c>
      <c r="M924" s="14" t="s">
        <v>2992</v>
      </c>
      <c r="N924" s="13">
        <v>33</v>
      </c>
      <c r="O924" s="2">
        <f t="shared" si="81"/>
        <v>0.7021276595744681</v>
      </c>
      <c r="P924" s="13">
        <v>26</v>
      </c>
      <c r="Q924" s="17">
        <f t="shared" si="82"/>
        <v>0.56521739130434778</v>
      </c>
      <c r="R924" s="13">
        <v>47</v>
      </c>
      <c r="S924" s="13">
        <v>46</v>
      </c>
      <c r="W924" s="13">
        <v>56.9</v>
      </c>
      <c r="Y924" s="13">
        <v>56</v>
      </c>
      <c r="AB924" s="13">
        <v>46.8</v>
      </c>
      <c r="AD924" s="13">
        <v>45.5</v>
      </c>
      <c r="AG924" s="13" t="s">
        <v>639</v>
      </c>
      <c r="BY924" s="13" t="s">
        <v>1598</v>
      </c>
      <c r="BZ924" s="13" t="s">
        <v>1599</v>
      </c>
      <c r="CA924" s="13">
        <v>2019</v>
      </c>
      <c r="CB924" s="13" t="s">
        <v>44</v>
      </c>
      <c r="CC924" s="13" t="s">
        <v>1171</v>
      </c>
      <c r="CD924" s="13">
        <v>6</v>
      </c>
      <c r="CE924" s="13">
        <v>6</v>
      </c>
      <c r="CG924" s="13" t="s">
        <v>1600</v>
      </c>
    </row>
    <row r="925" spans="1:85">
      <c r="A925" s="13" t="s">
        <v>1935</v>
      </c>
      <c r="B925" s="13" t="s">
        <v>1935</v>
      </c>
      <c r="C925" s="14" t="s">
        <v>1605</v>
      </c>
      <c r="D925" s="14" t="s">
        <v>827</v>
      </c>
      <c r="E925" s="13" t="s">
        <v>657</v>
      </c>
      <c r="F925" s="13" t="s">
        <v>3001</v>
      </c>
      <c r="G925" s="13" t="s">
        <v>672</v>
      </c>
      <c r="H925" s="13" t="s">
        <v>3002</v>
      </c>
      <c r="J925" s="14" t="s">
        <v>712</v>
      </c>
      <c r="K925" s="14" t="s">
        <v>2998</v>
      </c>
      <c r="L925" s="14" t="s">
        <v>3003</v>
      </c>
      <c r="M925" s="14" t="s">
        <v>2999</v>
      </c>
      <c r="N925" s="13">
        <v>20</v>
      </c>
      <c r="O925" s="2">
        <f t="shared" si="81"/>
        <v>0.64516129032258063</v>
      </c>
      <c r="P925" s="13">
        <v>15</v>
      </c>
      <c r="Q925" s="17">
        <f t="shared" si="82"/>
        <v>0.44117647058823528</v>
      </c>
      <c r="R925" s="13">
        <v>31</v>
      </c>
      <c r="S925" s="13">
        <v>34</v>
      </c>
      <c r="W925" s="13">
        <v>55.13</v>
      </c>
      <c r="X925" s="13">
        <v>14.07</v>
      </c>
      <c r="AB925" s="13">
        <v>47.21</v>
      </c>
      <c r="AC925" s="13">
        <v>17.72</v>
      </c>
      <c r="AG925" s="13" t="s">
        <v>2376</v>
      </c>
      <c r="BB925" s="13">
        <v>0.5</v>
      </c>
      <c r="BC925" s="13">
        <v>0.46</v>
      </c>
      <c r="BG925" s="13">
        <v>0.5</v>
      </c>
      <c r="BM925" s="13">
        <v>0.25</v>
      </c>
      <c r="BN925" s="13">
        <v>0.27</v>
      </c>
      <c r="BR925" s="13">
        <v>0.15</v>
      </c>
      <c r="BX925" s="13">
        <v>2.5999999999999999E-2</v>
      </c>
      <c r="BY925" s="13" t="s">
        <v>1601</v>
      </c>
      <c r="BZ925" s="13" t="s">
        <v>1602</v>
      </c>
      <c r="CA925" s="13">
        <v>2020</v>
      </c>
      <c r="CB925" s="13" t="s">
        <v>53</v>
      </c>
      <c r="CC925" s="13" t="s">
        <v>545</v>
      </c>
      <c r="CD925" s="13">
        <v>41</v>
      </c>
      <c r="CE925" s="13">
        <v>7</v>
      </c>
      <c r="CF925" s="13" t="s">
        <v>1603</v>
      </c>
      <c r="CG925" s="13" t="s">
        <v>1604</v>
      </c>
    </row>
    <row r="926" spans="1:85">
      <c r="A926" s="13" t="s">
        <v>1935</v>
      </c>
      <c r="B926" s="13" t="s">
        <v>1935</v>
      </c>
      <c r="C926" s="14" t="s">
        <v>1605</v>
      </c>
      <c r="D926" s="14" t="s">
        <v>827</v>
      </c>
      <c r="E926" s="13" t="s">
        <v>657</v>
      </c>
      <c r="F926" s="13" t="s">
        <v>3001</v>
      </c>
      <c r="G926" s="13" t="s">
        <v>672</v>
      </c>
      <c r="H926" s="13" t="s">
        <v>904</v>
      </c>
      <c r="J926" s="14" t="s">
        <v>712</v>
      </c>
      <c r="K926" s="14" t="s">
        <v>2998</v>
      </c>
      <c r="L926" s="14" t="s">
        <v>3003</v>
      </c>
      <c r="M926" s="14" t="s">
        <v>2999</v>
      </c>
      <c r="N926" s="13">
        <v>20</v>
      </c>
      <c r="O926" s="2">
        <f t="shared" si="81"/>
        <v>0.64516129032258063</v>
      </c>
      <c r="P926" s="13">
        <v>15</v>
      </c>
      <c r="Q926" s="17">
        <f t="shared" si="82"/>
        <v>0.44117647058823528</v>
      </c>
      <c r="R926" s="13">
        <v>31</v>
      </c>
      <c r="S926" s="13">
        <v>34</v>
      </c>
      <c r="W926" s="13">
        <v>55.13</v>
      </c>
      <c r="X926" s="13">
        <v>14.07</v>
      </c>
      <c r="AB926" s="13">
        <v>47.21</v>
      </c>
      <c r="AC926" s="13">
        <v>17.72</v>
      </c>
      <c r="BB926" s="13">
        <v>8.09</v>
      </c>
      <c r="BC926" s="13">
        <v>3.03</v>
      </c>
      <c r="BG926" s="13">
        <v>7.63</v>
      </c>
      <c r="BM926" s="13">
        <v>6.39</v>
      </c>
      <c r="BN926" s="13">
        <v>2.21</v>
      </c>
      <c r="BR926" s="13">
        <v>5.64</v>
      </c>
      <c r="BX926" s="13">
        <v>1.9E-2</v>
      </c>
      <c r="BY926" s="13" t="s">
        <v>1601</v>
      </c>
      <c r="BZ926" s="13" t="s">
        <v>1602</v>
      </c>
      <c r="CA926" s="13">
        <v>2020</v>
      </c>
      <c r="CB926" s="13" t="s">
        <v>53</v>
      </c>
      <c r="CC926" s="13" t="s">
        <v>545</v>
      </c>
      <c r="CD926" s="13">
        <v>41</v>
      </c>
      <c r="CE926" s="13">
        <v>7</v>
      </c>
      <c r="CF926" s="13" t="s">
        <v>1603</v>
      </c>
      <c r="CG926" s="13" t="s">
        <v>1604</v>
      </c>
    </row>
    <row r="927" spans="1:85">
      <c r="A927" s="13" t="s">
        <v>1935</v>
      </c>
      <c r="B927" s="13" t="s">
        <v>1935</v>
      </c>
      <c r="C927" s="14" t="s">
        <v>1605</v>
      </c>
      <c r="D927" s="14" t="s">
        <v>827</v>
      </c>
      <c r="E927" s="13" t="s">
        <v>657</v>
      </c>
      <c r="F927" s="13" t="s">
        <v>3001</v>
      </c>
      <c r="G927" s="13" t="s">
        <v>672</v>
      </c>
      <c r="H927" s="13" t="s">
        <v>2954</v>
      </c>
      <c r="J927" s="14" t="s">
        <v>712</v>
      </c>
      <c r="K927" s="14" t="s">
        <v>2998</v>
      </c>
      <c r="L927" s="14" t="s">
        <v>3003</v>
      </c>
      <c r="M927" s="14" t="s">
        <v>2999</v>
      </c>
      <c r="N927" s="13">
        <v>20</v>
      </c>
      <c r="O927" s="2">
        <f t="shared" si="81"/>
        <v>0.64516129032258063</v>
      </c>
      <c r="P927" s="13">
        <v>15</v>
      </c>
      <c r="Q927" s="17">
        <f t="shared" si="82"/>
        <v>0.44117647058823528</v>
      </c>
      <c r="R927" s="13">
        <v>31</v>
      </c>
      <c r="S927" s="13">
        <v>34</v>
      </c>
      <c r="W927" s="13">
        <v>55.13</v>
      </c>
      <c r="X927" s="13">
        <v>14.07</v>
      </c>
      <c r="AB927" s="13">
        <v>47.21</v>
      </c>
      <c r="AC927" s="13">
        <v>17.72</v>
      </c>
      <c r="AG927" s="13" t="s">
        <v>2455</v>
      </c>
      <c r="BB927" s="13">
        <v>6.09</v>
      </c>
      <c r="BC927" s="13">
        <v>3.44</v>
      </c>
      <c r="BG927" s="13">
        <v>6.01</v>
      </c>
      <c r="BM927" s="13">
        <v>2.58</v>
      </c>
      <c r="BN927" s="13">
        <v>1.1599999999999999</v>
      </c>
      <c r="BR927" s="13">
        <v>2.58</v>
      </c>
      <c r="BX927" s="13">
        <v>0.23400000000000001</v>
      </c>
      <c r="BY927" s="13" t="s">
        <v>1601</v>
      </c>
      <c r="BZ927" s="13" t="s">
        <v>1602</v>
      </c>
      <c r="CA927" s="13">
        <v>2020</v>
      </c>
      <c r="CB927" s="13" t="s">
        <v>53</v>
      </c>
      <c r="CC927" s="13" t="s">
        <v>545</v>
      </c>
      <c r="CD927" s="13">
        <v>41</v>
      </c>
      <c r="CE927" s="13">
        <v>7</v>
      </c>
      <c r="CF927" s="13" t="s">
        <v>1603</v>
      </c>
      <c r="CG927" s="13" t="s">
        <v>1604</v>
      </c>
    </row>
    <row r="928" spans="1:85">
      <c r="A928" s="13" t="s">
        <v>1937</v>
      </c>
      <c r="B928" s="13" t="s">
        <v>1937</v>
      </c>
      <c r="C928" s="14" t="s">
        <v>3012</v>
      </c>
      <c r="D928" s="14" t="s">
        <v>827</v>
      </c>
      <c r="E928" s="13" t="s">
        <v>630</v>
      </c>
      <c r="F928" s="13" t="s">
        <v>3010</v>
      </c>
      <c r="G928" s="13" t="s">
        <v>673</v>
      </c>
      <c r="H928" s="13" t="s">
        <v>3005</v>
      </c>
      <c r="J928" s="14" t="s">
        <v>712</v>
      </c>
      <c r="K928" s="14" t="s">
        <v>3006</v>
      </c>
      <c r="L928" s="14" t="s">
        <v>3011</v>
      </c>
      <c r="N928" s="13">
        <v>14</v>
      </c>
      <c r="O928" s="2">
        <f t="shared" si="81"/>
        <v>0.56000000000000005</v>
      </c>
      <c r="P928" s="13">
        <v>12</v>
      </c>
      <c r="Q928" s="17">
        <f t="shared" si="82"/>
        <v>0.46153846153846156</v>
      </c>
      <c r="R928" s="13">
        <v>25</v>
      </c>
      <c r="S928" s="13">
        <v>26</v>
      </c>
      <c r="T928" s="13">
        <v>0</v>
      </c>
      <c r="Y928" s="13">
        <v>55</v>
      </c>
      <c r="Z928" s="13">
        <v>39</v>
      </c>
      <c r="AA928" s="13">
        <v>54.75</v>
      </c>
      <c r="AD928" s="13">
        <v>55</v>
      </c>
      <c r="AE928" s="13">
        <v>50.25</v>
      </c>
      <c r="AF928" s="13">
        <v>57</v>
      </c>
      <c r="AG928" s="13" t="s">
        <v>639</v>
      </c>
      <c r="AH928" s="13">
        <v>9.4350000000000005</v>
      </c>
      <c r="AJ928" s="13">
        <v>84</v>
      </c>
      <c r="AM928" s="13">
        <v>50</v>
      </c>
      <c r="AP928" s="13">
        <v>0.69499999999999995</v>
      </c>
      <c r="AR928" s="13">
        <v>0.5</v>
      </c>
      <c r="AS928" s="13">
        <v>0.84</v>
      </c>
      <c r="BG928" s="13">
        <v>13.31</v>
      </c>
      <c r="BI928" s="13">
        <v>10.1</v>
      </c>
      <c r="BJ928" s="13">
        <v>16.36</v>
      </c>
      <c r="BR928" s="13">
        <v>9.44</v>
      </c>
      <c r="BT928" s="13">
        <v>6.33</v>
      </c>
      <c r="BU928" s="13">
        <v>13.31</v>
      </c>
      <c r="BX928" s="13">
        <v>1.7000000000000001E-2</v>
      </c>
      <c r="BY928" s="13" t="s">
        <v>1611</v>
      </c>
      <c r="BZ928" s="13" t="s">
        <v>1612</v>
      </c>
      <c r="CA928" s="13">
        <v>2024</v>
      </c>
      <c r="CB928" s="13" t="s">
        <v>2149</v>
      </c>
      <c r="CC928" s="13" t="s">
        <v>362</v>
      </c>
      <c r="CD928" s="13">
        <v>10</v>
      </c>
      <c r="CE928" s="13">
        <v>7</v>
      </c>
      <c r="CF928" s="13" t="s">
        <v>1613</v>
      </c>
      <c r="CG928" s="13" t="s">
        <v>1614</v>
      </c>
    </row>
    <row r="929" spans="1:85">
      <c r="A929" s="13" t="s">
        <v>1937</v>
      </c>
      <c r="B929" s="13" t="s">
        <v>1937</v>
      </c>
      <c r="C929" s="14" t="s">
        <v>3012</v>
      </c>
      <c r="D929" s="14" t="s">
        <v>827</v>
      </c>
      <c r="E929" s="13" t="s">
        <v>630</v>
      </c>
      <c r="F929" s="13" t="s">
        <v>3010</v>
      </c>
      <c r="G929" s="13" t="s">
        <v>673</v>
      </c>
      <c r="H929" s="13" t="s">
        <v>3009</v>
      </c>
      <c r="J929" s="14" t="s">
        <v>712</v>
      </c>
      <c r="K929" s="14" t="s">
        <v>3006</v>
      </c>
      <c r="L929" s="14" t="s">
        <v>3011</v>
      </c>
      <c r="N929" s="13">
        <v>14</v>
      </c>
      <c r="O929" s="2">
        <f t="shared" si="81"/>
        <v>0.56000000000000005</v>
      </c>
      <c r="P929" s="13">
        <v>12</v>
      </c>
      <c r="Q929" s="17">
        <f t="shared" si="82"/>
        <v>0.46153846153846156</v>
      </c>
      <c r="R929" s="13">
        <v>25</v>
      </c>
      <c r="S929" s="13">
        <v>26</v>
      </c>
      <c r="T929" s="13">
        <v>0</v>
      </c>
      <c r="Y929" s="13">
        <v>55</v>
      </c>
      <c r="Z929" s="13">
        <v>39</v>
      </c>
      <c r="AA929" s="13">
        <v>54.75</v>
      </c>
      <c r="AD929" s="13">
        <v>55</v>
      </c>
      <c r="AE929" s="13">
        <v>50.25</v>
      </c>
      <c r="AF929" s="13">
        <v>57</v>
      </c>
      <c r="AG929" s="13" t="s">
        <v>639</v>
      </c>
      <c r="BG929" s="13">
        <v>2.38</v>
      </c>
      <c r="BI929" s="13">
        <v>1.66</v>
      </c>
      <c r="BJ929" s="13">
        <v>3.71</v>
      </c>
      <c r="BR929" s="13">
        <v>3.41</v>
      </c>
      <c r="BT929" s="13">
        <v>1.84</v>
      </c>
      <c r="BU929" s="13">
        <v>3.77</v>
      </c>
      <c r="BX929" s="13">
        <v>0.432</v>
      </c>
      <c r="BY929" s="13" t="s">
        <v>1611</v>
      </c>
      <c r="BZ929" s="13" t="s">
        <v>1612</v>
      </c>
      <c r="CA929" s="13">
        <v>2024</v>
      </c>
      <c r="CB929" s="13" t="s">
        <v>2149</v>
      </c>
      <c r="CC929" s="13" t="s">
        <v>362</v>
      </c>
      <c r="CD929" s="13">
        <v>10</v>
      </c>
      <c r="CE929" s="13">
        <v>7</v>
      </c>
      <c r="CF929" s="13" t="s">
        <v>1613</v>
      </c>
      <c r="CG929" s="13" t="s">
        <v>1614</v>
      </c>
    </row>
    <row r="930" spans="1:85">
      <c r="A930" s="13" t="s">
        <v>1937</v>
      </c>
      <c r="B930" s="13" t="s">
        <v>1937</v>
      </c>
      <c r="C930" s="14" t="s">
        <v>3013</v>
      </c>
      <c r="D930" s="14" t="s">
        <v>827</v>
      </c>
      <c r="E930" s="13" t="s">
        <v>630</v>
      </c>
      <c r="F930" s="13" t="s">
        <v>3010</v>
      </c>
      <c r="G930" s="13" t="s">
        <v>673</v>
      </c>
      <c r="H930" s="13" t="s">
        <v>3005</v>
      </c>
      <c r="J930" s="14" t="s">
        <v>712</v>
      </c>
      <c r="K930" s="14" t="s">
        <v>3006</v>
      </c>
      <c r="L930" s="14" t="s">
        <v>585</v>
      </c>
      <c r="M930" s="14" t="s">
        <v>3008</v>
      </c>
      <c r="N930" s="13">
        <v>19</v>
      </c>
      <c r="O930" s="2">
        <f t="shared" si="81"/>
        <v>0.73076923076923073</v>
      </c>
      <c r="P930" s="13">
        <v>10</v>
      </c>
      <c r="Q930" s="17">
        <f t="shared" si="82"/>
        <v>0.66666666666666663</v>
      </c>
      <c r="R930" s="13">
        <v>26</v>
      </c>
      <c r="S930" s="13">
        <v>15</v>
      </c>
      <c r="T930" s="13">
        <v>0</v>
      </c>
      <c r="Y930" s="13">
        <v>61</v>
      </c>
      <c r="Z930" s="13">
        <v>51</v>
      </c>
      <c r="AA930" s="13">
        <v>66</v>
      </c>
      <c r="AD930" s="13">
        <v>56</v>
      </c>
      <c r="AE930" s="13">
        <v>51.5</v>
      </c>
      <c r="AF930" s="13">
        <v>61</v>
      </c>
      <c r="AG930" s="13" t="s">
        <v>639</v>
      </c>
      <c r="AH930" s="13">
        <v>124.12</v>
      </c>
      <c r="AJ930" s="13">
        <v>100</v>
      </c>
      <c r="AM930" s="13">
        <v>80</v>
      </c>
      <c r="AP930" s="13">
        <v>0.85899999999999999</v>
      </c>
      <c r="BG930" s="13">
        <v>167.67</v>
      </c>
      <c r="BI930" s="13">
        <v>148.25</v>
      </c>
      <c r="BJ930" s="13">
        <v>175.59</v>
      </c>
      <c r="BR930" s="13">
        <v>116.44</v>
      </c>
      <c r="BT930" s="13">
        <v>102.43</v>
      </c>
      <c r="BU930" s="13">
        <v>122.19</v>
      </c>
      <c r="BX930" s="13" t="s">
        <v>635</v>
      </c>
      <c r="BY930" s="13" t="s">
        <v>1611</v>
      </c>
      <c r="BZ930" s="13" t="s">
        <v>1612</v>
      </c>
      <c r="CA930" s="13">
        <v>2024</v>
      </c>
      <c r="CB930" s="13" t="s">
        <v>2149</v>
      </c>
      <c r="CC930" s="13" t="s">
        <v>362</v>
      </c>
      <c r="CD930" s="13">
        <v>10</v>
      </c>
      <c r="CE930" s="13">
        <v>7</v>
      </c>
      <c r="CF930" s="13" t="s">
        <v>1613</v>
      </c>
      <c r="CG930" s="13" t="s">
        <v>1614</v>
      </c>
    </row>
    <row r="931" spans="1:85">
      <c r="A931" s="13" t="s">
        <v>1937</v>
      </c>
      <c r="B931" s="13" t="s">
        <v>1937</v>
      </c>
      <c r="C931" s="14" t="s">
        <v>3013</v>
      </c>
      <c r="D931" s="14" t="s">
        <v>827</v>
      </c>
      <c r="E931" s="13" t="s">
        <v>630</v>
      </c>
      <c r="F931" s="13" t="s">
        <v>3010</v>
      </c>
      <c r="G931" s="13" t="s">
        <v>673</v>
      </c>
      <c r="H931" s="13" t="s">
        <v>3009</v>
      </c>
      <c r="J931" s="14" t="s">
        <v>712</v>
      </c>
      <c r="K931" s="14" t="s">
        <v>3006</v>
      </c>
      <c r="L931" s="14" t="s">
        <v>585</v>
      </c>
      <c r="M931" s="14" t="s">
        <v>3008</v>
      </c>
      <c r="N931" s="13">
        <v>19</v>
      </c>
      <c r="O931" s="2">
        <f t="shared" si="81"/>
        <v>0.73076923076923073</v>
      </c>
      <c r="P931" s="13">
        <v>10</v>
      </c>
      <c r="Q931" s="17">
        <f t="shared" si="82"/>
        <v>0.66666666666666663</v>
      </c>
      <c r="R931" s="13">
        <v>26</v>
      </c>
      <c r="S931" s="13">
        <v>15</v>
      </c>
      <c r="T931" s="13">
        <v>0</v>
      </c>
      <c r="Y931" s="13">
        <v>61</v>
      </c>
      <c r="Z931" s="13">
        <v>51</v>
      </c>
      <c r="AA931" s="13">
        <v>66</v>
      </c>
      <c r="AD931" s="13">
        <v>56</v>
      </c>
      <c r="AE931" s="13">
        <v>51.5</v>
      </c>
      <c r="AF931" s="13">
        <v>61</v>
      </c>
      <c r="AG931" s="13" t="s">
        <v>639</v>
      </c>
      <c r="BG931" s="13">
        <v>0</v>
      </c>
      <c r="BI931" s="13">
        <v>0</v>
      </c>
      <c r="BJ931" s="13">
        <v>3263.87</v>
      </c>
      <c r="BR931" s="13">
        <v>0</v>
      </c>
      <c r="BT931" s="13">
        <v>0</v>
      </c>
      <c r="BU931" s="13">
        <v>0</v>
      </c>
      <c r="BX931" s="13">
        <v>0.23100000000000001</v>
      </c>
      <c r="BY931" s="13" t="s">
        <v>1611</v>
      </c>
      <c r="BZ931" s="13" t="s">
        <v>1612</v>
      </c>
      <c r="CA931" s="13">
        <v>2024</v>
      </c>
      <c r="CB931" s="13" t="s">
        <v>2149</v>
      </c>
      <c r="CC931" s="13" t="s">
        <v>362</v>
      </c>
      <c r="CD931" s="13">
        <v>10</v>
      </c>
      <c r="CE931" s="13">
        <v>7</v>
      </c>
      <c r="CF931" s="13" t="s">
        <v>1613</v>
      </c>
      <c r="CG931" s="13" t="s">
        <v>1614</v>
      </c>
    </row>
    <row r="932" spans="1:85">
      <c r="A932" s="13" t="s">
        <v>2027</v>
      </c>
      <c r="B932" s="13" t="s">
        <v>2027</v>
      </c>
      <c r="C932" s="13" t="s">
        <v>2028</v>
      </c>
      <c r="D932" s="13" t="s">
        <v>827</v>
      </c>
      <c r="E932" s="13" t="s">
        <v>630</v>
      </c>
      <c r="F932" s="13" t="s">
        <v>2030</v>
      </c>
      <c r="G932" s="13" t="s">
        <v>673</v>
      </c>
      <c r="H932" s="13" t="s">
        <v>675</v>
      </c>
      <c r="J932" s="13" t="s">
        <v>855</v>
      </c>
      <c r="K932" s="14" t="s">
        <v>3126</v>
      </c>
      <c r="L932" s="13" t="s">
        <v>652</v>
      </c>
      <c r="M932" s="13" t="s">
        <v>2031</v>
      </c>
      <c r="N932" s="13">
        <v>50</v>
      </c>
      <c r="O932" s="2">
        <f t="shared" si="81"/>
        <v>0.7142857142857143</v>
      </c>
      <c r="P932" s="13">
        <v>31</v>
      </c>
      <c r="Q932" s="17">
        <f t="shared" si="82"/>
        <v>0.72093023255813948</v>
      </c>
      <c r="R932" s="13">
        <v>70</v>
      </c>
      <c r="S932" s="13">
        <v>43</v>
      </c>
      <c r="T932" s="13">
        <v>0</v>
      </c>
      <c r="U932" s="15">
        <v>0</v>
      </c>
      <c r="V932" s="13">
        <v>0</v>
      </c>
      <c r="W932" s="31" t="s">
        <v>2547</v>
      </c>
      <c r="X932" s="13">
        <v>7.9</v>
      </c>
      <c r="AB932" s="13">
        <v>62.4</v>
      </c>
      <c r="AC932" s="13">
        <v>7.2</v>
      </c>
      <c r="AG932" s="13" t="s">
        <v>639</v>
      </c>
      <c r="AH932" s="13">
        <v>28.95</v>
      </c>
      <c r="AJ932" s="13">
        <v>94</v>
      </c>
      <c r="AK932" s="13">
        <v>88.4</v>
      </c>
      <c r="AL932" s="13">
        <v>97.3</v>
      </c>
      <c r="AM932" s="13">
        <v>84.8</v>
      </c>
      <c r="AN932" s="13">
        <v>76.5</v>
      </c>
      <c r="AO932" s="13">
        <v>89.5</v>
      </c>
      <c r="AP932" s="13">
        <v>0.93899999999999995</v>
      </c>
      <c r="AR932" s="13">
        <v>0.89500000000000002</v>
      </c>
      <c r="AS932" s="13">
        <v>0.98299999999999998</v>
      </c>
      <c r="AT932" s="13">
        <v>90.4</v>
      </c>
      <c r="AU932" s="13">
        <v>90.68</v>
      </c>
      <c r="AV932" s="13">
        <v>81.599999999999994</v>
      </c>
      <c r="AW932" s="13">
        <v>100</v>
      </c>
      <c r="AX932" s="13">
        <v>90.68</v>
      </c>
      <c r="AY932" s="13">
        <v>79.099999999999994</v>
      </c>
      <c r="AZ932" s="13">
        <v>100</v>
      </c>
      <c r="BG932" s="13">
        <v>77.599999999999994</v>
      </c>
      <c r="BY932" s="13" t="s">
        <v>2034</v>
      </c>
      <c r="BZ932" s="13" t="s">
        <v>2114</v>
      </c>
      <c r="CA932" s="13">
        <v>2021</v>
      </c>
      <c r="CB932" s="13" t="s">
        <v>32</v>
      </c>
      <c r="CC932" s="13" t="s">
        <v>195</v>
      </c>
      <c r="CD932" s="13">
        <v>92</v>
      </c>
      <c r="CE932" s="13">
        <v>10</v>
      </c>
      <c r="CF932" s="13" t="s">
        <v>2115</v>
      </c>
      <c r="CG932" s="13" t="s">
        <v>2116</v>
      </c>
    </row>
    <row r="933" spans="1:85">
      <c r="A933" s="13" t="s">
        <v>2027</v>
      </c>
      <c r="B933" s="13" t="s">
        <v>2027</v>
      </c>
      <c r="C933" s="13" t="s">
        <v>2028</v>
      </c>
      <c r="D933" s="13" t="s">
        <v>827</v>
      </c>
      <c r="E933" s="13" t="s">
        <v>630</v>
      </c>
      <c r="F933" s="13" t="s">
        <v>2030</v>
      </c>
      <c r="G933" s="13" t="s">
        <v>673</v>
      </c>
      <c r="H933" s="13" t="s">
        <v>684</v>
      </c>
      <c r="I933" s="13" t="s">
        <v>3018</v>
      </c>
      <c r="J933" s="13" t="s">
        <v>855</v>
      </c>
      <c r="K933" s="14" t="s">
        <v>3126</v>
      </c>
      <c r="L933" s="13" t="s">
        <v>652</v>
      </c>
      <c r="M933" s="13" t="s">
        <v>2031</v>
      </c>
      <c r="N933" s="13">
        <v>50</v>
      </c>
      <c r="O933" s="2">
        <f t="shared" si="81"/>
        <v>0.7142857142857143</v>
      </c>
      <c r="P933" s="13">
        <v>31</v>
      </c>
      <c r="Q933" s="17">
        <f t="shared" si="82"/>
        <v>0.72093023255813948</v>
      </c>
      <c r="R933" s="13">
        <v>70</v>
      </c>
      <c r="S933" s="13">
        <v>43</v>
      </c>
      <c r="T933" s="13">
        <v>0</v>
      </c>
      <c r="U933" s="15">
        <v>0</v>
      </c>
      <c r="V933" s="13">
        <v>0</v>
      </c>
      <c r="W933" s="31" t="s">
        <v>2547</v>
      </c>
      <c r="X933" s="13">
        <v>7.9</v>
      </c>
      <c r="AB933" s="13">
        <v>62.4</v>
      </c>
      <c r="AC933" s="13">
        <v>7.2</v>
      </c>
      <c r="AG933" s="13" t="s">
        <v>639</v>
      </c>
      <c r="AJ933" s="13">
        <v>94.3</v>
      </c>
      <c r="AK933" s="13">
        <v>89.3</v>
      </c>
      <c r="AL933" s="13">
        <v>97.1</v>
      </c>
      <c r="AM933" s="13">
        <v>90.7</v>
      </c>
      <c r="AN933" s="13">
        <v>82.5</v>
      </c>
      <c r="AO933" s="13">
        <v>95.2</v>
      </c>
      <c r="AP933" s="13">
        <v>0.96599999999999997</v>
      </c>
      <c r="AR933" s="13">
        <v>0.93500000000000005</v>
      </c>
      <c r="AS933" s="13">
        <v>0.998</v>
      </c>
      <c r="AT933" s="13">
        <v>90.4</v>
      </c>
      <c r="AU933" s="13">
        <v>90.68</v>
      </c>
      <c r="AV933" s="13">
        <v>81.599999999999994</v>
      </c>
      <c r="AW933" s="13">
        <v>100</v>
      </c>
      <c r="AX933" s="13">
        <v>90.68</v>
      </c>
      <c r="AY933" s="13">
        <v>79.099999999999994</v>
      </c>
      <c r="AZ933" s="13">
        <v>100</v>
      </c>
      <c r="BY933" s="13" t="s">
        <v>2034</v>
      </c>
      <c r="BZ933" s="13" t="s">
        <v>2114</v>
      </c>
      <c r="CA933" s="13">
        <v>2021</v>
      </c>
      <c r="CB933" s="13" t="s">
        <v>32</v>
      </c>
      <c r="CC933" s="13" t="s">
        <v>195</v>
      </c>
      <c r="CD933" s="13">
        <v>92</v>
      </c>
      <c r="CE933" s="13">
        <v>10</v>
      </c>
      <c r="CF933" s="13" t="s">
        <v>2115</v>
      </c>
      <c r="CG933" s="13" t="s">
        <v>2116</v>
      </c>
    </row>
    <row r="934" spans="1:85">
      <c r="A934" s="13" t="s">
        <v>1755</v>
      </c>
      <c r="B934" s="13" t="s">
        <v>1939</v>
      </c>
      <c r="C934" s="13" t="s">
        <v>548</v>
      </c>
      <c r="D934" s="13" t="s">
        <v>831</v>
      </c>
      <c r="E934" s="13" t="s">
        <v>630</v>
      </c>
      <c r="F934" s="13" t="s">
        <v>1037</v>
      </c>
      <c r="G934" s="13" t="s">
        <v>672</v>
      </c>
      <c r="H934" s="13" t="s">
        <v>1036</v>
      </c>
      <c r="J934" s="13" t="s">
        <v>712</v>
      </c>
      <c r="K934" s="13" t="s">
        <v>3020</v>
      </c>
      <c r="L934" s="13" t="s">
        <v>585</v>
      </c>
      <c r="N934" s="13">
        <v>11</v>
      </c>
      <c r="O934" s="2">
        <f t="shared" si="81"/>
        <v>0.57894736842105265</v>
      </c>
      <c r="P934" s="13">
        <v>7</v>
      </c>
      <c r="Q934" s="17">
        <f t="shared" si="82"/>
        <v>0.46666666666666667</v>
      </c>
      <c r="R934" s="13">
        <v>19</v>
      </c>
      <c r="S934" s="13">
        <v>15</v>
      </c>
      <c r="W934" s="13">
        <v>59.47</v>
      </c>
      <c r="X934" s="13">
        <v>7.25</v>
      </c>
      <c r="AB934" s="13">
        <v>55.3</v>
      </c>
      <c r="AC934" s="13">
        <v>8.2100000000000009</v>
      </c>
      <c r="AG934" s="13" t="s">
        <v>639</v>
      </c>
      <c r="AJ934" s="13">
        <v>73.33</v>
      </c>
      <c r="AM934" s="13">
        <v>78.95</v>
      </c>
      <c r="AP934" s="13">
        <v>0.77</v>
      </c>
      <c r="BB934" s="13">
        <v>2503.6999999999998</v>
      </c>
      <c r="BC934" s="13">
        <v>1294.79</v>
      </c>
      <c r="BM934" s="13">
        <v>1332.23</v>
      </c>
      <c r="BN934" s="13">
        <v>910.37</v>
      </c>
      <c r="BX934" s="13">
        <v>0.01</v>
      </c>
      <c r="BY934" s="13" t="s">
        <v>543</v>
      </c>
      <c r="BZ934" s="13" t="s">
        <v>544</v>
      </c>
      <c r="CA934" s="13">
        <v>2020</v>
      </c>
      <c r="CB934" s="13" t="s">
        <v>32</v>
      </c>
      <c r="CC934" s="13" t="s">
        <v>545</v>
      </c>
      <c r="CD934" s="13">
        <v>41</v>
      </c>
      <c r="CE934" s="13">
        <v>10</v>
      </c>
      <c r="CF934" s="13" t="s">
        <v>546</v>
      </c>
      <c r="CG934" s="13" t="s">
        <v>547</v>
      </c>
    </row>
    <row r="935" spans="1:85">
      <c r="A935" s="13" t="s">
        <v>1755</v>
      </c>
      <c r="B935" s="13" t="s">
        <v>1939</v>
      </c>
      <c r="C935" s="13" t="s">
        <v>548</v>
      </c>
      <c r="D935" s="13" t="s">
        <v>831</v>
      </c>
      <c r="E935" s="13" t="s">
        <v>630</v>
      </c>
      <c r="F935" s="13" t="s">
        <v>1037</v>
      </c>
      <c r="G935" s="13" t="s">
        <v>672</v>
      </c>
      <c r="H935" s="13" t="s">
        <v>675</v>
      </c>
      <c r="J935" s="13" t="s">
        <v>712</v>
      </c>
      <c r="K935" s="13" t="s">
        <v>3020</v>
      </c>
      <c r="L935" s="13" t="s">
        <v>585</v>
      </c>
      <c r="N935" s="13">
        <v>11</v>
      </c>
      <c r="O935" s="2">
        <f t="shared" si="81"/>
        <v>0.57894736842105265</v>
      </c>
      <c r="P935" s="13">
        <v>7</v>
      </c>
      <c r="Q935" s="17">
        <f t="shared" si="82"/>
        <v>0.46666666666666667</v>
      </c>
      <c r="R935" s="13">
        <v>19</v>
      </c>
      <c r="S935" s="13">
        <v>15</v>
      </c>
      <c r="W935" s="13">
        <v>59.47</v>
      </c>
      <c r="X935" s="13">
        <v>7.25</v>
      </c>
      <c r="AB935" s="13">
        <v>55.3</v>
      </c>
      <c r="AC935" s="13">
        <v>8.2100000000000009</v>
      </c>
      <c r="AG935" s="13" t="s">
        <v>639</v>
      </c>
      <c r="AJ935" s="13">
        <v>73.33</v>
      </c>
      <c r="AM935" s="13">
        <v>84.21</v>
      </c>
      <c r="AP935" s="13">
        <v>0.77</v>
      </c>
      <c r="BB935" s="13">
        <v>151.12</v>
      </c>
      <c r="BC935" s="13">
        <v>9.8800000000000008</v>
      </c>
      <c r="BM935" s="13">
        <v>140.9</v>
      </c>
      <c r="BN935" s="13">
        <v>12.85</v>
      </c>
      <c r="BX935" s="13">
        <v>0.01</v>
      </c>
      <c r="BY935" s="13" t="s">
        <v>543</v>
      </c>
      <c r="BZ935" s="13" t="s">
        <v>544</v>
      </c>
      <c r="CA935" s="13">
        <v>2020</v>
      </c>
      <c r="CB935" s="13" t="s">
        <v>32</v>
      </c>
      <c r="CC935" s="13" t="s">
        <v>545</v>
      </c>
      <c r="CD935" s="13">
        <v>41</v>
      </c>
      <c r="CE935" s="13">
        <v>10</v>
      </c>
      <c r="CF935" s="13" t="s">
        <v>546</v>
      </c>
      <c r="CG935" s="13" t="s">
        <v>547</v>
      </c>
    </row>
    <row r="936" spans="1:85">
      <c r="A936" s="13" t="s">
        <v>1755</v>
      </c>
      <c r="B936" s="13" t="s">
        <v>1939</v>
      </c>
      <c r="C936" s="13" t="s">
        <v>548</v>
      </c>
      <c r="D936" s="13" t="s">
        <v>831</v>
      </c>
      <c r="E936" s="13" t="s">
        <v>630</v>
      </c>
      <c r="F936" s="13" t="s">
        <v>1037</v>
      </c>
      <c r="G936" s="13" t="s">
        <v>672</v>
      </c>
      <c r="H936" s="13" t="s">
        <v>807</v>
      </c>
      <c r="J936" s="13" t="s">
        <v>712</v>
      </c>
      <c r="K936" s="13" t="s">
        <v>3020</v>
      </c>
      <c r="L936" s="13" t="s">
        <v>585</v>
      </c>
      <c r="N936" s="13">
        <v>11</v>
      </c>
      <c r="O936" s="2">
        <f t="shared" si="81"/>
        <v>0.57894736842105265</v>
      </c>
      <c r="P936" s="13">
        <v>7</v>
      </c>
      <c r="Q936" s="17">
        <f t="shared" si="82"/>
        <v>0.46666666666666667</v>
      </c>
      <c r="R936" s="13">
        <v>19</v>
      </c>
      <c r="S936" s="13">
        <v>15</v>
      </c>
      <c r="W936" s="13">
        <v>59.47</v>
      </c>
      <c r="X936" s="13">
        <v>7.25</v>
      </c>
      <c r="AB936" s="13">
        <v>55.3</v>
      </c>
      <c r="AC936" s="13">
        <v>8.2100000000000009</v>
      </c>
      <c r="AG936" s="13" t="s">
        <v>639</v>
      </c>
      <c r="AJ936" s="13">
        <v>53.33</v>
      </c>
      <c r="AM936" s="13">
        <v>78.95</v>
      </c>
      <c r="AP936" s="13">
        <v>0.69</v>
      </c>
      <c r="BB936" s="13">
        <v>7.89</v>
      </c>
      <c r="BC936" s="13">
        <v>3.16</v>
      </c>
      <c r="BM936" s="13">
        <v>5.87</v>
      </c>
      <c r="BN936" s="13">
        <v>2.27</v>
      </c>
      <c r="BX936" s="13">
        <v>0.05</v>
      </c>
      <c r="BY936" s="13" t="s">
        <v>543</v>
      </c>
      <c r="BZ936" s="13" t="s">
        <v>544</v>
      </c>
      <c r="CA936" s="13">
        <v>2020</v>
      </c>
      <c r="CB936" s="13" t="s">
        <v>32</v>
      </c>
      <c r="CC936" s="13" t="s">
        <v>545</v>
      </c>
      <c r="CD936" s="13">
        <v>41</v>
      </c>
      <c r="CE936" s="13">
        <v>10</v>
      </c>
      <c r="CF936" s="13" t="s">
        <v>546</v>
      </c>
      <c r="CG936" s="13" t="s">
        <v>547</v>
      </c>
    </row>
    <row r="937" spans="1:85">
      <c r="A937" s="13" t="s">
        <v>1756</v>
      </c>
      <c r="B937" s="13" t="s">
        <v>1941</v>
      </c>
      <c r="C937" s="13" t="s">
        <v>553</v>
      </c>
      <c r="D937" s="13" t="s">
        <v>818</v>
      </c>
      <c r="E937" s="13" t="s">
        <v>630</v>
      </c>
      <c r="F937" s="13" t="s">
        <v>1038</v>
      </c>
      <c r="G937" s="13" t="s">
        <v>702</v>
      </c>
      <c r="H937" s="13" t="s">
        <v>1039</v>
      </c>
      <c r="J937" s="13" t="s">
        <v>712</v>
      </c>
      <c r="K937" s="13" t="s">
        <v>3022</v>
      </c>
      <c r="L937" s="13" t="s">
        <v>1973</v>
      </c>
      <c r="M937" s="13" t="s">
        <v>947</v>
      </c>
      <c r="N937" s="13">
        <v>47</v>
      </c>
      <c r="O937" s="2">
        <f t="shared" si="81"/>
        <v>0.6619718309859155</v>
      </c>
      <c r="P937" s="13">
        <v>35</v>
      </c>
      <c r="Q937" s="17">
        <f t="shared" si="82"/>
        <v>0.64814814814814814</v>
      </c>
      <c r="R937" s="13">
        <v>71</v>
      </c>
      <c r="S937" s="13">
        <v>54</v>
      </c>
      <c r="W937" s="13">
        <v>58</v>
      </c>
      <c r="X937" s="13">
        <v>9</v>
      </c>
      <c r="AB937" s="13">
        <v>56</v>
      </c>
      <c r="AC937" s="13">
        <v>8</v>
      </c>
      <c r="AG937" s="13" t="s">
        <v>1040</v>
      </c>
      <c r="BB937" s="13">
        <v>5280</v>
      </c>
      <c r="BC937" s="13">
        <v>1826</v>
      </c>
      <c r="BM937" s="13">
        <v>2875</v>
      </c>
      <c r="BN937" s="13">
        <v>2093</v>
      </c>
      <c r="BX937" s="13" t="s">
        <v>701</v>
      </c>
      <c r="BY937" s="13" t="s">
        <v>549</v>
      </c>
      <c r="BZ937" s="13" t="s">
        <v>550</v>
      </c>
      <c r="CA937" s="13">
        <v>2023</v>
      </c>
      <c r="CB937" s="21">
        <v>45595</v>
      </c>
      <c r="CC937" s="13" t="s">
        <v>551</v>
      </c>
      <c r="CD937" s="13">
        <v>13</v>
      </c>
      <c r="CE937" s="13">
        <v>11</v>
      </c>
      <c r="CG937" s="13" t="s">
        <v>552</v>
      </c>
    </row>
    <row r="938" spans="1:85">
      <c r="A938" s="13" t="s">
        <v>1756</v>
      </c>
      <c r="B938" s="13" t="s">
        <v>1941</v>
      </c>
      <c r="C938" s="13" t="s">
        <v>553</v>
      </c>
      <c r="D938" s="13" t="s">
        <v>818</v>
      </c>
      <c r="E938" s="13" t="s">
        <v>630</v>
      </c>
      <c r="F938" s="13" t="s">
        <v>1038</v>
      </c>
      <c r="G938" s="13" t="s">
        <v>1042</v>
      </c>
      <c r="H938" s="13" t="s">
        <v>1039</v>
      </c>
      <c r="J938" s="13" t="s">
        <v>712</v>
      </c>
      <c r="K938" s="13" t="s">
        <v>3022</v>
      </c>
      <c r="L938" s="13" t="s">
        <v>1978</v>
      </c>
      <c r="M938" s="13" t="s">
        <v>1041</v>
      </c>
      <c r="N938" s="13">
        <v>32</v>
      </c>
      <c r="O938" s="2">
        <f t="shared" si="81"/>
        <v>0.68085106382978722</v>
      </c>
      <c r="P938" s="13">
        <v>20</v>
      </c>
      <c r="Q938" s="17">
        <f t="shared" si="82"/>
        <v>0.58823529411764708</v>
      </c>
      <c r="R938" s="13">
        <v>47</v>
      </c>
      <c r="S938" s="13">
        <v>34</v>
      </c>
      <c r="W938" s="13">
        <v>58</v>
      </c>
      <c r="X938" s="13">
        <v>10</v>
      </c>
      <c r="AB938" s="13">
        <v>54</v>
      </c>
      <c r="AC938" s="13">
        <v>7</v>
      </c>
      <c r="AG938" s="13" t="s">
        <v>1040</v>
      </c>
      <c r="BB938" s="13">
        <v>17.34</v>
      </c>
      <c r="BC938" s="13">
        <v>8.2260000000000009</v>
      </c>
      <c r="BM938" s="13">
        <v>5.6710000000000003</v>
      </c>
      <c r="BN938" s="13">
        <v>2.9319999999999999</v>
      </c>
      <c r="BX938" s="13" t="s">
        <v>701</v>
      </c>
      <c r="BY938" s="13" t="s">
        <v>549</v>
      </c>
      <c r="BZ938" s="13" t="s">
        <v>550</v>
      </c>
      <c r="CA938" s="13">
        <v>2023</v>
      </c>
      <c r="CB938" s="21">
        <v>45595</v>
      </c>
      <c r="CC938" s="13" t="s">
        <v>551</v>
      </c>
      <c r="CD938" s="13">
        <v>13</v>
      </c>
      <c r="CE938" s="13">
        <v>11</v>
      </c>
      <c r="CG938" s="13" t="s">
        <v>552</v>
      </c>
    </row>
    <row r="939" spans="1:85">
      <c r="A939" s="13" t="s">
        <v>1940</v>
      </c>
      <c r="B939" s="13" t="s">
        <v>1940</v>
      </c>
      <c r="C939" s="14" t="s">
        <v>553</v>
      </c>
      <c r="D939" s="14" t="s">
        <v>818</v>
      </c>
      <c r="E939" s="13" t="s">
        <v>630</v>
      </c>
      <c r="F939" s="13" t="s">
        <v>3025</v>
      </c>
      <c r="G939" s="13" t="s">
        <v>725</v>
      </c>
      <c r="H939" s="13" t="s">
        <v>3026</v>
      </c>
      <c r="J939" s="14" t="s">
        <v>712</v>
      </c>
      <c r="K939" s="14" t="s">
        <v>3022</v>
      </c>
      <c r="L939" s="14" t="s">
        <v>3024</v>
      </c>
      <c r="M939" s="14" t="s">
        <v>3023</v>
      </c>
      <c r="N939" s="13">
        <v>39</v>
      </c>
      <c r="O939" s="2">
        <f t="shared" si="81"/>
        <v>0.66101694915254239</v>
      </c>
      <c r="P939" s="13">
        <v>40</v>
      </c>
      <c r="Q939" s="17">
        <f t="shared" si="82"/>
        <v>0.60606060606060608</v>
      </c>
      <c r="R939" s="13">
        <v>59</v>
      </c>
      <c r="S939" s="13">
        <v>66</v>
      </c>
      <c r="W939" s="31">
        <v>58</v>
      </c>
      <c r="X939" s="13">
        <v>10</v>
      </c>
      <c r="AB939" s="13">
        <v>55</v>
      </c>
      <c r="AC939" s="13">
        <v>8</v>
      </c>
      <c r="AG939" s="13" t="s">
        <v>718</v>
      </c>
      <c r="BB939" s="13">
        <v>2.621</v>
      </c>
      <c r="BC939" s="13">
        <v>1.512</v>
      </c>
      <c r="BM939" s="13">
        <v>1.8979999999999999</v>
      </c>
      <c r="BN939" s="13">
        <v>1.1060000000000001</v>
      </c>
      <c r="BY939" s="13" t="s">
        <v>1619</v>
      </c>
      <c r="BZ939" s="13" t="s">
        <v>1620</v>
      </c>
      <c r="CA939" s="13">
        <v>2023</v>
      </c>
      <c r="CC939" s="13" t="s">
        <v>416</v>
      </c>
      <c r="CD939" s="13">
        <v>14</v>
      </c>
      <c r="CF939" s="13" t="s">
        <v>2147</v>
      </c>
      <c r="CG939" s="13" t="s">
        <v>1621</v>
      </c>
    </row>
    <row r="940" spans="1:85">
      <c r="A940" s="13" t="s">
        <v>3428</v>
      </c>
      <c r="C940" s="13" t="s">
        <v>3354</v>
      </c>
      <c r="D940" s="14" t="s">
        <v>2039</v>
      </c>
      <c r="E940" s="13" t="s">
        <v>630</v>
      </c>
      <c r="F940" s="13" t="s">
        <v>3987</v>
      </c>
      <c r="G940" s="13" t="s">
        <v>674</v>
      </c>
      <c r="H940" s="13" t="s">
        <v>2721</v>
      </c>
      <c r="J940" s="14" t="s">
        <v>712</v>
      </c>
      <c r="K940" s="14" t="s">
        <v>3990</v>
      </c>
      <c r="L940" s="13" t="s">
        <v>3989</v>
      </c>
      <c r="M940" s="13" t="s">
        <v>3988</v>
      </c>
      <c r="N940" s="13">
        <v>27</v>
      </c>
      <c r="O940" s="2">
        <f t="shared" si="81"/>
        <v>0.52941176470588236</v>
      </c>
      <c r="P940" s="13">
        <v>13</v>
      </c>
      <c r="Q940" s="17">
        <f t="shared" si="82"/>
        <v>0.5</v>
      </c>
      <c r="R940" s="13">
        <v>51</v>
      </c>
      <c r="S940" s="13">
        <v>26</v>
      </c>
      <c r="T940" s="13">
        <v>0</v>
      </c>
      <c r="U940" s="15">
        <v>0</v>
      </c>
      <c r="W940" s="13">
        <v>59.1</v>
      </c>
      <c r="X940" s="13">
        <v>8.6999999999999993</v>
      </c>
      <c r="AB940" s="13">
        <v>56</v>
      </c>
      <c r="AC940" s="13">
        <v>10.8</v>
      </c>
      <c r="AG940" s="13" t="s">
        <v>639</v>
      </c>
      <c r="BY940" s="13" t="s">
        <v>3614</v>
      </c>
      <c r="BZ940" s="13" t="s">
        <v>3615</v>
      </c>
      <c r="CA940" s="13">
        <v>2025</v>
      </c>
      <c r="CB940" s="13" t="s">
        <v>73</v>
      </c>
      <c r="CC940" s="13" t="s">
        <v>1145</v>
      </c>
      <c r="CD940" s="13">
        <v>18</v>
      </c>
      <c r="CG940" s="13" t="s">
        <v>3283</v>
      </c>
    </row>
    <row r="941" spans="1:85">
      <c r="A941" s="13" t="s">
        <v>3428</v>
      </c>
      <c r="C941" s="13" t="s">
        <v>3354</v>
      </c>
      <c r="D941" s="14" t="s">
        <v>2039</v>
      </c>
      <c r="E941" s="13" t="s">
        <v>630</v>
      </c>
      <c r="F941" s="13" t="s">
        <v>3987</v>
      </c>
      <c r="G941" s="13" t="s">
        <v>674</v>
      </c>
      <c r="H941" s="13" t="s">
        <v>3991</v>
      </c>
      <c r="J941" s="14" t="s">
        <v>712</v>
      </c>
      <c r="K941" s="14" t="s">
        <v>3990</v>
      </c>
      <c r="L941" s="13" t="s">
        <v>3989</v>
      </c>
      <c r="M941" s="13" t="s">
        <v>3988</v>
      </c>
      <c r="N941" s="13">
        <v>27</v>
      </c>
      <c r="O941" s="2">
        <f t="shared" si="81"/>
        <v>0.52941176470588236</v>
      </c>
      <c r="P941" s="13">
        <v>13</v>
      </c>
      <c r="Q941" s="17">
        <f t="shared" si="82"/>
        <v>0.5</v>
      </c>
      <c r="R941" s="13">
        <v>51</v>
      </c>
      <c r="S941" s="13">
        <v>26</v>
      </c>
      <c r="T941" s="13">
        <v>0</v>
      </c>
      <c r="U941" s="15">
        <v>0</v>
      </c>
      <c r="W941" s="13">
        <v>59.1</v>
      </c>
      <c r="X941" s="13">
        <v>8.6999999999999993</v>
      </c>
      <c r="AB941" s="13">
        <v>56</v>
      </c>
      <c r="AC941" s="13">
        <v>10.8</v>
      </c>
      <c r="AG941" s="13" t="s">
        <v>639</v>
      </c>
      <c r="BY941" s="13" t="s">
        <v>3614</v>
      </c>
      <c r="BZ941" s="13" t="s">
        <v>3615</v>
      </c>
      <c r="CA941" s="13">
        <v>2025</v>
      </c>
      <c r="CB941" s="13" t="s">
        <v>73</v>
      </c>
      <c r="CC941" s="13" t="s">
        <v>1145</v>
      </c>
      <c r="CD941" s="13">
        <v>18</v>
      </c>
      <c r="CG941" s="13" t="s">
        <v>3283</v>
      </c>
    </row>
    <row r="942" spans="1:85">
      <c r="A942" s="13" t="s">
        <v>3428</v>
      </c>
      <c r="C942" s="13" t="s">
        <v>3354</v>
      </c>
      <c r="D942" s="14" t="s">
        <v>2039</v>
      </c>
      <c r="E942" s="13" t="s">
        <v>630</v>
      </c>
      <c r="F942" s="13" t="s">
        <v>3987</v>
      </c>
      <c r="G942" s="13" t="s">
        <v>674</v>
      </c>
      <c r="H942" s="13" t="s">
        <v>2720</v>
      </c>
      <c r="J942" s="14" t="s">
        <v>712</v>
      </c>
      <c r="K942" s="14" t="s">
        <v>3990</v>
      </c>
      <c r="L942" s="13" t="s">
        <v>3989</v>
      </c>
      <c r="M942" s="13" t="s">
        <v>3988</v>
      </c>
      <c r="N942" s="13">
        <v>27</v>
      </c>
      <c r="O942" s="2">
        <f t="shared" si="81"/>
        <v>0.52941176470588236</v>
      </c>
      <c r="P942" s="13">
        <v>13</v>
      </c>
      <c r="Q942" s="17">
        <f t="shared" si="82"/>
        <v>0.5</v>
      </c>
      <c r="R942" s="13">
        <v>51</v>
      </c>
      <c r="S942" s="13">
        <v>26</v>
      </c>
      <c r="T942" s="13">
        <v>0</v>
      </c>
      <c r="U942" s="15">
        <v>0</v>
      </c>
      <c r="W942" s="13">
        <v>59.1</v>
      </c>
      <c r="X942" s="13">
        <v>8.6999999999999993</v>
      </c>
      <c r="AB942" s="13">
        <v>56</v>
      </c>
      <c r="AC942" s="13">
        <v>10.8</v>
      </c>
      <c r="AG942" s="13" t="s">
        <v>639</v>
      </c>
      <c r="BY942" s="13" t="s">
        <v>3614</v>
      </c>
      <c r="BZ942" s="13" t="s">
        <v>3615</v>
      </c>
      <c r="CA942" s="13">
        <v>2025</v>
      </c>
      <c r="CB942" s="13" t="s">
        <v>73</v>
      </c>
      <c r="CC942" s="13" t="s">
        <v>1145</v>
      </c>
      <c r="CD942" s="13">
        <v>18</v>
      </c>
      <c r="CG942" s="13" t="s">
        <v>3283</v>
      </c>
    </row>
    <row r="943" spans="1:85">
      <c r="A943" s="13" t="s">
        <v>3428</v>
      </c>
      <c r="C943" s="13" t="s">
        <v>3354</v>
      </c>
      <c r="D943" s="14" t="s">
        <v>2039</v>
      </c>
      <c r="E943" s="13" t="s">
        <v>630</v>
      </c>
      <c r="F943" s="13" t="s">
        <v>3987</v>
      </c>
      <c r="G943" s="13" t="s">
        <v>674</v>
      </c>
      <c r="H943" s="13" t="s">
        <v>2724</v>
      </c>
      <c r="J943" s="14" t="s">
        <v>712</v>
      </c>
      <c r="K943" s="14" t="s">
        <v>3990</v>
      </c>
      <c r="L943" s="13" t="s">
        <v>3989</v>
      </c>
      <c r="M943" s="13" t="s">
        <v>3988</v>
      </c>
      <c r="N943" s="13">
        <v>27</v>
      </c>
      <c r="O943" s="2">
        <f t="shared" si="81"/>
        <v>0.52941176470588236</v>
      </c>
      <c r="P943" s="13">
        <v>13</v>
      </c>
      <c r="Q943" s="17">
        <f t="shared" si="82"/>
        <v>0.5</v>
      </c>
      <c r="R943" s="13">
        <v>51</v>
      </c>
      <c r="S943" s="13">
        <v>26</v>
      </c>
      <c r="T943" s="13">
        <v>0</v>
      </c>
      <c r="U943" s="15">
        <v>0</v>
      </c>
      <c r="W943" s="13">
        <v>59.1</v>
      </c>
      <c r="X943" s="13">
        <v>8.6999999999999993</v>
      </c>
      <c r="AB943" s="13">
        <v>56</v>
      </c>
      <c r="AC943" s="13">
        <v>10.8</v>
      </c>
      <c r="AG943" s="13" t="s">
        <v>639</v>
      </c>
      <c r="BY943" s="13" t="s">
        <v>3614</v>
      </c>
      <c r="BZ943" s="13" t="s">
        <v>3615</v>
      </c>
      <c r="CA943" s="13">
        <v>2025</v>
      </c>
      <c r="CB943" s="13" t="s">
        <v>73</v>
      </c>
      <c r="CC943" s="13" t="s">
        <v>1145</v>
      </c>
      <c r="CD943" s="13">
        <v>18</v>
      </c>
      <c r="CG943" s="13" t="s">
        <v>3283</v>
      </c>
    </row>
    <row r="944" spans="1:85">
      <c r="A944" s="13" t="s">
        <v>2029</v>
      </c>
      <c r="B944" s="13" t="s">
        <v>2029</v>
      </c>
      <c r="C944" s="13" t="s">
        <v>2046</v>
      </c>
      <c r="D944" s="14" t="s">
        <v>2039</v>
      </c>
      <c r="E944" s="13" t="s">
        <v>657</v>
      </c>
      <c r="F944" s="13" t="s">
        <v>2047</v>
      </c>
      <c r="G944" s="13" t="s">
        <v>672</v>
      </c>
      <c r="H944" s="13" t="s">
        <v>823</v>
      </c>
      <c r="J944" s="13" t="s">
        <v>712</v>
      </c>
      <c r="K944" s="13" t="s">
        <v>3034</v>
      </c>
      <c r="L944" s="13" t="s">
        <v>585</v>
      </c>
      <c r="N944" s="13">
        <v>27</v>
      </c>
      <c r="O944" s="2">
        <f t="shared" si="81"/>
        <v>0.75</v>
      </c>
      <c r="P944" s="13">
        <v>14</v>
      </c>
      <c r="Q944" s="17">
        <f t="shared" si="82"/>
        <v>0.58333333333333337</v>
      </c>
      <c r="R944" s="13">
        <v>36</v>
      </c>
      <c r="S944" s="13">
        <v>24</v>
      </c>
      <c r="W944" s="13">
        <v>57.1</v>
      </c>
      <c r="X944" s="13">
        <v>11.1</v>
      </c>
      <c r="AB944" s="13">
        <v>56.5</v>
      </c>
      <c r="AC944" s="13">
        <v>14</v>
      </c>
      <c r="AG944" s="13" t="s">
        <v>639</v>
      </c>
      <c r="AH944" s="13">
        <v>792.3</v>
      </c>
      <c r="AJ944" s="13">
        <v>3</v>
      </c>
      <c r="AM944" s="13">
        <v>100</v>
      </c>
      <c r="AP944" s="13">
        <v>0.9</v>
      </c>
      <c r="BB944" s="13">
        <v>1471.6</v>
      </c>
      <c r="BC944" s="13">
        <v>237.1</v>
      </c>
      <c r="BM944" s="13">
        <v>1138.4000000000001</v>
      </c>
      <c r="BN944" s="13">
        <v>121</v>
      </c>
      <c r="BX944" s="13" t="s">
        <v>2050</v>
      </c>
      <c r="BY944" s="13" t="s">
        <v>2052</v>
      </c>
      <c r="BZ944" s="13" t="s">
        <v>2117</v>
      </c>
      <c r="CA944" s="13">
        <v>2020</v>
      </c>
      <c r="CC944" s="13" t="s">
        <v>154</v>
      </c>
      <c r="CD944" s="13">
        <v>412</v>
      </c>
      <c r="CG944" s="13" t="s">
        <v>2118</v>
      </c>
    </row>
    <row r="945" spans="1:85">
      <c r="A945" s="13" t="s">
        <v>2029</v>
      </c>
      <c r="B945" s="13" t="s">
        <v>2029</v>
      </c>
      <c r="C945" s="13" t="s">
        <v>2046</v>
      </c>
      <c r="D945" s="14" t="s">
        <v>2039</v>
      </c>
      <c r="E945" s="13" t="s">
        <v>657</v>
      </c>
      <c r="F945" s="13" t="s">
        <v>2047</v>
      </c>
      <c r="G945" s="13" t="s">
        <v>672</v>
      </c>
      <c r="H945" s="13" t="s">
        <v>676</v>
      </c>
      <c r="J945" s="13" t="s">
        <v>712</v>
      </c>
      <c r="K945" s="13" t="s">
        <v>3034</v>
      </c>
      <c r="L945" s="13" t="s">
        <v>585</v>
      </c>
      <c r="N945" s="13">
        <v>27</v>
      </c>
      <c r="O945" s="2">
        <f t="shared" si="81"/>
        <v>0.75</v>
      </c>
      <c r="P945" s="13">
        <v>14</v>
      </c>
      <c r="Q945" s="17">
        <f t="shared" si="82"/>
        <v>0.58333333333333337</v>
      </c>
      <c r="R945" s="13">
        <v>36</v>
      </c>
      <c r="S945" s="13">
        <v>24</v>
      </c>
      <c r="W945" s="13">
        <v>57.1</v>
      </c>
      <c r="X945" s="13">
        <v>11.1</v>
      </c>
      <c r="AB945" s="13">
        <v>56.5</v>
      </c>
      <c r="AC945" s="13">
        <v>14</v>
      </c>
      <c r="AG945" s="13" t="s">
        <v>639</v>
      </c>
      <c r="AH945" s="13">
        <v>251.9</v>
      </c>
      <c r="AJ945" s="13">
        <v>22</v>
      </c>
      <c r="AM945" s="13">
        <v>100</v>
      </c>
      <c r="AP945" s="13">
        <v>0.57999999999999996</v>
      </c>
      <c r="BB945" s="13">
        <v>150.19999999999999</v>
      </c>
      <c r="BC945" s="13">
        <v>127</v>
      </c>
      <c r="BM945" s="13">
        <v>104.6</v>
      </c>
      <c r="BN945" s="13">
        <v>65.5</v>
      </c>
      <c r="BX945" s="13">
        <v>0.12</v>
      </c>
      <c r="BY945" s="13" t="s">
        <v>2052</v>
      </c>
      <c r="BZ945" s="13" t="s">
        <v>2117</v>
      </c>
      <c r="CA945" s="13">
        <v>2020</v>
      </c>
      <c r="CC945" s="13" t="s">
        <v>154</v>
      </c>
      <c r="CD945" s="13">
        <v>412</v>
      </c>
      <c r="CG945" s="13" t="s">
        <v>2118</v>
      </c>
    </row>
    <row r="946" spans="1:85">
      <c r="A946" s="13" t="s">
        <v>2029</v>
      </c>
      <c r="B946" s="13" t="s">
        <v>2029</v>
      </c>
      <c r="C946" s="13" t="s">
        <v>2046</v>
      </c>
      <c r="D946" s="14" t="s">
        <v>2039</v>
      </c>
      <c r="E946" s="13" t="s">
        <v>657</v>
      </c>
      <c r="F946" s="13" t="s">
        <v>2047</v>
      </c>
      <c r="G946" s="13" t="s">
        <v>672</v>
      </c>
      <c r="H946" s="13" t="s">
        <v>721</v>
      </c>
      <c r="J946" s="13" t="s">
        <v>712</v>
      </c>
      <c r="K946" s="13" t="s">
        <v>3034</v>
      </c>
      <c r="L946" s="13" t="s">
        <v>585</v>
      </c>
      <c r="M946" s="13" t="s">
        <v>4153</v>
      </c>
      <c r="N946" s="13">
        <v>27</v>
      </c>
      <c r="O946" s="2">
        <f t="shared" si="81"/>
        <v>0.75</v>
      </c>
      <c r="P946" s="13">
        <v>14</v>
      </c>
      <c r="Q946" s="17">
        <f t="shared" si="82"/>
        <v>0.58333333333333337</v>
      </c>
      <c r="R946" s="13">
        <v>36</v>
      </c>
      <c r="S946" s="13">
        <v>24</v>
      </c>
      <c r="W946" s="13">
        <v>57.1</v>
      </c>
      <c r="X946" s="13">
        <v>11.1</v>
      </c>
      <c r="AB946" s="13">
        <v>56.5</v>
      </c>
      <c r="AC946" s="13">
        <v>14</v>
      </c>
      <c r="AG946" s="13" t="s">
        <v>639</v>
      </c>
      <c r="AH946" s="13">
        <v>40.5</v>
      </c>
      <c r="AJ946" s="13">
        <v>31</v>
      </c>
      <c r="AM946" s="13">
        <v>92</v>
      </c>
      <c r="AP946" s="13">
        <v>0.56000000000000005</v>
      </c>
      <c r="BB946" s="13">
        <v>35.6</v>
      </c>
      <c r="BC946" s="13">
        <v>24</v>
      </c>
      <c r="BM946" s="13">
        <v>29.9</v>
      </c>
      <c r="BN946" s="13">
        <v>7.9</v>
      </c>
      <c r="BX946" s="13">
        <v>0.27</v>
      </c>
      <c r="BY946" s="13" t="s">
        <v>2052</v>
      </c>
      <c r="BZ946" s="13" t="s">
        <v>2117</v>
      </c>
      <c r="CA946" s="13">
        <v>2020</v>
      </c>
      <c r="CC946" s="13" t="s">
        <v>154</v>
      </c>
      <c r="CD946" s="13">
        <v>412</v>
      </c>
      <c r="CG946" s="13" t="s">
        <v>2118</v>
      </c>
    </row>
    <row r="947" spans="1:85">
      <c r="A947" s="13" t="s">
        <v>2029</v>
      </c>
      <c r="B947" s="13" t="s">
        <v>2029</v>
      </c>
      <c r="C947" s="13" t="s">
        <v>2046</v>
      </c>
      <c r="D947" s="14" t="s">
        <v>2039</v>
      </c>
      <c r="E947" s="13" t="s">
        <v>657</v>
      </c>
      <c r="F947" s="13" t="s">
        <v>2047</v>
      </c>
      <c r="G947" s="13" t="s">
        <v>672</v>
      </c>
      <c r="H947" s="13" t="s">
        <v>2048</v>
      </c>
      <c r="J947" s="13" t="s">
        <v>712</v>
      </c>
      <c r="K947" s="13" t="s">
        <v>3034</v>
      </c>
      <c r="L947" s="13" t="s">
        <v>585</v>
      </c>
      <c r="N947" s="13">
        <v>27</v>
      </c>
      <c r="O947" s="2">
        <f t="shared" si="81"/>
        <v>0.75</v>
      </c>
      <c r="P947" s="13">
        <v>14</v>
      </c>
      <c r="Q947" s="17">
        <f t="shared" si="82"/>
        <v>0.58333333333333337</v>
      </c>
      <c r="R947" s="13">
        <v>36</v>
      </c>
      <c r="S947" s="13">
        <v>24</v>
      </c>
      <c r="W947" s="13">
        <v>57.1</v>
      </c>
      <c r="X947" s="13">
        <v>11.1</v>
      </c>
      <c r="AB947" s="13">
        <v>56.5</v>
      </c>
      <c r="AC947" s="13">
        <v>14</v>
      </c>
      <c r="AH947" s="13">
        <v>0.16</v>
      </c>
      <c r="AJ947" s="13">
        <v>31</v>
      </c>
      <c r="AM947" s="13">
        <v>92</v>
      </c>
      <c r="AP947" s="13">
        <v>0.52</v>
      </c>
      <c r="BB947" s="13">
        <v>0.11</v>
      </c>
      <c r="BC947" s="13">
        <v>0.11</v>
      </c>
      <c r="BM947" s="13">
        <v>0.09</v>
      </c>
      <c r="BN947" s="13">
        <v>0.05</v>
      </c>
      <c r="BX947" s="13">
        <v>0.39</v>
      </c>
      <c r="BY947" s="13" t="s">
        <v>2052</v>
      </c>
      <c r="BZ947" s="13" t="s">
        <v>2117</v>
      </c>
      <c r="CA947" s="13">
        <v>2020</v>
      </c>
      <c r="CC947" s="13" t="s">
        <v>154</v>
      </c>
      <c r="CD947" s="13">
        <v>412</v>
      </c>
      <c r="CG947" s="13" t="s">
        <v>2118</v>
      </c>
    </row>
    <row r="948" spans="1:85">
      <c r="A948" s="13" t="s">
        <v>2029</v>
      </c>
      <c r="B948" s="13" t="s">
        <v>2029</v>
      </c>
      <c r="C948" s="13" t="s">
        <v>2046</v>
      </c>
      <c r="D948" s="14" t="s">
        <v>2039</v>
      </c>
      <c r="E948" s="13" t="s">
        <v>657</v>
      </c>
      <c r="F948" s="13" t="s">
        <v>2047</v>
      </c>
      <c r="G948" s="13" t="s">
        <v>672</v>
      </c>
      <c r="H948" s="13" t="s">
        <v>2049</v>
      </c>
      <c r="J948" s="13" t="s">
        <v>712</v>
      </c>
      <c r="K948" s="13" t="s">
        <v>3034</v>
      </c>
      <c r="L948" s="13" t="s">
        <v>585</v>
      </c>
      <c r="M948" s="13" t="s">
        <v>4153</v>
      </c>
      <c r="N948" s="13">
        <v>27</v>
      </c>
      <c r="O948" s="2">
        <f t="shared" si="81"/>
        <v>0.75</v>
      </c>
      <c r="P948" s="13">
        <v>14</v>
      </c>
      <c r="Q948" s="17">
        <f t="shared" si="82"/>
        <v>0.58333333333333337</v>
      </c>
      <c r="R948" s="13">
        <v>36</v>
      </c>
      <c r="S948" s="13">
        <v>24</v>
      </c>
      <c r="W948" s="13">
        <v>57.1</v>
      </c>
      <c r="X948" s="13">
        <v>11.1</v>
      </c>
      <c r="AB948" s="13">
        <v>56.5</v>
      </c>
      <c r="AC948" s="13">
        <v>14</v>
      </c>
      <c r="AH948" s="13">
        <v>0.03</v>
      </c>
      <c r="AJ948" s="13">
        <v>14</v>
      </c>
      <c r="AM948" s="13">
        <v>96</v>
      </c>
      <c r="AP948" s="13">
        <v>0.65</v>
      </c>
      <c r="BB948" s="13">
        <v>0.02</v>
      </c>
      <c r="BC948" s="13">
        <v>0.02</v>
      </c>
      <c r="BM948" s="13">
        <v>0.03</v>
      </c>
      <c r="BN948" s="13">
        <v>0.01</v>
      </c>
      <c r="BX948" s="13">
        <v>0.67</v>
      </c>
      <c r="BY948" s="13" t="s">
        <v>2052</v>
      </c>
      <c r="BZ948" s="13" t="s">
        <v>2117</v>
      </c>
      <c r="CA948" s="13">
        <v>2020</v>
      </c>
      <c r="CC948" s="13" t="s">
        <v>154</v>
      </c>
      <c r="CD948" s="13">
        <v>412</v>
      </c>
      <c r="CG948" s="13" t="s">
        <v>2118</v>
      </c>
    </row>
    <row r="949" spans="1:85">
      <c r="A949" s="13" t="s">
        <v>2029</v>
      </c>
      <c r="B949" s="13" t="s">
        <v>2029</v>
      </c>
      <c r="C949" s="13" t="s">
        <v>2046</v>
      </c>
      <c r="D949" s="14" t="s">
        <v>2039</v>
      </c>
      <c r="E949" s="13" t="s">
        <v>720</v>
      </c>
      <c r="F949" s="13" t="s">
        <v>2051</v>
      </c>
      <c r="G949" s="13" t="s">
        <v>672</v>
      </c>
      <c r="H949" s="13" t="s">
        <v>823</v>
      </c>
      <c r="J949" s="13" t="s">
        <v>712</v>
      </c>
      <c r="K949" s="13" t="s">
        <v>3034</v>
      </c>
      <c r="L949" s="13" t="s">
        <v>585</v>
      </c>
      <c r="N949" s="13">
        <v>27</v>
      </c>
      <c r="O949" s="2">
        <f t="shared" si="81"/>
        <v>0.75</v>
      </c>
      <c r="P949" s="13">
        <v>38</v>
      </c>
      <c r="Q949" s="17">
        <f t="shared" si="82"/>
        <v>0.46341463414634149</v>
      </c>
      <c r="R949" s="13">
        <v>36</v>
      </c>
      <c r="S949" s="13">
        <v>82</v>
      </c>
      <c r="W949" s="13">
        <v>57.1</v>
      </c>
      <c r="X949" s="13">
        <v>11.1</v>
      </c>
      <c r="AB949" s="13">
        <v>64.2</v>
      </c>
      <c r="AC949" s="13">
        <v>8.1999999999999993</v>
      </c>
      <c r="AG949" s="13" t="s">
        <v>639</v>
      </c>
      <c r="AH949" s="13">
        <v>975</v>
      </c>
      <c r="AJ949" s="13">
        <v>87</v>
      </c>
      <c r="AM949" s="13">
        <v>97</v>
      </c>
      <c r="AP949" s="13">
        <v>0.96</v>
      </c>
      <c r="BB949" s="13">
        <v>1471.6</v>
      </c>
      <c r="BC949" s="13">
        <v>237.1</v>
      </c>
      <c r="BM949" s="13">
        <v>665.2</v>
      </c>
      <c r="BN949" s="13">
        <v>330.7</v>
      </c>
      <c r="BX949" s="13" t="s">
        <v>2050</v>
      </c>
      <c r="BY949" s="13" t="s">
        <v>2052</v>
      </c>
      <c r="BZ949" s="13" t="s">
        <v>2117</v>
      </c>
      <c r="CA949" s="13">
        <v>2020</v>
      </c>
      <c r="CC949" s="13" t="s">
        <v>154</v>
      </c>
      <c r="CD949" s="13">
        <v>412</v>
      </c>
      <c r="CG949" s="13" t="s">
        <v>2118</v>
      </c>
    </row>
    <row r="950" spans="1:85">
      <c r="A950" s="13" t="s">
        <v>2029</v>
      </c>
      <c r="B950" s="13" t="s">
        <v>2029</v>
      </c>
      <c r="C950" s="13" t="s">
        <v>2046</v>
      </c>
      <c r="D950" s="14" t="s">
        <v>2039</v>
      </c>
      <c r="E950" s="13" t="s">
        <v>720</v>
      </c>
      <c r="F950" s="13" t="s">
        <v>2051</v>
      </c>
      <c r="G950" s="13" t="s">
        <v>672</v>
      </c>
      <c r="H950" s="13" t="s">
        <v>676</v>
      </c>
      <c r="J950" s="13" t="s">
        <v>712</v>
      </c>
      <c r="K950" s="13" t="s">
        <v>3034</v>
      </c>
      <c r="L950" s="13" t="s">
        <v>585</v>
      </c>
      <c r="N950" s="13">
        <v>27</v>
      </c>
      <c r="O950" s="2">
        <f t="shared" si="81"/>
        <v>0.75</v>
      </c>
      <c r="P950" s="13">
        <v>38</v>
      </c>
      <c r="Q950" s="17">
        <f t="shared" si="82"/>
        <v>0.46341463414634149</v>
      </c>
      <c r="R950" s="13">
        <v>36</v>
      </c>
      <c r="S950" s="13">
        <v>82</v>
      </c>
      <c r="W950" s="13">
        <v>57.1</v>
      </c>
      <c r="X950" s="13">
        <v>11.1</v>
      </c>
      <c r="AB950" s="13">
        <v>64.2</v>
      </c>
      <c r="AC950" s="13">
        <v>8.1999999999999993</v>
      </c>
      <c r="AG950" s="13" t="s">
        <v>639</v>
      </c>
      <c r="AH950" s="13">
        <v>166.2</v>
      </c>
      <c r="AJ950" s="13">
        <v>79</v>
      </c>
      <c r="AM950" s="13">
        <v>69</v>
      </c>
      <c r="AP950" s="13">
        <v>0.81</v>
      </c>
      <c r="BB950" s="13">
        <v>150.19999999999999</v>
      </c>
      <c r="BC950" s="13">
        <v>127</v>
      </c>
      <c r="BM950" s="13">
        <v>412</v>
      </c>
      <c r="BN950" s="13">
        <v>283.3</v>
      </c>
      <c r="BX950" s="13" t="s">
        <v>2050</v>
      </c>
      <c r="BY950" s="13" t="s">
        <v>2052</v>
      </c>
      <c r="BZ950" s="13" t="s">
        <v>2117</v>
      </c>
      <c r="CA950" s="13">
        <v>2020</v>
      </c>
      <c r="CC950" s="13" t="s">
        <v>154</v>
      </c>
      <c r="CD950" s="13">
        <v>412</v>
      </c>
      <c r="CG950" s="13" t="s">
        <v>2118</v>
      </c>
    </row>
    <row r="951" spans="1:85">
      <c r="A951" s="13" t="s">
        <v>2029</v>
      </c>
      <c r="B951" s="13" t="s">
        <v>2029</v>
      </c>
      <c r="C951" s="13" t="s">
        <v>2046</v>
      </c>
      <c r="D951" s="14" t="s">
        <v>2039</v>
      </c>
      <c r="E951" s="13" t="s">
        <v>720</v>
      </c>
      <c r="F951" s="13" t="s">
        <v>2051</v>
      </c>
      <c r="G951" s="13" t="s">
        <v>672</v>
      </c>
      <c r="H951" s="13" t="s">
        <v>721</v>
      </c>
      <c r="J951" s="13" t="s">
        <v>712</v>
      </c>
      <c r="K951" s="13" t="s">
        <v>3034</v>
      </c>
      <c r="L951" s="13" t="s">
        <v>585</v>
      </c>
      <c r="M951" s="13" t="s">
        <v>4153</v>
      </c>
      <c r="N951" s="13">
        <v>27</v>
      </c>
      <c r="O951" s="2">
        <f t="shared" si="81"/>
        <v>0.75</v>
      </c>
      <c r="P951" s="13">
        <v>38</v>
      </c>
      <c r="Q951" s="17">
        <f t="shared" si="82"/>
        <v>0.46341463414634149</v>
      </c>
      <c r="R951" s="13">
        <v>36</v>
      </c>
      <c r="S951" s="13">
        <v>82</v>
      </c>
      <c r="W951" s="13">
        <v>57.1</v>
      </c>
      <c r="X951" s="13">
        <v>11.1</v>
      </c>
      <c r="AB951" s="13">
        <v>64.2</v>
      </c>
      <c r="AC951" s="13">
        <v>8.1999999999999993</v>
      </c>
      <c r="AG951" s="13" t="s">
        <v>639</v>
      </c>
      <c r="AH951" s="13">
        <v>49</v>
      </c>
      <c r="AJ951" s="13">
        <v>62</v>
      </c>
      <c r="AM951" s="13">
        <v>92</v>
      </c>
      <c r="AP951" s="13">
        <v>0.81</v>
      </c>
      <c r="BB951" s="13">
        <v>35.6</v>
      </c>
      <c r="BC951" s="13">
        <v>24</v>
      </c>
      <c r="BM951" s="13">
        <v>69.8</v>
      </c>
      <c r="BN951" s="13">
        <v>43.2</v>
      </c>
      <c r="BX951" s="13" t="s">
        <v>2050</v>
      </c>
      <c r="BY951" s="13" t="s">
        <v>2052</v>
      </c>
      <c r="BZ951" s="13" t="s">
        <v>2117</v>
      </c>
      <c r="CA951" s="13">
        <v>2020</v>
      </c>
      <c r="CC951" s="13" t="s">
        <v>154</v>
      </c>
      <c r="CD951" s="13">
        <v>412</v>
      </c>
      <c r="CG951" s="13" t="s">
        <v>2118</v>
      </c>
    </row>
    <row r="952" spans="1:85">
      <c r="A952" s="13" t="s">
        <v>2029</v>
      </c>
      <c r="B952" s="13" t="s">
        <v>2029</v>
      </c>
      <c r="C952" s="13" t="s">
        <v>2046</v>
      </c>
      <c r="D952" s="14" t="s">
        <v>2039</v>
      </c>
      <c r="E952" s="13" t="s">
        <v>720</v>
      </c>
      <c r="F952" s="13" t="s">
        <v>2051</v>
      </c>
      <c r="G952" s="13" t="s">
        <v>672</v>
      </c>
      <c r="H952" s="13" t="s">
        <v>2048</v>
      </c>
      <c r="J952" s="13" t="s">
        <v>712</v>
      </c>
      <c r="K952" s="13" t="s">
        <v>3034</v>
      </c>
      <c r="L952" s="13" t="s">
        <v>585</v>
      </c>
      <c r="N952" s="13">
        <v>27</v>
      </c>
      <c r="O952" s="2">
        <f t="shared" si="81"/>
        <v>0.75</v>
      </c>
      <c r="P952" s="13">
        <v>38</v>
      </c>
      <c r="Q952" s="17">
        <f t="shared" si="82"/>
        <v>0.46341463414634149</v>
      </c>
      <c r="R952" s="13">
        <v>36</v>
      </c>
      <c r="S952" s="13">
        <v>82</v>
      </c>
      <c r="W952" s="13">
        <v>57.1</v>
      </c>
      <c r="X952" s="13">
        <v>11.1</v>
      </c>
      <c r="AB952" s="13">
        <v>64.2</v>
      </c>
      <c r="AC952" s="13">
        <v>8.1999999999999993</v>
      </c>
      <c r="AH952" s="13">
        <v>0.24</v>
      </c>
      <c r="AJ952" s="13">
        <v>87</v>
      </c>
      <c r="AM952" s="13">
        <v>92</v>
      </c>
      <c r="AP952" s="13">
        <v>0.93</v>
      </c>
      <c r="BB952" s="13">
        <v>0.11</v>
      </c>
      <c r="BC952" s="13">
        <v>0.11</v>
      </c>
      <c r="BM952" s="13">
        <v>0.7</v>
      </c>
      <c r="BN952" s="13">
        <v>0.44</v>
      </c>
      <c r="BX952" s="13" t="s">
        <v>2050</v>
      </c>
      <c r="BY952" s="13" t="s">
        <v>2052</v>
      </c>
      <c r="BZ952" s="13" t="s">
        <v>2117</v>
      </c>
      <c r="CA952" s="13">
        <v>2020</v>
      </c>
      <c r="CC952" s="13" t="s">
        <v>154</v>
      </c>
      <c r="CD952" s="13">
        <v>412</v>
      </c>
      <c r="CG952" s="13" t="s">
        <v>2118</v>
      </c>
    </row>
    <row r="953" spans="1:85">
      <c r="A953" s="13" t="s">
        <v>2029</v>
      </c>
      <c r="B953" s="13" t="s">
        <v>2029</v>
      </c>
      <c r="C953" s="13" t="s">
        <v>2046</v>
      </c>
      <c r="D953" s="14" t="s">
        <v>2039</v>
      </c>
      <c r="E953" s="13" t="s">
        <v>720</v>
      </c>
      <c r="F953" s="13" t="s">
        <v>2051</v>
      </c>
      <c r="G953" s="13" t="s">
        <v>672</v>
      </c>
      <c r="H953" s="13" t="s">
        <v>2049</v>
      </c>
      <c r="J953" s="13" t="s">
        <v>712</v>
      </c>
      <c r="K953" s="13" t="s">
        <v>3034</v>
      </c>
      <c r="L953" s="13" t="s">
        <v>585</v>
      </c>
      <c r="M953" s="13" t="s">
        <v>4153</v>
      </c>
      <c r="N953" s="13">
        <v>27</v>
      </c>
      <c r="O953" s="2">
        <f t="shared" ref="O953:O984" si="83">N953/R953</f>
        <v>0.75</v>
      </c>
      <c r="P953" s="13">
        <v>38</v>
      </c>
      <c r="Q953" s="17">
        <f t="shared" si="82"/>
        <v>0.46341463414634149</v>
      </c>
      <c r="R953" s="13">
        <v>36</v>
      </c>
      <c r="S953" s="13">
        <v>82</v>
      </c>
      <c r="W953" s="13">
        <v>57.1</v>
      </c>
      <c r="X953" s="13">
        <v>11.1</v>
      </c>
      <c r="AB953" s="13">
        <v>64.2</v>
      </c>
      <c r="AC953" s="13">
        <v>8.1999999999999993</v>
      </c>
      <c r="AH953" s="13">
        <v>0.03</v>
      </c>
      <c r="AJ953" s="13">
        <v>90</v>
      </c>
      <c r="AM953" s="13">
        <v>92</v>
      </c>
      <c r="AP953" s="13">
        <v>0.95</v>
      </c>
      <c r="BB953" s="13">
        <v>0.02</v>
      </c>
      <c r="BC953" s="13">
        <v>0.02</v>
      </c>
      <c r="BM953" s="13">
        <v>0.13</v>
      </c>
      <c r="BN953" s="13">
        <v>0.08</v>
      </c>
      <c r="BX953" s="13" t="s">
        <v>2050</v>
      </c>
      <c r="BY953" s="13" t="s">
        <v>2052</v>
      </c>
      <c r="BZ953" s="13" t="s">
        <v>2117</v>
      </c>
      <c r="CA953" s="13">
        <v>2020</v>
      </c>
      <c r="CC953" s="13" t="s">
        <v>154</v>
      </c>
      <c r="CD953" s="13">
        <v>412</v>
      </c>
      <c r="CG953" s="13" t="s">
        <v>2118</v>
      </c>
    </row>
    <row r="954" spans="1:85">
      <c r="A954" s="13" t="s">
        <v>1943</v>
      </c>
      <c r="B954" s="13" t="s">
        <v>1943</v>
      </c>
      <c r="C954" s="14" t="s">
        <v>1630</v>
      </c>
      <c r="D954" s="14" t="s">
        <v>2371</v>
      </c>
      <c r="E954" s="13" t="s">
        <v>799</v>
      </c>
      <c r="F954" s="13" t="s">
        <v>3042</v>
      </c>
      <c r="G954" s="13" t="s">
        <v>674</v>
      </c>
      <c r="H954" s="13" t="s">
        <v>675</v>
      </c>
      <c r="J954" s="14" t="s">
        <v>586</v>
      </c>
      <c r="K954" s="13" t="s">
        <v>3035</v>
      </c>
      <c r="L954" s="14" t="s">
        <v>652</v>
      </c>
      <c r="N954" s="13">
        <v>19</v>
      </c>
      <c r="O954" s="2">
        <f t="shared" si="83"/>
        <v>0.5</v>
      </c>
      <c r="P954" s="13">
        <v>10</v>
      </c>
      <c r="Q954" s="17">
        <f t="shared" si="82"/>
        <v>0.5</v>
      </c>
      <c r="R954" s="13">
        <v>38</v>
      </c>
      <c r="S954" s="13">
        <v>20</v>
      </c>
      <c r="Y954" s="13">
        <v>66</v>
      </c>
      <c r="Z954" s="13">
        <f>Y954-11.2/2</f>
        <v>60.4</v>
      </c>
      <c r="AA954" s="13">
        <f>Z954+11.2</f>
        <v>71.599999999999994</v>
      </c>
      <c r="AD954" s="13">
        <v>60.4</v>
      </c>
      <c r="AE954" s="13">
        <f>AD954-10.8/2</f>
        <v>55</v>
      </c>
      <c r="AF954" s="13">
        <f>AE954+10.8</f>
        <v>65.8</v>
      </c>
      <c r="AG954" s="13" t="s">
        <v>639</v>
      </c>
      <c r="AP954" s="13">
        <v>0.94869999999999999</v>
      </c>
      <c r="AR954" s="13">
        <v>0.90539999999999998</v>
      </c>
      <c r="AS954" s="13">
        <v>0.99199999999999999</v>
      </c>
      <c r="BG954" s="13">
        <v>106.3</v>
      </c>
      <c r="BI954" s="13">
        <f>BG954-174.6/2</f>
        <v>19</v>
      </c>
      <c r="BJ954" s="13">
        <f>BI954+174.6</f>
        <v>193.6</v>
      </c>
      <c r="BY954" s="13" t="s">
        <v>1627</v>
      </c>
      <c r="BZ954" s="13" t="s">
        <v>1628</v>
      </c>
      <c r="CA954" s="13">
        <v>2022</v>
      </c>
      <c r="CB954" s="13" t="s">
        <v>2143</v>
      </c>
      <c r="CC954" s="13" t="s">
        <v>316</v>
      </c>
      <c r="CD954" s="13">
        <v>23</v>
      </c>
      <c r="CE954" s="13">
        <v>6</v>
      </c>
      <c r="CG954" s="13" t="s">
        <v>1629</v>
      </c>
    </row>
    <row r="955" spans="1:85">
      <c r="A955" s="13" t="s">
        <v>1943</v>
      </c>
      <c r="B955" s="13" t="s">
        <v>1943</v>
      </c>
      <c r="C955" s="14" t="s">
        <v>1630</v>
      </c>
      <c r="D955" s="14" t="s">
        <v>2371</v>
      </c>
      <c r="E955" s="13" t="s">
        <v>799</v>
      </c>
      <c r="F955" s="13" t="s">
        <v>3042</v>
      </c>
      <c r="G955" s="13" t="s">
        <v>674</v>
      </c>
      <c r="H955" s="13" t="s">
        <v>3036</v>
      </c>
      <c r="J955" s="14" t="s">
        <v>586</v>
      </c>
      <c r="K955" s="13" t="s">
        <v>3035</v>
      </c>
      <c r="L955" s="14" t="s">
        <v>585</v>
      </c>
      <c r="M955" s="13" t="s">
        <v>3038</v>
      </c>
      <c r="N955" s="13">
        <v>19</v>
      </c>
      <c r="O955" s="2">
        <f t="shared" si="83"/>
        <v>0.5</v>
      </c>
      <c r="P955" s="13">
        <v>10</v>
      </c>
      <c r="Q955" s="17">
        <f t="shared" si="82"/>
        <v>0.5</v>
      </c>
      <c r="R955" s="13">
        <v>38</v>
      </c>
      <c r="S955" s="13">
        <v>20</v>
      </c>
      <c r="Y955" s="13">
        <v>66</v>
      </c>
      <c r="Z955" s="13">
        <f>Y955-11.2/2</f>
        <v>60.4</v>
      </c>
      <c r="AA955" s="13">
        <f>Z955+11.2</f>
        <v>71.599999999999994</v>
      </c>
      <c r="AD955" s="13">
        <v>60.4</v>
      </c>
      <c r="AE955" s="13">
        <f>AD955-10.8/2</f>
        <v>55</v>
      </c>
      <c r="AF955" s="13">
        <f>AE955+10.8</f>
        <v>65.8</v>
      </c>
      <c r="AG955" s="13" t="s">
        <v>639</v>
      </c>
      <c r="BY955" s="13" t="s">
        <v>1627</v>
      </c>
      <c r="BZ955" s="13" t="s">
        <v>1628</v>
      </c>
      <c r="CA955" s="13">
        <v>2022</v>
      </c>
      <c r="CB955" s="13" t="s">
        <v>2143</v>
      </c>
      <c r="CC955" s="13" t="s">
        <v>316</v>
      </c>
      <c r="CD955" s="13">
        <v>23</v>
      </c>
      <c r="CE955" s="13">
        <v>6</v>
      </c>
      <c r="CG955" s="13" t="s">
        <v>1629</v>
      </c>
    </row>
    <row r="956" spans="1:85">
      <c r="A956" s="13" t="s">
        <v>1943</v>
      </c>
      <c r="B956" s="13" t="s">
        <v>1943</v>
      </c>
      <c r="C956" s="14" t="s">
        <v>1630</v>
      </c>
      <c r="D956" s="14" t="s">
        <v>2371</v>
      </c>
      <c r="E956" s="13" t="s">
        <v>799</v>
      </c>
      <c r="F956" s="13" t="s">
        <v>3042</v>
      </c>
      <c r="G956" s="13" t="s">
        <v>674</v>
      </c>
      <c r="H956" s="13" t="s">
        <v>3043</v>
      </c>
      <c r="J956" s="14" t="s">
        <v>586</v>
      </c>
      <c r="K956" s="13" t="s">
        <v>3035</v>
      </c>
      <c r="L956" s="14" t="s">
        <v>2362</v>
      </c>
      <c r="N956" s="13">
        <v>19</v>
      </c>
      <c r="O956" s="2">
        <f t="shared" si="83"/>
        <v>0.5</v>
      </c>
      <c r="P956" s="13">
        <v>10</v>
      </c>
      <c r="Q956" s="17">
        <f t="shared" si="82"/>
        <v>0.5</v>
      </c>
      <c r="R956" s="13">
        <v>38</v>
      </c>
      <c r="S956" s="13">
        <v>20</v>
      </c>
      <c r="Y956" s="13">
        <v>66</v>
      </c>
      <c r="Z956" s="13">
        <f>Y956-11.2/2</f>
        <v>60.4</v>
      </c>
      <c r="AA956" s="13">
        <f>Z956+11.2</f>
        <v>71.599999999999994</v>
      </c>
      <c r="AD956" s="13">
        <v>60.4</v>
      </c>
      <c r="AE956" s="13">
        <f>AD956-10.8/2</f>
        <v>55</v>
      </c>
      <c r="AF956" s="13">
        <f>AE956+10.8</f>
        <v>65.8</v>
      </c>
      <c r="AG956" s="13" t="s">
        <v>639</v>
      </c>
      <c r="BY956" s="13" t="s">
        <v>1627</v>
      </c>
      <c r="BZ956" s="13" t="s">
        <v>1628</v>
      </c>
      <c r="CA956" s="13">
        <v>2022</v>
      </c>
      <c r="CB956" s="13" t="s">
        <v>2143</v>
      </c>
      <c r="CC956" s="13" t="s">
        <v>316</v>
      </c>
      <c r="CD956" s="13">
        <v>23</v>
      </c>
      <c r="CE956" s="13">
        <v>6</v>
      </c>
      <c r="CG956" s="13" t="s">
        <v>1629</v>
      </c>
    </row>
    <row r="957" spans="1:85">
      <c r="A957" s="13" t="s">
        <v>3429</v>
      </c>
      <c r="C957" s="13" t="s">
        <v>3355</v>
      </c>
      <c r="D957" s="14" t="s">
        <v>830</v>
      </c>
      <c r="E957" s="13" t="s">
        <v>799</v>
      </c>
      <c r="F957" s="13" t="s">
        <v>3993</v>
      </c>
      <c r="G957" s="13" t="s">
        <v>674</v>
      </c>
      <c r="H957" s="13" t="s">
        <v>3996</v>
      </c>
      <c r="J957" s="14" t="s">
        <v>3994</v>
      </c>
      <c r="K957" s="14" t="s">
        <v>3992</v>
      </c>
      <c r="L957" s="13" t="s">
        <v>3865</v>
      </c>
      <c r="M957" s="13" t="s">
        <v>3998</v>
      </c>
      <c r="N957" s="13">
        <v>13</v>
      </c>
      <c r="O957" s="2">
        <f t="shared" si="83"/>
        <v>0.65</v>
      </c>
      <c r="P957" s="13">
        <v>6</v>
      </c>
      <c r="Q957" s="17">
        <f t="shared" si="82"/>
        <v>0.6</v>
      </c>
      <c r="R957" s="13">
        <v>20</v>
      </c>
      <c r="S957" s="13">
        <v>10</v>
      </c>
      <c r="W957" s="13">
        <v>61.5</v>
      </c>
      <c r="X957" s="13">
        <v>10.199999999999999</v>
      </c>
      <c r="AB957" s="13">
        <v>61</v>
      </c>
      <c r="AC957" s="13">
        <v>11.4</v>
      </c>
      <c r="BY957" s="13" t="s">
        <v>3616</v>
      </c>
      <c r="BZ957" s="13" t="s">
        <v>3617</v>
      </c>
      <c r="CA957" s="13">
        <v>2025</v>
      </c>
      <c r="CC957" s="13" t="s">
        <v>135</v>
      </c>
      <c r="CD957" s="13">
        <v>7</v>
      </c>
      <c r="CE957" s="13">
        <v>1</v>
      </c>
      <c r="CF957" s="13" t="s">
        <v>3618</v>
      </c>
      <c r="CG957" s="13" t="s">
        <v>3284</v>
      </c>
    </row>
    <row r="958" spans="1:85">
      <c r="A958" s="13" t="s">
        <v>3429</v>
      </c>
      <c r="C958" s="13" t="s">
        <v>3355</v>
      </c>
      <c r="D958" s="14" t="s">
        <v>830</v>
      </c>
      <c r="E958" s="13" t="s">
        <v>799</v>
      </c>
      <c r="F958" s="13" t="s">
        <v>3993</v>
      </c>
      <c r="G958" s="13" t="s">
        <v>674</v>
      </c>
      <c r="H958" s="13" t="s">
        <v>3997</v>
      </c>
      <c r="J958" s="14" t="s">
        <v>3994</v>
      </c>
      <c r="K958" s="14" t="s">
        <v>3992</v>
      </c>
      <c r="L958" s="13" t="s">
        <v>3865</v>
      </c>
      <c r="M958" s="13" t="s">
        <v>3998</v>
      </c>
      <c r="N958" s="13">
        <v>13</v>
      </c>
      <c r="O958" s="2">
        <f t="shared" si="83"/>
        <v>0.65</v>
      </c>
      <c r="P958" s="13">
        <v>6</v>
      </c>
      <c r="Q958" s="17">
        <f t="shared" si="82"/>
        <v>0.6</v>
      </c>
      <c r="R958" s="13">
        <v>20</v>
      </c>
      <c r="S958" s="13">
        <v>10</v>
      </c>
      <c r="W958" s="13">
        <v>61.5</v>
      </c>
      <c r="X958" s="13">
        <v>10.199999999999999</v>
      </c>
      <c r="AB958" s="13">
        <v>61</v>
      </c>
      <c r="AC958" s="13">
        <v>11.4</v>
      </c>
      <c r="BY958" s="13" t="s">
        <v>3616</v>
      </c>
      <c r="BZ958" s="13" t="s">
        <v>3617</v>
      </c>
      <c r="CA958" s="13">
        <v>2025</v>
      </c>
      <c r="CC958" s="13" t="s">
        <v>135</v>
      </c>
      <c r="CD958" s="13">
        <v>7</v>
      </c>
      <c r="CE958" s="13">
        <v>1</v>
      </c>
      <c r="CF958" s="13" t="s">
        <v>3618</v>
      </c>
      <c r="CG958" s="13" t="s">
        <v>3284</v>
      </c>
    </row>
    <row r="959" spans="1:85">
      <c r="A959" s="13" t="s">
        <v>3429</v>
      </c>
      <c r="C959" s="13" t="s">
        <v>3355</v>
      </c>
      <c r="D959" s="14" t="s">
        <v>830</v>
      </c>
      <c r="E959" s="13" t="s">
        <v>799</v>
      </c>
      <c r="F959" s="13" t="s">
        <v>3993</v>
      </c>
      <c r="G959" s="13" t="s">
        <v>702</v>
      </c>
      <c r="H959" s="13" t="s">
        <v>4002</v>
      </c>
      <c r="J959" s="14" t="s">
        <v>3994</v>
      </c>
      <c r="K959" s="14" t="s">
        <v>3992</v>
      </c>
      <c r="L959" s="13" t="s">
        <v>2362</v>
      </c>
      <c r="M959" s="13" t="s">
        <v>3999</v>
      </c>
      <c r="N959" s="13">
        <f>R959*0.475</f>
        <v>19</v>
      </c>
      <c r="O959" s="2">
        <f t="shared" si="83"/>
        <v>0.47499999999999998</v>
      </c>
      <c r="P959" s="13">
        <v>10</v>
      </c>
      <c r="Q959" s="17">
        <f t="shared" si="82"/>
        <v>0.5</v>
      </c>
      <c r="R959" s="13">
        <v>40</v>
      </c>
      <c r="S959" s="13">
        <v>20</v>
      </c>
      <c r="W959" s="13">
        <v>63.9</v>
      </c>
      <c r="X959" s="13">
        <v>11.4</v>
      </c>
      <c r="AB959" s="13">
        <v>60.4</v>
      </c>
      <c r="AC959" s="13">
        <v>7.1</v>
      </c>
      <c r="BY959" s="13" t="s">
        <v>3616</v>
      </c>
      <c r="BZ959" s="13" t="s">
        <v>3617</v>
      </c>
      <c r="CA959" s="13">
        <v>2025</v>
      </c>
      <c r="CC959" s="13" t="s">
        <v>135</v>
      </c>
      <c r="CD959" s="13">
        <v>7</v>
      </c>
      <c r="CE959" s="13">
        <v>1</v>
      </c>
      <c r="CF959" s="13" t="s">
        <v>3618</v>
      </c>
      <c r="CG959" s="13" t="s">
        <v>3284</v>
      </c>
    </row>
    <row r="960" spans="1:85">
      <c r="A960" s="13" t="s">
        <v>3429</v>
      </c>
      <c r="C960" s="13" t="s">
        <v>3355</v>
      </c>
      <c r="D960" s="14" t="s">
        <v>830</v>
      </c>
      <c r="E960" s="13" t="s">
        <v>799</v>
      </c>
      <c r="F960" s="13" t="s">
        <v>3993</v>
      </c>
      <c r="G960" s="13" t="s">
        <v>702</v>
      </c>
      <c r="H960" s="13" t="s">
        <v>4000</v>
      </c>
      <c r="J960" s="14" t="s">
        <v>3994</v>
      </c>
      <c r="K960" s="14" t="s">
        <v>3992</v>
      </c>
      <c r="L960" s="13" t="s">
        <v>2362</v>
      </c>
      <c r="M960" s="13" t="s">
        <v>3999</v>
      </c>
      <c r="N960" s="13">
        <f>R960*0.475</f>
        <v>19</v>
      </c>
      <c r="O960" s="2">
        <f t="shared" si="83"/>
        <v>0.47499999999999998</v>
      </c>
      <c r="P960" s="13">
        <v>10</v>
      </c>
      <c r="Q960" s="17">
        <f t="shared" si="82"/>
        <v>0.5</v>
      </c>
      <c r="R960" s="13">
        <v>40</v>
      </c>
      <c r="S960" s="13">
        <v>20</v>
      </c>
      <c r="W960" s="13">
        <v>63.9</v>
      </c>
      <c r="X960" s="13">
        <v>11.4</v>
      </c>
      <c r="AB960" s="13">
        <v>60.4</v>
      </c>
      <c r="AC960" s="13">
        <v>7.1</v>
      </c>
      <c r="BY960" s="13" t="s">
        <v>3616</v>
      </c>
      <c r="BZ960" s="13" t="s">
        <v>3617</v>
      </c>
      <c r="CA960" s="13">
        <v>2025</v>
      </c>
      <c r="CC960" s="13" t="s">
        <v>135</v>
      </c>
      <c r="CD960" s="13">
        <v>7</v>
      </c>
      <c r="CE960" s="13">
        <v>1</v>
      </c>
      <c r="CF960" s="13" t="s">
        <v>3618</v>
      </c>
      <c r="CG960" s="13" t="s">
        <v>3284</v>
      </c>
    </row>
    <row r="961" spans="1:85">
      <c r="A961" s="13" t="s">
        <v>3429</v>
      </c>
      <c r="C961" s="13" t="s">
        <v>3355</v>
      </c>
      <c r="D961" s="14" t="s">
        <v>830</v>
      </c>
      <c r="E961" s="13" t="s">
        <v>799</v>
      </c>
      <c r="F961" s="13" t="s">
        <v>3993</v>
      </c>
      <c r="G961" s="13" t="s">
        <v>702</v>
      </c>
      <c r="H961" s="13" t="s">
        <v>4001</v>
      </c>
      <c r="J961" s="14" t="s">
        <v>3994</v>
      </c>
      <c r="K961" s="14" t="s">
        <v>3992</v>
      </c>
      <c r="L961" s="13" t="s">
        <v>2362</v>
      </c>
      <c r="M961" s="13" t="s">
        <v>3999</v>
      </c>
      <c r="N961" s="13">
        <f>R961*0.475</f>
        <v>19</v>
      </c>
      <c r="O961" s="2">
        <f t="shared" si="83"/>
        <v>0.47499999999999998</v>
      </c>
      <c r="P961" s="13">
        <v>10</v>
      </c>
      <c r="Q961" s="17">
        <f t="shared" si="82"/>
        <v>0.5</v>
      </c>
      <c r="R961" s="13">
        <v>40</v>
      </c>
      <c r="S961" s="13">
        <v>20</v>
      </c>
      <c r="W961" s="13">
        <v>63.9</v>
      </c>
      <c r="X961" s="13">
        <v>11.4</v>
      </c>
      <c r="AB961" s="13">
        <v>60.4</v>
      </c>
      <c r="AC961" s="13">
        <v>7.1</v>
      </c>
      <c r="BY961" s="13" t="s">
        <v>3616</v>
      </c>
      <c r="BZ961" s="13" t="s">
        <v>3617</v>
      </c>
      <c r="CA961" s="13">
        <v>2025</v>
      </c>
      <c r="CC961" s="13" t="s">
        <v>135</v>
      </c>
      <c r="CD961" s="13">
        <v>7</v>
      </c>
      <c r="CE961" s="13">
        <v>1</v>
      </c>
      <c r="CF961" s="13" t="s">
        <v>3618</v>
      </c>
      <c r="CG961" s="13" t="s">
        <v>3284</v>
      </c>
    </row>
    <row r="962" spans="1:85">
      <c r="A962" s="13" t="s">
        <v>1757</v>
      </c>
      <c r="B962" s="13" t="s">
        <v>1945</v>
      </c>
      <c r="C962" s="13" t="s">
        <v>558</v>
      </c>
      <c r="D962" s="13" t="s">
        <v>1015</v>
      </c>
      <c r="E962" s="13" t="s">
        <v>630</v>
      </c>
      <c r="F962" s="13" t="s">
        <v>1043</v>
      </c>
      <c r="G962" s="13" t="s">
        <v>674</v>
      </c>
      <c r="H962" s="13" t="s">
        <v>686</v>
      </c>
      <c r="J962" s="13" t="s">
        <v>703</v>
      </c>
      <c r="K962" s="13" t="s">
        <v>3059</v>
      </c>
      <c r="L962" s="13" t="s">
        <v>585</v>
      </c>
      <c r="N962" s="13">
        <v>76</v>
      </c>
      <c r="O962" s="2">
        <f t="shared" si="83"/>
        <v>0.59375</v>
      </c>
      <c r="P962" s="13">
        <v>76</v>
      </c>
      <c r="Q962" s="17">
        <f t="shared" si="82"/>
        <v>0.59375</v>
      </c>
      <c r="R962" s="13">
        <v>128</v>
      </c>
      <c r="S962" s="13">
        <v>128</v>
      </c>
      <c r="T962" s="13">
        <v>0</v>
      </c>
      <c r="U962" s="15">
        <v>0</v>
      </c>
      <c r="V962" s="13">
        <v>0</v>
      </c>
      <c r="Y962" s="13">
        <v>64</v>
      </c>
      <c r="Z962" s="13">
        <v>58</v>
      </c>
      <c r="AA962" s="13">
        <v>70.2</v>
      </c>
      <c r="AD962" s="13">
        <v>66</v>
      </c>
      <c r="AE962" s="13">
        <v>59.5</v>
      </c>
      <c r="AF962" s="13">
        <v>70</v>
      </c>
      <c r="AG962" s="13" t="s">
        <v>639</v>
      </c>
      <c r="AH962" s="13">
        <v>39.74</v>
      </c>
      <c r="AJ962" s="13">
        <v>75</v>
      </c>
      <c r="AM962" s="13">
        <v>75</v>
      </c>
      <c r="AP962" s="13">
        <v>0.82</v>
      </c>
      <c r="AR962" s="13">
        <v>0.77</v>
      </c>
      <c r="AS962" s="13">
        <v>0.87</v>
      </c>
      <c r="BG962" s="13">
        <v>100.7</v>
      </c>
      <c r="BI962" s="13">
        <v>39.6</v>
      </c>
      <c r="BJ962" s="13">
        <v>190.2</v>
      </c>
      <c r="BR962" s="13">
        <v>16</v>
      </c>
      <c r="BT962" s="13">
        <v>7.3</v>
      </c>
      <c r="BU962" s="13">
        <v>39.6</v>
      </c>
      <c r="BX962" s="13" t="s">
        <v>1027</v>
      </c>
      <c r="BY962" s="13" t="s">
        <v>554</v>
      </c>
      <c r="BZ962" s="13" t="s">
        <v>555</v>
      </c>
      <c r="CA962" s="13">
        <v>2022</v>
      </c>
      <c r="CB962" s="13" t="s">
        <v>53</v>
      </c>
      <c r="CC962" s="13" t="s">
        <v>189</v>
      </c>
      <c r="CD962" s="13">
        <v>26</v>
      </c>
      <c r="CE962" s="13">
        <v>13</v>
      </c>
      <c r="CF962" s="13" t="s">
        <v>556</v>
      </c>
      <c r="CG962" s="13" t="s">
        <v>557</v>
      </c>
    </row>
    <row r="963" spans="1:85">
      <c r="A963" s="13" t="s">
        <v>3430</v>
      </c>
      <c r="C963" s="13" t="s">
        <v>3356</v>
      </c>
      <c r="D963" s="14" t="s">
        <v>820</v>
      </c>
      <c r="G963" s="13" t="s">
        <v>673</v>
      </c>
      <c r="H963" s="13" t="s">
        <v>4005</v>
      </c>
      <c r="J963" s="14" t="s">
        <v>726</v>
      </c>
      <c r="K963" s="14" t="s">
        <v>4003</v>
      </c>
      <c r="L963" s="13" t="s">
        <v>3831</v>
      </c>
      <c r="M963" s="13" t="s">
        <v>4004</v>
      </c>
      <c r="N963" s="13">
        <v>20</v>
      </c>
      <c r="O963" s="2">
        <f t="shared" si="83"/>
        <v>0.7407407407407407</v>
      </c>
      <c r="R963" s="13">
        <v>27</v>
      </c>
      <c r="W963" s="13">
        <v>57.8</v>
      </c>
      <c r="X963" s="13">
        <v>10.5</v>
      </c>
      <c r="BY963" s="13" t="s">
        <v>3619</v>
      </c>
      <c r="BZ963" s="13" t="s">
        <v>3620</v>
      </c>
      <c r="CA963" s="13">
        <v>2024</v>
      </c>
      <c r="CB963" s="13" t="s">
        <v>1189</v>
      </c>
      <c r="CC963" s="13" t="s">
        <v>3621</v>
      </c>
      <c r="CD963" s="13">
        <v>15</v>
      </c>
      <c r="CE963" s="13">
        <v>4</v>
      </c>
      <c r="CF963" s="13" t="s">
        <v>3622</v>
      </c>
      <c r="CG963" s="13" t="s">
        <v>3285</v>
      </c>
    </row>
    <row r="964" spans="1:85">
      <c r="A964" s="13" t="s">
        <v>3430</v>
      </c>
      <c r="C964" s="13" t="s">
        <v>3356</v>
      </c>
      <c r="D964" s="14" t="s">
        <v>820</v>
      </c>
      <c r="G964" s="13" t="s">
        <v>673</v>
      </c>
      <c r="H964" s="13" t="s">
        <v>2337</v>
      </c>
      <c r="J964" s="14" t="s">
        <v>726</v>
      </c>
      <c r="K964" s="14" t="s">
        <v>4003</v>
      </c>
      <c r="L964" s="13" t="s">
        <v>3831</v>
      </c>
      <c r="M964" s="13" t="s">
        <v>4004</v>
      </c>
      <c r="N964" s="13">
        <v>20</v>
      </c>
      <c r="O964" s="2">
        <f t="shared" si="83"/>
        <v>0.7407407407407407</v>
      </c>
      <c r="R964" s="13">
        <v>27</v>
      </c>
      <c r="W964" s="13">
        <v>57.8</v>
      </c>
      <c r="X964" s="13">
        <v>10.5</v>
      </c>
      <c r="BY964" s="13" t="s">
        <v>3619</v>
      </c>
      <c r="BZ964" s="13" t="s">
        <v>3620</v>
      </c>
      <c r="CA964" s="13">
        <v>2024</v>
      </c>
      <c r="CB964" s="13" t="s">
        <v>1189</v>
      </c>
      <c r="CC964" s="13" t="s">
        <v>3621</v>
      </c>
      <c r="CD964" s="13">
        <v>15</v>
      </c>
      <c r="CE964" s="13">
        <v>4</v>
      </c>
      <c r="CF964" s="13" t="s">
        <v>3622</v>
      </c>
      <c r="CG964" s="13" t="s">
        <v>3285</v>
      </c>
    </row>
    <row r="965" spans="1:85">
      <c r="A965" s="13" t="s">
        <v>3430</v>
      </c>
      <c r="C965" s="13" t="s">
        <v>3356</v>
      </c>
      <c r="D965" s="14" t="s">
        <v>820</v>
      </c>
      <c r="G965" s="13" t="s">
        <v>673</v>
      </c>
      <c r="H965" s="13" t="s">
        <v>2378</v>
      </c>
      <c r="J965" s="14" t="s">
        <v>726</v>
      </c>
      <c r="K965" s="14" t="s">
        <v>4003</v>
      </c>
      <c r="L965" s="13" t="s">
        <v>3831</v>
      </c>
      <c r="M965" s="13" t="s">
        <v>4004</v>
      </c>
      <c r="N965" s="13">
        <v>20</v>
      </c>
      <c r="O965" s="2">
        <f t="shared" si="83"/>
        <v>0.7407407407407407</v>
      </c>
      <c r="R965" s="13">
        <v>27</v>
      </c>
      <c r="W965" s="13">
        <v>57.8</v>
      </c>
      <c r="X965" s="13">
        <v>10.5</v>
      </c>
      <c r="BY965" s="13" t="s">
        <v>3619</v>
      </c>
      <c r="BZ965" s="13" t="s">
        <v>3620</v>
      </c>
      <c r="CA965" s="13">
        <v>2024</v>
      </c>
      <c r="CB965" s="13" t="s">
        <v>1189</v>
      </c>
      <c r="CC965" s="13" t="s">
        <v>3621</v>
      </c>
      <c r="CD965" s="13">
        <v>15</v>
      </c>
      <c r="CE965" s="13">
        <v>4</v>
      </c>
      <c r="CF965" s="13" t="s">
        <v>3622</v>
      </c>
      <c r="CG965" s="13" t="s">
        <v>3285</v>
      </c>
    </row>
    <row r="966" spans="1:85">
      <c r="A966" s="13" t="s">
        <v>3430</v>
      </c>
      <c r="C966" s="13" t="s">
        <v>3356</v>
      </c>
      <c r="D966" s="14" t="s">
        <v>820</v>
      </c>
      <c r="G966" s="13" t="s">
        <v>673</v>
      </c>
      <c r="H966" s="13" t="s">
        <v>2198</v>
      </c>
      <c r="J966" s="14" t="s">
        <v>726</v>
      </c>
      <c r="K966" s="14" t="s">
        <v>4003</v>
      </c>
      <c r="L966" s="13" t="s">
        <v>3831</v>
      </c>
      <c r="M966" s="13" t="s">
        <v>4004</v>
      </c>
      <c r="N966" s="13">
        <v>20</v>
      </c>
      <c r="O966" s="2">
        <f t="shared" si="83"/>
        <v>0.7407407407407407</v>
      </c>
      <c r="R966" s="13">
        <v>27</v>
      </c>
      <c r="W966" s="13">
        <v>57.8</v>
      </c>
      <c r="X966" s="13">
        <v>10.5</v>
      </c>
      <c r="BY966" s="13" t="s">
        <v>3619</v>
      </c>
      <c r="BZ966" s="13" t="s">
        <v>3620</v>
      </c>
      <c r="CA966" s="13">
        <v>2024</v>
      </c>
      <c r="CB966" s="13" t="s">
        <v>1189</v>
      </c>
      <c r="CC966" s="13" t="s">
        <v>3621</v>
      </c>
      <c r="CD966" s="13">
        <v>15</v>
      </c>
      <c r="CE966" s="13">
        <v>4</v>
      </c>
      <c r="CF966" s="13" t="s">
        <v>3622</v>
      </c>
      <c r="CG966" s="13" t="s">
        <v>3285</v>
      </c>
    </row>
    <row r="967" spans="1:85">
      <c r="A967" s="13" t="s">
        <v>1768</v>
      </c>
      <c r="C967" s="13" t="s">
        <v>3653</v>
      </c>
      <c r="D967" s="13" t="s">
        <v>898</v>
      </c>
      <c r="E967" s="13" t="s">
        <v>630</v>
      </c>
      <c r="F967" s="13" t="s">
        <v>1044</v>
      </c>
      <c r="G967" s="13" t="s">
        <v>674</v>
      </c>
      <c r="H967" s="13" t="s">
        <v>1046</v>
      </c>
      <c r="J967" s="13" t="s">
        <v>712</v>
      </c>
      <c r="K967" s="13" t="s">
        <v>3652</v>
      </c>
      <c r="L967" s="13" t="s">
        <v>1979</v>
      </c>
      <c r="M967" s="13" t="s">
        <v>1045</v>
      </c>
      <c r="N967" s="13">
        <v>40</v>
      </c>
      <c r="O967" s="2">
        <f t="shared" si="83"/>
        <v>0.66666666666666663</v>
      </c>
      <c r="P967" s="13">
        <v>30</v>
      </c>
      <c r="Q967" s="17">
        <f t="shared" ref="Q967:Q973" si="84">P967/S967</f>
        <v>0.5</v>
      </c>
      <c r="R967" s="13">
        <v>60</v>
      </c>
      <c r="S967" s="13">
        <v>60</v>
      </c>
      <c r="W967" s="13">
        <v>52.9</v>
      </c>
      <c r="X967" s="13">
        <v>10.5</v>
      </c>
      <c r="AB967" s="13">
        <v>51.2</v>
      </c>
      <c r="AC967" s="13">
        <v>10.7</v>
      </c>
      <c r="AP967" s="13">
        <v>0.8</v>
      </c>
      <c r="AR967" s="13">
        <v>0.72</v>
      </c>
      <c r="AS967" s="13">
        <v>0.88</v>
      </c>
      <c r="BY967" s="13" t="s">
        <v>563</v>
      </c>
      <c r="BZ967" s="13" t="s">
        <v>559</v>
      </c>
      <c r="CA967" s="13">
        <v>2020</v>
      </c>
      <c r="CB967" s="13" t="s">
        <v>32</v>
      </c>
      <c r="CC967" s="13" t="s">
        <v>26</v>
      </c>
      <c r="CD967" s="13">
        <v>7</v>
      </c>
      <c r="CE967" s="13">
        <v>10</v>
      </c>
      <c r="CF967" s="13" t="s">
        <v>560</v>
      </c>
      <c r="CG967" s="13" t="s">
        <v>561</v>
      </c>
    </row>
    <row r="968" spans="1:85">
      <c r="A968" s="13" t="s">
        <v>1768</v>
      </c>
      <c r="C968" s="13" t="s">
        <v>3653</v>
      </c>
      <c r="D968" s="13" t="s">
        <v>898</v>
      </c>
      <c r="E968" s="13" t="s">
        <v>630</v>
      </c>
      <c r="F968" s="13" t="s">
        <v>1044</v>
      </c>
      <c r="G968" s="13" t="s">
        <v>674</v>
      </c>
      <c r="H968" s="13" t="s">
        <v>1047</v>
      </c>
      <c r="J968" s="13" t="s">
        <v>712</v>
      </c>
      <c r="K968" s="13" t="s">
        <v>3652</v>
      </c>
      <c r="L968" s="13" t="s">
        <v>1979</v>
      </c>
      <c r="M968" s="13" t="s">
        <v>1045</v>
      </c>
      <c r="N968" s="13">
        <v>40</v>
      </c>
      <c r="O968" s="2">
        <f t="shared" si="83"/>
        <v>0.66666666666666663</v>
      </c>
      <c r="P968" s="13">
        <v>30</v>
      </c>
      <c r="Q968" s="17">
        <f t="shared" si="84"/>
        <v>0.5</v>
      </c>
      <c r="R968" s="13">
        <v>60</v>
      </c>
      <c r="S968" s="13">
        <v>60</v>
      </c>
      <c r="W968" s="13">
        <v>52.9</v>
      </c>
      <c r="X968" s="13">
        <v>10.5</v>
      </c>
      <c r="AB968" s="13">
        <v>51.2</v>
      </c>
      <c r="AC968" s="13">
        <v>10.7</v>
      </c>
      <c r="AP968" s="13">
        <v>0.73</v>
      </c>
      <c r="AR968" s="13">
        <v>0.64</v>
      </c>
      <c r="AS968" s="13">
        <v>0.83</v>
      </c>
      <c r="BY968" s="13" t="s">
        <v>563</v>
      </c>
      <c r="BZ968" s="13" t="s">
        <v>559</v>
      </c>
      <c r="CA968" s="13">
        <v>2020</v>
      </c>
      <c r="CB968" s="13" t="s">
        <v>32</v>
      </c>
      <c r="CC968" s="13" t="s">
        <v>26</v>
      </c>
      <c r="CD968" s="13">
        <v>7</v>
      </c>
      <c r="CE968" s="13">
        <v>10</v>
      </c>
      <c r="CF968" s="13" t="s">
        <v>560</v>
      </c>
      <c r="CG968" s="13" t="s">
        <v>561</v>
      </c>
    </row>
    <row r="969" spans="1:85">
      <c r="A969" s="13" t="s">
        <v>1768</v>
      </c>
      <c r="C969" s="13" t="s">
        <v>3654</v>
      </c>
      <c r="D969" s="13" t="s">
        <v>898</v>
      </c>
      <c r="E969" s="13" t="s">
        <v>630</v>
      </c>
      <c r="F969" s="13" t="s">
        <v>1044</v>
      </c>
      <c r="G969" s="13" t="s">
        <v>674</v>
      </c>
      <c r="H969" s="13" t="s">
        <v>1046</v>
      </c>
      <c r="J969" s="13" t="s">
        <v>712</v>
      </c>
      <c r="K969" s="13" t="s">
        <v>3652</v>
      </c>
      <c r="L969" s="13" t="s">
        <v>1979</v>
      </c>
      <c r="M969" s="13" t="s">
        <v>1045</v>
      </c>
      <c r="N969" s="13">
        <v>37</v>
      </c>
      <c r="O969" s="2">
        <f t="shared" si="83"/>
        <v>0.60655737704918034</v>
      </c>
      <c r="P969" s="13">
        <v>30</v>
      </c>
      <c r="Q969" s="17">
        <f t="shared" si="84"/>
        <v>0.5</v>
      </c>
      <c r="R969" s="13">
        <v>61</v>
      </c>
      <c r="S969" s="13">
        <v>60</v>
      </c>
      <c r="W969" s="13">
        <v>57.2</v>
      </c>
      <c r="X969" s="13">
        <v>10.8</v>
      </c>
      <c r="AB969" s="13">
        <v>51.2</v>
      </c>
      <c r="AC969" s="13">
        <v>10.7</v>
      </c>
      <c r="AP969" s="13">
        <v>0.85</v>
      </c>
      <c r="AR969" s="13">
        <v>0.78</v>
      </c>
      <c r="AS969" s="13">
        <v>0.92</v>
      </c>
      <c r="BY969" s="13" t="s">
        <v>563</v>
      </c>
      <c r="BZ969" s="13" t="s">
        <v>559</v>
      </c>
      <c r="CA969" s="13">
        <v>2020</v>
      </c>
      <c r="CB969" s="13" t="s">
        <v>32</v>
      </c>
      <c r="CC969" s="13" t="s">
        <v>26</v>
      </c>
      <c r="CD969" s="13">
        <v>7</v>
      </c>
      <c r="CE969" s="13">
        <v>10</v>
      </c>
      <c r="CF969" s="13" t="s">
        <v>560</v>
      </c>
      <c r="CG969" s="13" t="s">
        <v>561</v>
      </c>
    </row>
    <row r="970" spans="1:85">
      <c r="A970" s="13" t="s">
        <v>1768</v>
      </c>
      <c r="C970" s="13" t="s">
        <v>3654</v>
      </c>
      <c r="D970" s="13" t="s">
        <v>898</v>
      </c>
      <c r="E970" s="13" t="s">
        <v>630</v>
      </c>
      <c r="F970" s="13" t="s">
        <v>1044</v>
      </c>
      <c r="G970" s="13" t="s">
        <v>674</v>
      </c>
      <c r="H970" s="13" t="s">
        <v>1047</v>
      </c>
      <c r="J970" s="13" t="s">
        <v>712</v>
      </c>
      <c r="K970" s="13" t="s">
        <v>3652</v>
      </c>
      <c r="L970" s="13" t="s">
        <v>1979</v>
      </c>
      <c r="M970" s="13" t="s">
        <v>1045</v>
      </c>
      <c r="N970" s="13">
        <v>37</v>
      </c>
      <c r="O970" s="2">
        <f t="shared" si="83"/>
        <v>0.60655737704918034</v>
      </c>
      <c r="P970" s="13">
        <v>30</v>
      </c>
      <c r="Q970" s="17">
        <f t="shared" si="84"/>
        <v>0.5</v>
      </c>
      <c r="R970" s="13">
        <v>61</v>
      </c>
      <c r="S970" s="13">
        <v>60</v>
      </c>
      <c r="W970" s="13">
        <v>57.2</v>
      </c>
      <c r="X970" s="13">
        <v>10.8</v>
      </c>
      <c r="AB970" s="13">
        <v>51.2</v>
      </c>
      <c r="AC970" s="13">
        <v>10.7</v>
      </c>
      <c r="AP970" s="13">
        <v>0.78</v>
      </c>
      <c r="AR970" s="13">
        <v>0.69</v>
      </c>
      <c r="AS970" s="13">
        <v>0.87</v>
      </c>
      <c r="BY970" s="13" t="s">
        <v>563</v>
      </c>
      <c r="BZ970" s="13" t="s">
        <v>559</v>
      </c>
      <c r="CA970" s="13">
        <v>2020</v>
      </c>
      <c r="CB970" s="13" t="s">
        <v>32</v>
      </c>
      <c r="CC970" s="13" t="s">
        <v>26</v>
      </c>
      <c r="CD970" s="13">
        <v>7</v>
      </c>
      <c r="CE970" s="13">
        <v>10</v>
      </c>
      <c r="CF970" s="13" t="s">
        <v>560</v>
      </c>
      <c r="CG970" s="13" t="s">
        <v>561</v>
      </c>
    </row>
    <row r="971" spans="1:85">
      <c r="A971" s="13" t="s">
        <v>1768</v>
      </c>
      <c r="C971" s="13" t="s">
        <v>3655</v>
      </c>
      <c r="D971" s="13" t="s">
        <v>898</v>
      </c>
      <c r="E971" s="13" t="s">
        <v>630</v>
      </c>
      <c r="F971" s="13" t="s">
        <v>1044</v>
      </c>
      <c r="G971" s="13" t="s">
        <v>674</v>
      </c>
      <c r="H971" s="13" t="s">
        <v>1046</v>
      </c>
      <c r="J971" s="13" t="s">
        <v>712</v>
      </c>
      <c r="K971" s="13" t="s">
        <v>3652</v>
      </c>
      <c r="L971" s="13" t="s">
        <v>1979</v>
      </c>
      <c r="M971" s="13" t="s">
        <v>1045</v>
      </c>
      <c r="N971" s="13">
        <v>39</v>
      </c>
      <c r="O971" s="2">
        <f t="shared" si="83"/>
        <v>0.63934426229508201</v>
      </c>
      <c r="P971" s="13">
        <v>30</v>
      </c>
      <c r="Q971" s="17">
        <f t="shared" si="84"/>
        <v>0.5</v>
      </c>
      <c r="R971" s="13">
        <v>61</v>
      </c>
      <c r="S971" s="13">
        <v>60</v>
      </c>
      <c r="W971" s="13">
        <v>52.4</v>
      </c>
      <c r="X971" s="13">
        <v>10.199999999999999</v>
      </c>
      <c r="AB971" s="13">
        <v>51.2</v>
      </c>
      <c r="AC971" s="13">
        <v>10.7</v>
      </c>
      <c r="AP971" s="13">
        <v>0.85</v>
      </c>
      <c r="AR971" s="13">
        <v>0.77</v>
      </c>
      <c r="AS971" s="13">
        <v>0.92</v>
      </c>
      <c r="BY971" s="13" t="s">
        <v>563</v>
      </c>
      <c r="BZ971" s="13" t="s">
        <v>559</v>
      </c>
      <c r="CA971" s="13">
        <v>2020</v>
      </c>
      <c r="CB971" s="13" t="s">
        <v>32</v>
      </c>
      <c r="CC971" s="13" t="s">
        <v>26</v>
      </c>
      <c r="CD971" s="13">
        <v>7</v>
      </c>
      <c r="CE971" s="13">
        <v>10</v>
      </c>
      <c r="CF971" s="13" t="s">
        <v>560</v>
      </c>
      <c r="CG971" s="13" t="s">
        <v>561</v>
      </c>
    </row>
    <row r="972" spans="1:85">
      <c r="A972" s="13" t="s">
        <v>1768</v>
      </c>
      <c r="C972" s="13" t="s">
        <v>3655</v>
      </c>
      <c r="D972" s="13" t="s">
        <v>898</v>
      </c>
      <c r="E972" s="13" t="s">
        <v>630</v>
      </c>
      <c r="F972" s="13" t="s">
        <v>1044</v>
      </c>
      <c r="G972" s="13" t="s">
        <v>674</v>
      </c>
      <c r="H972" s="13" t="s">
        <v>1047</v>
      </c>
      <c r="J972" s="13" t="s">
        <v>712</v>
      </c>
      <c r="K972" s="13" t="s">
        <v>3652</v>
      </c>
      <c r="L972" s="13" t="s">
        <v>1979</v>
      </c>
      <c r="M972" s="13" t="s">
        <v>1045</v>
      </c>
      <c r="N972" s="13">
        <v>39</v>
      </c>
      <c r="O972" s="2">
        <f t="shared" si="83"/>
        <v>0.63934426229508201</v>
      </c>
      <c r="P972" s="13">
        <v>30</v>
      </c>
      <c r="Q972" s="17">
        <f t="shared" si="84"/>
        <v>0.5</v>
      </c>
      <c r="R972" s="13">
        <v>61</v>
      </c>
      <c r="S972" s="13">
        <v>60</v>
      </c>
      <c r="W972" s="13">
        <v>52.4</v>
      </c>
      <c r="X972" s="13">
        <v>10.199999999999999</v>
      </c>
      <c r="AB972" s="13">
        <v>51.2</v>
      </c>
      <c r="AC972" s="13">
        <v>10.7</v>
      </c>
      <c r="AP972" s="13">
        <v>0.78</v>
      </c>
      <c r="AR972" s="13">
        <v>0.7</v>
      </c>
      <c r="AS972" s="13">
        <v>0.87</v>
      </c>
      <c r="BY972" s="13" t="s">
        <v>563</v>
      </c>
      <c r="BZ972" s="13" t="s">
        <v>559</v>
      </c>
      <c r="CA972" s="13">
        <v>2020</v>
      </c>
      <c r="CB972" s="13" t="s">
        <v>32</v>
      </c>
      <c r="CC972" s="13" t="s">
        <v>26</v>
      </c>
      <c r="CD972" s="13">
        <v>7</v>
      </c>
      <c r="CE972" s="13">
        <v>10</v>
      </c>
      <c r="CF972" s="13" t="s">
        <v>560</v>
      </c>
      <c r="CG972" s="13" t="s">
        <v>561</v>
      </c>
    </row>
    <row r="973" spans="1:85">
      <c r="A973" s="13" t="s">
        <v>1758</v>
      </c>
      <c r="B973" s="13" t="s">
        <v>1950</v>
      </c>
      <c r="C973" s="13" t="s">
        <v>567</v>
      </c>
      <c r="D973" s="13" t="s">
        <v>2039</v>
      </c>
      <c r="E973" s="13" t="s">
        <v>852</v>
      </c>
      <c r="F973" s="13" t="s">
        <v>1049</v>
      </c>
      <c r="G973" s="13" t="s">
        <v>672</v>
      </c>
      <c r="H973" s="13" t="s">
        <v>1048</v>
      </c>
      <c r="J973" s="13" t="s">
        <v>712</v>
      </c>
      <c r="K973" s="13" t="s">
        <v>3075</v>
      </c>
      <c r="L973" s="13" t="s">
        <v>585</v>
      </c>
      <c r="N973" s="13">
        <v>33</v>
      </c>
      <c r="O973" s="2">
        <f t="shared" si="83"/>
        <v>0.71739130434782605</v>
      </c>
      <c r="P973" s="13">
        <v>24</v>
      </c>
      <c r="Q973" s="17">
        <f t="shared" si="84"/>
        <v>0.52173913043478259</v>
      </c>
      <c r="R973" s="13">
        <v>46</v>
      </c>
      <c r="S973" s="13">
        <v>46</v>
      </c>
      <c r="T973" s="13">
        <v>0</v>
      </c>
      <c r="U973" s="15">
        <v>0</v>
      </c>
      <c r="V973" s="13">
        <v>0</v>
      </c>
      <c r="W973" s="13">
        <v>54.57</v>
      </c>
      <c r="X973" s="13">
        <v>9.67</v>
      </c>
      <c r="AB973" s="13">
        <v>52.63</v>
      </c>
      <c r="AC973" s="13">
        <v>13.26</v>
      </c>
      <c r="AG973" s="13" t="s">
        <v>641</v>
      </c>
      <c r="AH973" s="13">
        <v>174.74</v>
      </c>
      <c r="AJ973" s="13">
        <v>91.1</v>
      </c>
      <c r="AM973" s="13">
        <v>86.5</v>
      </c>
      <c r="AP973" s="13">
        <v>0.88</v>
      </c>
      <c r="AR973" s="13">
        <v>0.79</v>
      </c>
      <c r="AS973" s="13">
        <v>0.97</v>
      </c>
      <c r="BX973" s="13">
        <v>3.9E-2</v>
      </c>
      <c r="BY973" s="13" t="s">
        <v>563</v>
      </c>
      <c r="BZ973" s="13" t="s">
        <v>564</v>
      </c>
      <c r="CA973" s="13">
        <v>2023</v>
      </c>
      <c r="CB973" s="13" t="s">
        <v>119</v>
      </c>
      <c r="CC973" s="13" t="s">
        <v>26</v>
      </c>
      <c r="CD973" s="13">
        <v>10</v>
      </c>
      <c r="CE973" s="13">
        <v>8</v>
      </c>
      <c r="CF973" s="13" t="s">
        <v>565</v>
      </c>
      <c r="CG973" s="13" t="s">
        <v>566</v>
      </c>
    </row>
    <row r="974" spans="1:85">
      <c r="A974" s="13" t="s">
        <v>1759</v>
      </c>
      <c r="B974" s="13" t="s">
        <v>1952</v>
      </c>
      <c r="C974" s="13" t="s">
        <v>573</v>
      </c>
      <c r="D974" s="13" t="s">
        <v>822</v>
      </c>
      <c r="E974" s="13" t="s">
        <v>657</v>
      </c>
      <c r="F974" s="13" t="s">
        <v>1050</v>
      </c>
      <c r="G974" s="13" t="s">
        <v>672</v>
      </c>
      <c r="H974" s="13" t="s">
        <v>1052</v>
      </c>
      <c r="J974" s="13" t="s">
        <v>868</v>
      </c>
      <c r="K974" s="13" t="s">
        <v>4054</v>
      </c>
      <c r="L974" s="13" t="s">
        <v>1051</v>
      </c>
      <c r="M974" s="13" t="s">
        <v>1051</v>
      </c>
      <c r="R974" s="13">
        <v>21</v>
      </c>
      <c r="S974" s="13">
        <v>25</v>
      </c>
      <c r="AG974" s="13" t="s">
        <v>641</v>
      </c>
      <c r="BB974" s="13">
        <v>1.1599999999999999</v>
      </c>
      <c r="BM974" s="13">
        <v>0.96</v>
      </c>
      <c r="BX974" s="13">
        <v>5.0000000000000001E-3</v>
      </c>
      <c r="BY974" s="13" t="s">
        <v>568</v>
      </c>
      <c r="BZ974" s="13" t="s">
        <v>569</v>
      </c>
      <c r="CA974" s="13">
        <v>2019</v>
      </c>
      <c r="CB974" s="13" t="s">
        <v>162</v>
      </c>
      <c r="CC974" s="13" t="s">
        <v>570</v>
      </c>
      <c r="CD974" s="13">
        <v>69</v>
      </c>
      <c r="CE974" s="13">
        <v>4</v>
      </c>
      <c r="CF974" s="13" t="s">
        <v>571</v>
      </c>
      <c r="CG974" s="13" t="s">
        <v>572</v>
      </c>
    </row>
    <row r="975" spans="1:85">
      <c r="A975" s="13" t="s">
        <v>1759</v>
      </c>
      <c r="B975" s="13" t="s">
        <v>1952</v>
      </c>
      <c r="C975" s="13" t="s">
        <v>573</v>
      </c>
      <c r="D975" s="13" t="s">
        <v>822</v>
      </c>
      <c r="E975" s="13" t="s">
        <v>657</v>
      </c>
      <c r="F975" s="13" t="s">
        <v>1050</v>
      </c>
      <c r="G975" s="13" t="s">
        <v>672</v>
      </c>
      <c r="H975" s="13" t="s">
        <v>1053</v>
      </c>
      <c r="J975" s="13" t="s">
        <v>868</v>
      </c>
      <c r="K975" s="13" t="s">
        <v>4054</v>
      </c>
      <c r="L975" s="13" t="s">
        <v>1051</v>
      </c>
      <c r="M975" s="13" t="s">
        <v>1051</v>
      </c>
      <c r="R975" s="13">
        <v>21</v>
      </c>
      <c r="S975" s="13">
        <v>25</v>
      </c>
      <c r="AG975" s="13" t="s">
        <v>641</v>
      </c>
      <c r="BB975" s="13">
        <v>1.68</v>
      </c>
      <c r="BM975" s="13">
        <v>0.91</v>
      </c>
      <c r="BX975" s="13">
        <v>2E-3</v>
      </c>
      <c r="BY975" s="13" t="s">
        <v>568</v>
      </c>
      <c r="BZ975" s="13" t="s">
        <v>569</v>
      </c>
      <c r="CA975" s="13">
        <v>2019</v>
      </c>
      <c r="CB975" s="13" t="s">
        <v>162</v>
      </c>
      <c r="CC975" s="13" t="s">
        <v>570</v>
      </c>
      <c r="CD975" s="13">
        <v>69</v>
      </c>
      <c r="CE975" s="13">
        <v>4</v>
      </c>
      <c r="CF975" s="13" t="s">
        <v>571</v>
      </c>
      <c r="CG975" s="13" t="s">
        <v>572</v>
      </c>
    </row>
    <row r="976" spans="1:85">
      <c r="A976" s="13" t="s">
        <v>1759</v>
      </c>
      <c r="B976" s="13" t="s">
        <v>1952</v>
      </c>
      <c r="C976" s="13" t="s">
        <v>573</v>
      </c>
      <c r="D976" s="13" t="s">
        <v>822</v>
      </c>
      <c r="E976" s="13" t="s">
        <v>657</v>
      </c>
      <c r="F976" s="13" t="s">
        <v>1050</v>
      </c>
      <c r="G976" s="13" t="s">
        <v>672</v>
      </c>
      <c r="H976" s="13" t="s">
        <v>1053</v>
      </c>
      <c r="J976" s="13" t="s">
        <v>868</v>
      </c>
      <c r="K976" s="13" t="s">
        <v>4054</v>
      </c>
      <c r="L976" s="13" t="s">
        <v>1051</v>
      </c>
      <c r="M976" s="13" t="s">
        <v>1051</v>
      </c>
      <c r="R976" s="13">
        <v>21</v>
      </c>
      <c r="S976" s="13">
        <v>25</v>
      </c>
      <c r="AG976" s="13" t="s">
        <v>641</v>
      </c>
      <c r="BB976" s="13">
        <v>1.68</v>
      </c>
      <c r="BM976" s="13">
        <v>0.91</v>
      </c>
      <c r="BX976" s="13">
        <v>2E-3</v>
      </c>
      <c r="BY976" s="13" t="s">
        <v>568</v>
      </c>
      <c r="BZ976" s="13" t="s">
        <v>569</v>
      </c>
      <c r="CA976" s="13">
        <v>2019</v>
      </c>
      <c r="CB976" s="13" t="s">
        <v>162</v>
      </c>
      <c r="CC976" s="13" t="s">
        <v>570</v>
      </c>
      <c r="CD976" s="13">
        <v>69</v>
      </c>
      <c r="CE976" s="13">
        <v>4</v>
      </c>
      <c r="CF976" s="13" t="s">
        <v>571</v>
      </c>
      <c r="CG976" s="13" t="s">
        <v>572</v>
      </c>
    </row>
    <row r="977" spans="1:85">
      <c r="A977" s="13" t="s">
        <v>1759</v>
      </c>
      <c r="B977" s="13" t="s">
        <v>1952</v>
      </c>
      <c r="C977" s="13" t="s">
        <v>573</v>
      </c>
      <c r="D977" s="13" t="s">
        <v>822</v>
      </c>
      <c r="E977" s="13" t="s">
        <v>657</v>
      </c>
      <c r="F977" s="13" t="s">
        <v>1050</v>
      </c>
      <c r="G977" s="13" t="s">
        <v>672</v>
      </c>
      <c r="H977" s="13" t="s">
        <v>1054</v>
      </c>
      <c r="J977" s="13" t="s">
        <v>868</v>
      </c>
      <c r="K977" s="13" t="s">
        <v>4054</v>
      </c>
      <c r="L977" s="13" t="s">
        <v>1051</v>
      </c>
      <c r="M977" s="13" t="s">
        <v>1051</v>
      </c>
      <c r="R977" s="13">
        <v>21</v>
      </c>
      <c r="S977" s="13">
        <v>25</v>
      </c>
      <c r="AG977" s="13" t="s">
        <v>641</v>
      </c>
      <c r="BB977" s="13">
        <v>10.52</v>
      </c>
      <c r="BM977" s="13">
        <v>7.65</v>
      </c>
      <c r="BX977" s="13">
        <v>2E-3</v>
      </c>
      <c r="BY977" s="13" t="s">
        <v>568</v>
      </c>
      <c r="BZ977" s="13" t="s">
        <v>569</v>
      </c>
      <c r="CA977" s="13">
        <v>2019</v>
      </c>
      <c r="CB977" s="13" t="s">
        <v>162</v>
      </c>
      <c r="CC977" s="13" t="s">
        <v>570</v>
      </c>
      <c r="CD977" s="13">
        <v>69</v>
      </c>
      <c r="CE977" s="13">
        <v>4</v>
      </c>
      <c r="CF977" s="13" t="s">
        <v>571</v>
      </c>
      <c r="CG977" s="13" t="s">
        <v>572</v>
      </c>
    </row>
    <row r="978" spans="1:85">
      <c r="A978" s="13" t="s">
        <v>3431</v>
      </c>
      <c r="C978" s="13" t="s">
        <v>4109</v>
      </c>
      <c r="D978" s="14" t="s">
        <v>2039</v>
      </c>
      <c r="G978" s="13" t="s">
        <v>673</v>
      </c>
      <c r="H978" s="13" t="s">
        <v>3983</v>
      </c>
      <c r="J978" s="14" t="s">
        <v>712</v>
      </c>
      <c r="K978" s="14" t="s">
        <v>4006</v>
      </c>
      <c r="L978" s="13" t="s">
        <v>4007</v>
      </c>
      <c r="M978" s="13" t="s">
        <v>4008</v>
      </c>
      <c r="N978" s="13">
        <v>288</v>
      </c>
      <c r="O978" s="2">
        <f t="shared" ref="O978:O996" si="85">N978/R978</f>
        <v>0.56916996047430835</v>
      </c>
      <c r="R978" s="13">
        <v>506</v>
      </c>
      <c r="W978" s="13">
        <v>54.2</v>
      </c>
      <c r="X978" s="13">
        <v>10.5</v>
      </c>
      <c r="BY978" s="13" t="s">
        <v>3623</v>
      </c>
      <c r="BZ978" s="13" t="s">
        <v>3624</v>
      </c>
      <c r="CA978" s="13">
        <v>2024</v>
      </c>
      <c r="CB978" s="13" t="s">
        <v>162</v>
      </c>
      <c r="CC978" s="13" t="s">
        <v>3625</v>
      </c>
      <c r="CD978" s="13">
        <v>15</v>
      </c>
      <c r="CE978" s="13">
        <v>6</v>
      </c>
      <c r="CF978" s="13" t="s">
        <v>3626</v>
      </c>
      <c r="CG978" s="13" t="s">
        <v>3286</v>
      </c>
    </row>
    <row r="979" spans="1:85">
      <c r="A979" s="13" t="s">
        <v>3431</v>
      </c>
      <c r="C979" s="13" t="s">
        <v>4109</v>
      </c>
      <c r="D979" s="14" t="s">
        <v>2039</v>
      </c>
      <c r="G979" s="13" t="s">
        <v>673</v>
      </c>
      <c r="H979" s="13" t="s">
        <v>4011</v>
      </c>
      <c r="J979" s="14" t="s">
        <v>712</v>
      </c>
      <c r="K979" s="14" t="s">
        <v>4006</v>
      </c>
      <c r="L979" s="13" t="s">
        <v>4007</v>
      </c>
      <c r="M979" s="13" t="s">
        <v>4008</v>
      </c>
      <c r="N979" s="13">
        <v>288</v>
      </c>
      <c r="O979" s="2">
        <f t="shared" si="85"/>
        <v>0.56916996047430835</v>
      </c>
      <c r="R979" s="13">
        <v>506</v>
      </c>
      <c r="W979" s="13">
        <v>54.2</v>
      </c>
      <c r="X979" s="13">
        <v>10.5</v>
      </c>
      <c r="BY979" s="13" t="s">
        <v>3623</v>
      </c>
      <c r="BZ979" s="13" t="s">
        <v>3624</v>
      </c>
      <c r="CA979" s="13">
        <v>2024</v>
      </c>
      <c r="CB979" s="13" t="s">
        <v>162</v>
      </c>
      <c r="CC979" s="13" t="s">
        <v>3625</v>
      </c>
      <c r="CD979" s="13">
        <v>15</v>
      </c>
      <c r="CE979" s="13">
        <v>6</v>
      </c>
      <c r="CF979" s="13" t="s">
        <v>3626</v>
      </c>
      <c r="CG979" s="13" t="s">
        <v>3286</v>
      </c>
    </row>
    <row r="980" spans="1:85">
      <c r="A980" s="13" t="s">
        <v>3431</v>
      </c>
      <c r="C980" s="13" t="s">
        <v>4109</v>
      </c>
      <c r="D980" s="14" t="s">
        <v>2039</v>
      </c>
      <c r="G980" s="13" t="s">
        <v>673</v>
      </c>
      <c r="H980" s="13" t="s">
        <v>4012</v>
      </c>
      <c r="J980" s="14" t="s">
        <v>712</v>
      </c>
      <c r="K980" s="14" t="s">
        <v>4006</v>
      </c>
      <c r="L980" s="13" t="s">
        <v>4007</v>
      </c>
      <c r="M980" s="13" t="s">
        <v>4008</v>
      </c>
      <c r="N980" s="13">
        <v>288</v>
      </c>
      <c r="O980" s="2">
        <f t="shared" si="85"/>
        <v>0.56916996047430835</v>
      </c>
      <c r="R980" s="13">
        <v>506</v>
      </c>
      <c r="W980" s="13">
        <v>54.2</v>
      </c>
      <c r="X980" s="13">
        <v>10.5</v>
      </c>
      <c r="BY980" s="13" t="s">
        <v>3623</v>
      </c>
      <c r="BZ980" s="13" t="s">
        <v>3624</v>
      </c>
      <c r="CA980" s="13">
        <v>2024</v>
      </c>
      <c r="CB980" s="13" t="s">
        <v>162</v>
      </c>
      <c r="CC980" s="13" t="s">
        <v>3625</v>
      </c>
      <c r="CD980" s="13">
        <v>15</v>
      </c>
      <c r="CE980" s="13">
        <v>6</v>
      </c>
      <c r="CF980" s="13" t="s">
        <v>3626</v>
      </c>
      <c r="CG980" s="13" t="s">
        <v>3286</v>
      </c>
    </row>
    <row r="981" spans="1:85">
      <c r="A981" s="13" t="s">
        <v>3431</v>
      </c>
      <c r="C981" s="13" t="s">
        <v>4109</v>
      </c>
      <c r="D981" s="14" t="s">
        <v>2039</v>
      </c>
      <c r="G981" s="13" t="s">
        <v>673</v>
      </c>
      <c r="H981" s="13" t="s">
        <v>4013</v>
      </c>
      <c r="J981" s="14" t="s">
        <v>712</v>
      </c>
      <c r="K981" s="14" t="s">
        <v>4006</v>
      </c>
      <c r="L981" s="13" t="s">
        <v>4007</v>
      </c>
      <c r="M981" s="13" t="s">
        <v>4008</v>
      </c>
      <c r="N981" s="13">
        <v>288</v>
      </c>
      <c r="O981" s="2">
        <f t="shared" si="85"/>
        <v>0.56916996047430835</v>
      </c>
      <c r="R981" s="13">
        <v>506</v>
      </c>
      <c r="W981" s="13">
        <v>54.2</v>
      </c>
      <c r="X981" s="13">
        <v>10.5</v>
      </c>
      <c r="BY981" s="13" t="s">
        <v>3623</v>
      </c>
      <c r="BZ981" s="13" t="s">
        <v>3624</v>
      </c>
      <c r="CA981" s="13">
        <v>2024</v>
      </c>
      <c r="CB981" s="13" t="s">
        <v>162</v>
      </c>
      <c r="CC981" s="13" t="s">
        <v>3625</v>
      </c>
      <c r="CD981" s="13">
        <v>15</v>
      </c>
      <c r="CE981" s="13">
        <v>6</v>
      </c>
      <c r="CF981" s="13" t="s">
        <v>3626</v>
      </c>
      <c r="CG981" s="13" t="s">
        <v>3286</v>
      </c>
    </row>
    <row r="982" spans="1:85">
      <c r="A982" s="13" t="s">
        <v>3431</v>
      </c>
      <c r="C982" s="13" t="s">
        <v>4109</v>
      </c>
      <c r="D982" s="14" t="s">
        <v>2039</v>
      </c>
      <c r="G982" s="13" t="s">
        <v>673</v>
      </c>
      <c r="H982" s="13" t="s">
        <v>2595</v>
      </c>
      <c r="J982" s="14" t="s">
        <v>712</v>
      </c>
      <c r="K982" s="14" t="s">
        <v>4006</v>
      </c>
      <c r="L982" s="13" t="s">
        <v>4007</v>
      </c>
      <c r="M982" s="13" t="s">
        <v>4008</v>
      </c>
      <c r="N982" s="13">
        <v>288</v>
      </c>
      <c r="O982" s="2">
        <f t="shared" si="85"/>
        <v>0.56916996047430835</v>
      </c>
      <c r="R982" s="13">
        <v>506</v>
      </c>
      <c r="W982" s="13">
        <v>54.2</v>
      </c>
      <c r="X982" s="13">
        <v>10.5</v>
      </c>
      <c r="BY982" s="13" t="s">
        <v>3623</v>
      </c>
      <c r="BZ982" s="13" t="s">
        <v>3624</v>
      </c>
      <c r="CA982" s="13">
        <v>2024</v>
      </c>
      <c r="CB982" s="13" t="s">
        <v>162</v>
      </c>
      <c r="CC982" s="13" t="s">
        <v>3625</v>
      </c>
      <c r="CD982" s="13">
        <v>15</v>
      </c>
      <c r="CE982" s="13">
        <v>6</v>
      </c>
      <c r="CF982" s="13" t="s">
        <v>3626</v>
      </c>
      <c r="CG982" s="13" t="s">
        <v>3286</v>
      </c>
    </row>
    <row r="983" spans="1:85">
      <c r="A983" s="13" t="s">
        <v>3431</v>
      </c>
      <c r="C983" s="13" t="s">
        <v>4109</v>
      </c>
      <c r="D983" s="14" t="s">
        <v>2039</v>
      </c>
      <c r="G983" s="13" t="s">
        <v>673</v>
      </c>
      <c r="H983" s="13" t="s">
        <v>2273</v>
      </c>
      <c r="J983" s="14" t="s">
        <v>712</v>
      </c>
      <c r="K983" s="14" t="s">
        <v>4006</v>
      </c>
      <c r="L983" s="13" t="s">
        <v>4007</v>
      </c>
      <c r="M983" s="13" t="s">
        <v>4008</v>
      </c>
      <c r="N983" s="13">
        <v>288</v>
      </c>
      <c r="O983" s="2">
        <f t="shared" si="85"/>
        <v>0.56916996047430835</v>
      </c>
      <c r="R983" s="13">
        <v>506</v>
      </c>
      <c r="W983" s="13">
        <v>54.2</v>
      </c>
      <c r="X983" s="13">
        <v>10.5</v>
      </c>
      <c r="BY983" s="13" t="s">
        <v>3623</v>
      </c>
      <c r="BZ983" s="13" t="s">
        <v>3624</v>
      </c>
      <c r="CA983" s="13">
        <v>2024</v>
      </c>
      <c r="CB983" s="13" t="s">
        <v>162</v>
      </c>
      <c r="CC983" s="13" t="s">
        <v>3625</v>
      </c>
      <c r="CD983" s="13">
        <v>15</v>
      </c>
      <c r="CE983" s="13">
        <v>6</v>
      </c>
      <c r="CF983" s="13" t="s">
        <v>3626</v>
      </c>
      <c r="CG983" s="13" t="s">
        <v>3286</v>
      </c>
    </row>
    <row r="984" spans="1:85">
      <c r="A984" s="13" t="s">
        <v>3431</v>
      </c>
      <c r="C984" s="13" t="s">
        <v>4109</v>
      </c>
      <c r="D984" s="14" t="s">
        <v>2039</v>
      </c>
      <c r="G984" s="13" t="s">
        <v>673</v>
      </c>
      <c r="H984" s="13" t="s">
        <v>4014</v>
      </c>
      <c r="J984" s="14" t="s">
        <v>712</v>
      </c>
      <c r="K984" s="14" t="s">
        <v>4006</v>
      </c>
      <c r="L984" s="13" t="s">
        <v>4007</v>
      </c>
      <c r="M984" s="13" t="s">
        <v>4008</v>
      </c>
      <c r="N984" s="13">
        <v>288</v>
      </c>
      <c r="O984" s="2">
        <f t="shared" si="85"/>
        <v>0.56916996047430835</v>
      </c>
      <c r="R984" s="13">
        <v>506</v>
      </c>
      <c r="W984" s="13">
        <v>54.2</v>
      </c>
      <c r="X984" s="13">
        <v>10.5</v>
      </c>
      <c r="BY984" s="13" t="s">
        <v>3623</v>
      </c>
      <c r="BZ984" s="13" t="s">
        <v>3624</v>
      </c>
      <c r="CA984" s="13">
        <v>2024</v>
      </c>
      <c r="CB984" s="13" t="s">
        <v>162</v>
      </c>
      <c r="CC984" s="13" t="s">
        <v>3625</v>
      </c>
      <c r="CD984" s="13">
        <v>15</v>
      </c>
      <c r="CE984" s="13">
        <v>6</v>
      </c>
      <c r="CF984" s="13" t="s">
        <v>3626</v>
      </c>
      <c r="CG984" s="13" t="s">
        <v>3286</v>
      </c>
    </row>
    <row r="985" spans="1:85">
      <c r="A985" s="13" t="s">
        <v>3431</v>
      </c>
      <c r="C985" s="13" t="s">
        <v>4109</v>
      </c>
      <c r="D985" s="14" t="s">
        <v>2039</v>
      </c>
      <c r="G985" s="13" t="s">
        <v>673</v>
      </c>
      <c r="H985" s="13" t="s">
        <v>4015</v>
      </c>
      <c r="J985" s="14" t="s">
        <v>712</v>
      </c>
      <c r="K985" s="14" t="s">
        <v>4006</v>
      </c>
      <c r="L985" s="13" t="s">
        <v>4007</v>
      </c>
      <c r="M985" s="13" t="s">
        <v>4008</v>
      </c>
      <c r="N985" s="13">
        <v>288</v>
      </c>
      <c r="O985" s="2">
        <f t="shared" si="85"/>
        <v>0.56916996047430835</v>
      </c>
      <c r="R985" s="13">
        <v>506</v>
      </c>
      <c r="W985" s="13">
        <v>54.2</v>
      </c>
      <c r="X985" s="13">
        <v>10.5</v>
      </c>
      <c r="BY985" s="13" t="s">
        <v>3623</v>
      </c>
      <c r="BZ985" s="13" t="s">
        <v>3624</v>
      </c>
      <c r="CA985" s="13">
        <v>2024</v>
      </c>
      <c r="CB985" s="13" t="s">
        <v>162</v>
      </c>
      <c r="CC985" s="13" t="s">
        <v>3625</v>
      </c>
      <c r="CD985" s="13">
        <v>15</v>
      </c>
      <c r="CE985" s="13">
        <v>6</v>
      </c>
      <c r="CF985" s="13" t="s">
        <v>3626</v>
      </c>
      <c r="CG985" s="13" t="s">
        <v>3286</v>
      </c>
    </row>
    <row r="986" spans="1:85">
      <c r="A986" s="13" t="s">
        <v>3431</v>
      </c>
      <c r="C986" s="13" t="s">
        <v>4109</v>
      </c>
      <c r="D986" s="14" t="s">
        <v>2039</v>
      </c>
      <c r="G986" s="13" t="s">
        <v>673</v>
      </c>
      <c r="H986" s="13" t="s">
        <v>4016</v>
      </c>
      <c r="J986" s="14" t="s">
        <v>712</v>
      </c>
      <c r="K986" s="14" t="s">
        <v>4006</v>
      </c>
      <c r="L986" s="13" t="s">
        <v>4007</v>
      </c>
      <c r="M986" s="13" t="s">
        <v>4008</v>
      </c>
      <c r="N986" s="13">
        <v>288</v>
      </c>
      <c r="O986" s="2">
        <f t="shared" si="85"/>
        <v>0.56916996047430835</v>
      </c>
      <c r="R986" s="13">
        <v>506</v>
      </c>
      <c r="W986" s="13">
        <v>54.2</v>
      </c>
      <c r="X986" s="13">
        <v>10.5</v>
      </c>
      <c r="BY986" s="13" t="s">
        <v>3623</v>
      </c>
      <c r="BZ986" s="13" t="s">
        <v>3624</v>
      </c>
      <c r="CA986" s="13">
        <v>2024</v>
      </c>
      <c r="CB986" s="13" t="s">
        <v>162</v>
      </c>
      <c r="CC986" s="13" t="s">
        <v>3625</v>
      </c>
      <c r="CD986" s="13">
        <v>15</v>
      </c>
      <c r="CE986" s="13">
        <v>6</v>
      </c>
      <c r="CF986" s="13" t="s">
        <v>3626</v>
      </c>
      <c r="CG986" s="13" t="s">
        <v>3286</v>
      </c>
    </row>
    <row r="987" spans="1:85">
      <c r="A987" s="13" t="s">
        <v>3431</v>
      </c>
      <c r="C987" s="13" t="s">
        <v>4109</v>
      </c>
      <c r="D987" s="14" t="s">
        <v>2039</v>
      </c>
      <c r="G987" s="13" t="s">
        <v>673</v>
      </c>
      <c r="H987" s="13" t="s">
        <v>4017</v>
      </c>
      <c r="J987" s="14" t="s">
        <v>712</v>
      </c>
      <c r="K987" s="14" t="s">
        <v>4006</v>
      </c>
      <c r="L987" s="13" t="s">
        <v>4007</v>
      </c>
      <c r="M987" s="13" t="s">
        <v>4008</v>
      </c>
      <c r="N987" s="13">
        <v>288</v>
      </c>
      <c r="O987" s="2">
        <f t="shared" si="85"/>
        <v>0.56916996047430835</v>
      </c>
      <c r="R987" s="13">
        <v>506</v>
      </c>
      <c r="W987" s="13">
        <v>54.2</v>
      </c>
      <c r="X987" s="13">
        <v>10.5</v>
      </c>
      <c r="BY987" s="13" t="s">
        <v>3623</v>
      </c>
      <c r="BZ987" s="13" t="s">
        <v>3624</v>
      </c>
      <c r="CA987" s="13">
        <v>2024</v>
      </c>
      <c r="CB987" s="13" t="s">
        <v>162</v>
      </c>
      <c r="CC987" s="13" t="s">
        <v>3625</v>
      </c>
      <c r="CD987" s="13">
        <v>15</v>
      </c>
      <c r="CE987" s="13">
        <v>6</v>
      </c>
      <c r="CF987" s="13" t="s">
        <v>3626</v>
      </c>
      <c r="CG987" s="13" t="s">
        <v>3286</v>
      </c>
    </row>
    <row r="988" spans="1:85">
      <c r="A988" s="13" t="s">
        <v>3431</v>
      </c>
      <c r="C988" s="13" t="s">
        <v>4109</v>
      </c>
      <c r="D988" s="14" t="s">
        <v>2039</v>
      </c>
      <c r="G988" s="13" t="s">
        <v>673</v>
      </c>
      <c r="H988" s="13" t="s">
        <v>4018</v>
      </c>
      <c r="J988" s="14" t="s">
        <v>712</v>
      </c>
      <c r="K988" s="14" t="s">
        <v>4006</v>
      </c>
      <c r="L988" s="13" t="s">
        <v>4007</v>
      </c>
      <c r="M988" s="13" t="s">
        <v>4008</v>
      </c>
      <c r="N988" s="13">
        <v>288</v>
      </c>
      <c r="O988" s="2">
        <f t="shared" si="85"/>
        <v>0.56916996047430835</v>
      </c>
      <c r="R988" s="13">
        <v>506</v>
      </c>
      <c r="W988" s="13">
        <v>54.2</v>
      </c>
      <c r="X988" s="13">
        <v>10.5</v>
      </c>
      <c r="BY988" s="13" t="s">
        <v>3623</v>
      </c>
      <c r="BZ988" s="13" t="s">
        <v>3624</v>
      </c>
      <c r="CA988" s="13">
        <v>2024</v>
      </c>
      <c r="CB988" s="13" t="s">
        <v>162</v>
      </c>
      <c r="CC988" s="13" t="s">
        <v>3625</v>
      </c>
      <c r="CD988" s="13">
        <v>15</v>
      </c>
      <c r="CE988" s="13">
        <v>6</v>
      </c>
      <c r="CF988" s="13" t="s">
        <v>3626</v>
      </c>
      <c r="CG988" s="13" t="s">
        <v>3286</v>
      </c>
    </row>
    <row r="989" spans="1:85">
      <c r="A989" s="13" t="s">
        <v>3431</v>
      </c>
      <c r="C989" s="13" t="s">
        <v>4109</v>
      </c>
      <c r="D989" s="14" t="s">
        <v>2039</v>
      </c>
      <c r="G989" s="13" t="s">
        <v>673</v>
      </c>
      <c r="H989" s="13" t="s">
        <v>4023</v>
      </c>
      <c r="J989" s="14" t="s">
        <v>712</v>
      </c>
      <c r="K989" s="14" t="s">
        <v>4006</v>
      </c>
      <c r="L989" s="13" t="s">
        <v>4007</v>
      </c>
      <c r="M989" s="13" t="s">
        <v>4008</v>
      </c>
      <c r="N989" s="13">
        <v>288</v>
      </c>
      <c r="O989" s="2">
        <f t="shared" si="85"/>
        <v>0.56916996047430835</v>
      </c>
      <c r="R989" s="13">
        <v>506</v>
      </c>
      <c r="W989" s="13">
        <v>54.2</v>
      </c>
      <c r="X989" s="13">
        <v>10.5</v>
      </c>
      <c r="BY989" s="13" t="s">
        <v>3623</v>
      </c>
      <c r="BZ989" s="13" t="s">
        <v>3624</v>
      </c>
      <c r="CA989" s="13">
        <v>2024</v>
      </c>
      <c r="CB989" s="13" t="s">
        <v>162</v>
      </c>
      <c r="CC989" s="13" t="s">
        <v>3625</v>
      </c>
      <c r="CD989" s="13">
        <v>15</v>
      </c>
      <c r="CE989" s="13">
        <v>6</v>
      </c>
      <c r="CF989" s="13" t="s">
        <v>3626</v>
      </c>
      <c r="CG989" s="13" t="s">
        <v>3286</v>
      </c>
    </row>
    <row r="990" spans="1:85">
      <c r="A990" s="13" t="s">
        <v>3431</v>
      </c>
      <c r="C990" s="13" t="s">
        <v>4109</v>
      </c>
      <c r="D990" s="14" t="s">
        <v>2039</v>
      </c>
      <c r="G990" s="13" t="s">
        <v>673</v>
      </c>
      <c r="H990" s="13" t="s">
        <v>4019</v>
      </c>
      <c r="J990" s="14" t="s">
        <v>712</v>
      </c>
      <c r="K990" s="14" t="s">
        <v>4006</v>
      </c>
      <c r="L990" s="13" t="s">
        <v>4007</v>
      </c>
      <c r="M990" s="13" t="s">
        <v>4008</v>
      </c>
      <c r="N990" s="13">
        <v>288</v>
      </c>
      <c r="O990" s="2">
        <f t="shared" si="85"/>
        <v>0.56916996047430835</v>
      </c>
      <c r="R990" s="13">
        <v>506</v>
      </c>
      <c r="W990" s="13">
        <v>54.2</v>
      </c>
      <c r="X990" s="13">
        <v>10.5</v>
      </c>
      <c r="BY990" s="13" t="s">
        <v>3623</v>
      </c>
      <c r="BZ990" s="13" t="s">
        <v>3624</v>
      </c>
      <c r="CA990" s="13">
        <v>2024</v>
      </c>
      <c r="CB990" s="13" t="s">
        <v>162</v>
      </c>
      <c r="CC990" s="13" t="s">
        <v>3625</v>
      </c>
      <c r="CD990" s="13">
        <v>15</v>
      </c>
      <c r="CE990" s="13">
        <v>6</v>
      </c>
      <c r="CF990" s="13" t="s">
        <v>3626</v>
      </c>
      <c r="CG990" s="13" t="s">
        <v>3286</v>
      </c>
    </row>
    <row r="991" spans="1:85">
      <c r="A991" s="13" t="s">
        <v>3431</v>
      </c>
      <c r="C991" s="13" t="s">
        <v>4109</v>
      </c>
      <c r="D991" s="14" t="s">
        <v>2039</v>
      </c>
      <c r="G991" s="13" t="s">
        <v>673</v>
      </c>
      <c r="H991" s="13" t="s">
        <v>4020</v>
      </c>
      <c r="J991" s="14" t="s">
        <v>712</v>
      </c>
      <c r="K991" s="14" t="s">
        <v>4006</v>
      </c>
      <c r="L991" s="13" t="s">
        <v>4007</v>
      </c>
      <c r="M991" s="13" t="s">
        <v>4008</v>
      </c>
      <c r="N991" s="13">
        <v>288</v>
      </c>
      <c r="O991" s="2">
        <f t="shared" si="85"/>
        <v>0.56916996047430835</v>
      </c>
      <c r="R991" s="13">
        <v>506</v>
      </c>
      <c r="W991" s="13">
        <v>54.2</v>
      </c>
      <c r="X991" s="13">
        <v>10.5</v>
      </c>
      <c r="BY991" s="13" t="s">
        <v>3623</v>
      </c>
      <c r="BZ991" s="13" t="s">
        <v>3624</v>
      </c>
      <c r="CA991" s="13">
        <v>2024</v>
      </c>
      <c r="CB991" s="13" t="s">
        <v>162</v>
      </c>
      <c r="CC991" s="13" t="s">
        <v>3625</v>
      </c>
      <c r="CD991" s="13">
        <v>15</v>
      </c>
      <c r="CE991" s="13">
        <v>6</v>
      </c>
      <c r="CF991" s="13" t="s">
        <v>3626</v>
      </c>
      <c r="CG991" s="13" t="s">
        <v>3286</v>
      </c>
    </row>
    <row r="992" spans="1:85">
      <c r="A992" s="13" t="s">
        <v>3431</v>
      </c>
      <c r="C992" s="13" t="s">
        <v>4109</v>
      </c>
      <c r="D992" s="14" t="s">
        <v>2039</v>
      </c>
      <c r="G992" s="13" t="s">
        <v>673</v>
      </c>
      <c r="H992" s="13" t="s">
        <v>4021</v>
      </c>
      <c r="J992" s="14" t="s">
        <v>712</v>
      </c>
      <c r="K992" s="14" t="s">
        <v>4006</v>
      </c>
      <c r="L992" s="13" t="s">
        <v>4007</v>
      </c>
      <c r="M992" s="13" t="s">
        <v>4008</v>
      </c>
      <c r="N992" s="13">
        <v>288</v>
      </c>
      <c r="O992" s="2">
        <f t="shared" si="85"/>
        <v>0.56916996047430835</v>
      </c>
      <c r="R992" s="13">
        <v>506</v>
      </c>
      <c r="W992" s="13">
        <v>54.2</v>
      </c>
      <c r="X992" s="13">
        <v>10.5</v>
      </c>
      <c r="BY992" s="13" t="s">
        <v>3623</v>
      </c>
      <c r="BZ992" s="13" t="s">
        <v>3624</v>
      </c>
      <c r="CA992" s="13">
        <v>2024</v>
      </c>
      <c r="CB992" s="13" t="s">
        <v>162</v>
      </c>
      <c r="CC992" s="13" t="s">
        <v>3625</v>
      </c>
      <c r="CD992" s="13">
        <v>15</v>
      </c>
      <c r="CE992" s="13">
        <v>6</v>
      </c>
      <c r="CF992" s="13" t="s">
        <v>3626</v>
      </c>
      <c r="CG992" s="13" t="s">
        <v>3286</v>
      </c>
    </row>
    <row r="993" spans="1:85">
      <c r="A993" s="13" t="s">
        <v>3431</v>
      </c>
      <c r="C993" s="13" t="s">
        <v>4109</v>
      </c>
      <c r="D993" s="14" t="s">
        <v>2039</v>
      </c>
      <c r="G993" s="13" t="s">
        <v>673</v>
      </c>
      <c r="H993" s="13" t="s">
        <v>2337</v>
      </c>
      <c r="J993" s="14" t="s">
        <v>712</v>
      </c>
      <c r="K993" s="14" t="s">
        <v>4006</v>
      </c>
      <c r="L993" s="13" t="s">
        <v>4007</v>
      </c>
      <c r="M993" s="13" t="s">
        <v>4008</v>
      </c>
      <c r="N993" s="13">
        <v>288</v>
      </c>
      <c r="O993" s="2">
        <f t="shared" si="85"/>
        <v>0.56916996047430835</v>
      </c>
      <c r="R993" s="13">
        <v>506</v>
      </c>
      <c r="W993" s="13">
        <v>54.2</v>
      </c>
      <c r="X993" s="13">
        <v>10.5</v>
      </c>
      <c r="AG993" s="13" t="s">
        <v>2376</v>
      </c>
      <c r="BY993" s="13" t="s">
        <v>3623</v>
      </c>
      <c r="BZ993" s="13" t="s">
        <v>3624</v>
      </c>
      <c r="CA993" s="13">
        <v>2024</v>
      </c>
      <c r="CB993" s="13" t="s">
        <v>162</v>
      </c>
      <c r="CC993" s="13" t="s">
        <v>3625</v>
      </c>
      <c r="CD993" s="13">
        <v>15</v>
      </c>
      <c r="CE993" s="13">
        <v>6</v>
      </c>
      <c r="CF993" s="13" t="s">
        <v>3626</v>
      </c>
      <c r="CG993" s="13" t="s">
        <v>3286</v>
      </c>
    </row>
    <row r="994" spans="1:85">
      <c r="A994" s="13" t="s">
        <v>3431</v>
      </c>
      <c r="C994" s="13" t="s">
        <v>4109</v>
      </c>
      <c r="D994" s="14" t="s">
        <v>2039</v>
      </c>
      <c r="G994" s="13" t="s">
        <v>673</v>
      </c>
      <c r="H994" s="13" t="s">
        <v>2545</v>
      </c>
      <c r="J994" s="14" t="s">
        <v>712</v>
      </c>
      <c r="K994" s="14" t="s">
        <v>4006</v>
      </c>
      <c r="L994" s="13" t="s">
        <v>4007</v>
      </c>
      <c r="M994" s="13" t="s">
        <v>4008</v>
      </c>
      <c r="N994" s="13">
        <v>288</v>
      </c>
      <c r="O994" s="2">
        <f t="shared" si="85"/>
        <v>0.56916996047430835</v>
      </c>
      <c r="R994" s="13">
        <v>506</v>
      </c>
      <c r="W994" s="13">
        <v>54.2</v>
      </c>
      <c r="X994" s="13">
        <v>10.5</v>
      </c>
      <c r="AG994" s="13" t="s">
        <v>2512</v>
      </c>
      <c r="BY994" s="13" t="s">
        <v>3623</v>
      </c>
      <c r="BZ994" s="13" t="s">
        <v>3624</v>
      </c>
      <c r="CA994" s="13">
        <v>2024</v>
      </c>
      <c r="CB994" s="13" t="s">
        <v>162</v>
      </c>
      <c r="CC994" s="13" t="s">
        <v>3625</v>
      </c>
      <c r="CD994" s="13">
        <v>15</v>
      </c>
      <c r="CE994" s="13">
        <v>6</v>
      </c>
      <c r="CF994" s="13" t="s">
        <v>3626</v>
      </c>
      <c r="CG994" s="13" t="s">
        <v>3286</v>
      </c>
    </row>
    <row r="995" spans="1:85">
      <c r="A995" s="13" t="s">
        <v>3431</v>
      </c>
      <c r="C995" s="13" t="s">
        <v>4109</v>
      </c>
      <c r="D995" s="14" t="s">
        <v>2039</v>
      </c>
      <c r="G995" s="13" t="s">
        <v>673</v>
      </c>
      <c r="H995" s="13" t="s">
        <v>3983</v>
      </c>
      <c r="J995" s="14" t="s">
        <v>712</v>
      </c>
      <c r="K995" s="14" t="s">
        <v>4006</v>
      </c>
      <c r="L995" s="13" t="s">
        <v>4007</v>
      </c>
      <c r="M995" s="13" t="s">
        <v>4008</v>
      </c>
      <c r="N995" s="13">
        <v>288</v>
      </c>
      <c r="O995" s="2">
        <f t="shared" si="85"/>
        <v>0.56916996047430835</v>
      </c>
      <c r="R995" s="13">
        <v>506</v>
      </c>
      <c r="W995" s="13">
        <v>54.2</v>
      </c>
      <c r="X995" s="13">
        <v>10.5</v>
      </c>
      <c r="BY995" s="13" t="s">
        <v>3623</v>
      </c>
      <c r="BZ995" s="13" t="s">
        <v>3624</v>
      </c>
      <c r="CA995" s="13">
        <v>2024</v>
      </c>
      <c r="CB995" s="13" t="s">
        <v>162</v>
      </c>
      <c r="CC995" s="13" t="s">
        <v>3625</v>
      </c>
      <c r="CD995" s="13">
        <v>15</v>
      </c>
      <c r="CE995" s="13">
        <v>6</v>
      </c>
      <c r="CF995" s="13" t="s">
        <v>3626</v>
      </c>
      <c r="CG995" s="13" t="s">
        <v>3286</v>
      </c>
    </row>
    <row r="996" spans="1:85">
      <c r="A996" s="13" t="s">
        <v>3432</v>
      </c>
      <c r="C996" s="13" t="s">
        <v>3357</v>
      </c>
      <c r="D996" s="14" t="s">
        <v>831</v>
      </c>
      <c r="G996" s="13" t="s">
        <v>673</v>
      </c>
      <c r="H996" s="13" t="s">
        <v>4024</v>
      </c>
      <c r="J996" s="14" t="s">
        <v>703</v>
      </c>
      <c r="K996" s="14" t="s">
        <v>4025</v>
      </c>
      <c r="L996" s="13" t="s">
        <v>2362</v>
      </c>
      <c r="M996" s="13" t="s">
        <v>4026</v>
      </c>
      <c r="N996" s="13">
        <v>13</v>
      </c>
      <c r="O996" s="2">
        <f t="shared" si="85"/>
        <v>0.61904761904761907</v>
      </c>
      <c r="R996" s="13">
        <v>21</v>
      </c>
      <c r="W996" s="13">
        <v>55.55</v>
      </c>
      <c r="X996" s="13">
        <v>12.88</v>
      </c>
      <c r="BY996" s="13" t="s">
        <v>3627</v>
      </c>
      <c r="BZ996" s="13" t="s">
        <v>3628</v>
      </c>
      <c r="CA996" s="13">
        <v>2024</v>
      </c>
      <c r="CC996" s="13" t="s">
        <v>3629</v>
      </c>
      <c r="CD996" s="13">
        <v>15</v>
      </c>
      <c r="CF996" s="13">
        <v>1508974</v>
      </c>
      <c r="CG996" s="13" t="s">
        <v>3287</v>
      </c>
    </row>
  </sheetData>
  <autoFilter ref="A1:CG996" xr:uid="{0DA9E8B3-7A48-C84E-9A7D-37D1674A4878}">
    <sortState xmlns:xlrd2="http://schemas.microsoft.com/office/spreadsheetml/2017/richdata2" ref="A2:CG996">
      <sortCondition ref="C1:C996"/>
    </sortState>
  </autoFilter>
  <phoneticPr fontId="2"/>
  <conditionalFormatting sqref="C1:I31 B1:B112 BY1:BY112 O2:T13 U31:AC31 AD31:AG34 AB32:AC34 U32:AA47 G42:I42 G43:H43 G44:I46 E45:E46 BN51:BQ52 C72:I73 U76:Z83 AB76:AG87 AA76:AA112 G77:I95 U84:V95 X84:Z95 BS96:BS99 U96:Z112 G100:I111 AH102:AL102 AB102:AG107 AH103:AO103 F112:I112 G113:I115 U114:X114 R114:T115 M114:M121 AA114:AA160 A114:B205 U115:Z160 AB115:AG160 G116:G119 T116:T119 G120:I142 R120:T160 M123 G144:I144 G146:I146 G148:I148 G150:I150 G154:I156 G160:I161 U161:AG161 AA162:AG164 U162:Z205 G164:I188 AA165:AC170 AD165:AE172 AF165:AG175 AC171:AC172 AA171:AB175 AC173:AE175 AA176:AG177 AA188:AG205 AH191:AO191 U208:AG216 BY208:BY390 AH214:AQ214 BN215:BR220 AA221:AB221 G221:I232 U221:Z232 AB222:AC222 AA223:AB224 AC224:AG224 M225:M232 AA225:AG232 E233:I235 C234:C235 M235 AA235:AD235 AE235:AG238 U235:Z256 R235:T322 AC236:AD238 AA236:AB249 AC239:AG249 G247:I256 AA250:AG333 U257:V257 Y257:Z257 G258:I267 U258:Z322 G269:I271 F271 I304:I307 M309:M333 AH314:AI314 AK314:AL314 AN314:AO314 AH317:AI317 AK317:AL317 AN317:AO317 AH320:AI320 AK320:AL320 AN320:AO320 T323 X323:Z323 R324:Z333 G324:I344 M339:M340 U339:AG342 AH339:AJ344 U343:V344 Y343:Z344 AA343:AG351 M345:M351 U345:Z351 G347:I374 M354:M360 R354:Z388 K359:K363 C364:E369 AC375:AD375 AF375:AG375 AQ375 AU375:BA375 G376:I377 AA379:AD390 G381:G382 L383:L384 G384:I388 D389:D390 Y389:Z390 AE389:AG390 BG389:BG390 BR389:BR390 C390 V390 Z391:AG396 BG397:BG400 BR397:BR400 V401:W405 BC401:BC405 I406:I411 L406:L447 B406:B742 E439:E454 U441:V456 Y443:AA452 F455:F456 Q457 Y457:Y459 BB457:BC459 BG457:BG459 BR457:BR459 T457:T464 V457:V464 P458:Q459 BC460:BC464 O460:O472 Q460:Q472 BB473:BG476 BR473:BR477 Y473:Y479 N473:Q490 T473:T490 V473:V490 BM473:BM490 BB477 BD477:BG477 Z478:Z479 BB478:BG490 Y480:Z517 BG491:BG517 BR491:BR517 BC491:BC628 O491:O742 Q491:Q742 Z518:Z615 BJ523 BC630:BC676 BN630:BN676 BC679:BC685 BN679:BN685 T727:T729 BY727:BY729">
    <cfRule type="expression" dxfId="38" priority="48" stopIfTrue="1">
      <formula>CELL("ROW")=ROW()</formula>
    </cfRule>
  </conditionalFormatting>
  <conditionalFormatting sqref="D743">
    <cfRule type="expression" dxfId="37" priority="9" stopIfTrue="1">
      <formula>CELL("ROW")=ROW()</formula>
    </cfRule>
  </conditionalFormatting>
  <conditionalFormatting sqref="D750">
    <cfRule type="expression" dxfId="36" priority="8" stopIfTrue="1">
      <formula>CELL("ROW")=ROW()</formula>
    </cfRule>
  </conditionalFormatting>
  <conditionalFormatting sqref="D822">
    <cfRule type="expression" dxfId="35" priority="7" stopIfTrue="1">
      <formula>CELL("ROW")=ROW()</formula>
    </cfRule>
  </conditionalFormatting>
  <conditionalFormatting sqref="D827">
    <cfRule type="expression" dxfId="34" priority="6" stopIfTrue="1">
      <formula>CELL("ROW")=ROW()</formula>
    </cfRule>
  </conditionalFormatting>
  <conditionalFormatting sqref="D862">
    <cfRule type="expression" dxfId="33" priority="5" stopIfTrue="1">
      <formula>CELL("ROW")=ROW()</formula>
    </cfRule>
  </conditionalFormatting>
  <conditionalFormatting sqref="D892:D893">
    <cfRule type="expression" dxfId="32" priority="3" stopIfTrue="1">
      <formula>CELL("ROW")=ROW()</formula>
    </cfRule>
  </conditionalFormatting>
  <conditionalFormatting sqref="D932">
    <cfRule type="expression" dxfId="31" priority="2" stopIfTrue="1">
      <formula>CELL("ROW")=ROW()</formula>
    </cfRule>
  </conditionalFormatting>
  <conditionalFormatting sqref="D955">
    <cfRule type="expression" dxfId="30" priority="1" stopIfTrue="1">
      <formula>CELL("ROW")=ROW()</formula>
    </cfRule>
  </conditionalFormatting>
  <conditionalFormatting sqref="G406:G412 C412:F412 H412:I412 C413:I414 D415:I425 M421:M447 E426:I438 G439:I456">
    <cfRule type="expression" dxfId="29" priority="46" stopIfTrue="1">
      <formula>CELL("ROW")=ROW()</formula>
    </cfRule>
  </conditionalFormatting>
  <conditionalFormatting sqref="H402">
    <cfRule type="expression" dxfId="28" priority="30" stopIfTrue="1">
      <formula>CELL("ROW")=ROW()</formula>
    </cfRule>
  </conditionalFormatting>
  <conditionalFormatting sqref="H730:H739">
    <cfRule type="expression" dxfId="27" priority="29" stopIfTrue="1">
      <formula>CELL("ROW")=ROW()</formula>
    </cfRule>
  </conditionalFormatting>
  <conditionalFormatting sqref="J1:BI1 A1:A113 J2:J25 M2:M34 L2:L36 N14:T47 J26:K27 J28:J29 J30:K30 J31:J37 B32:I37 B38:G38 J38:L38 J39:J40 B39:I41 J41:K41 L41:M44 B42:E44 B45:C46 J45:K49 B47:I61 L48:M48 N48:BI61 J50:M50 J51:J58 L53:M58 J59:M61 B62:E63 G62:J63 N62:BA71 B64:K69 L64:M71 B70:E71 G70:I71 J70:J75 L72:BI75 B74:I76 J76:K95 L76:T99 B77:E95 B96:J99 B100:E112 J100:T112 L113:X113 B113:D114 L114 N114:Q160 J115:L119 B115:E142 L120:L121 J120:K151 L125:M126 L130:M131 L135:M137 B143:I143 B144:E144 B145:I145 B146:E146 B147:I147 B148:E148 B149:I149 B150:E150 L151:L152 B151:I153 M151:M154 J152 J153:L154 B154:E156 J155:K155 J156 B157:C157 E157:K157 B158:I159 J158:M173 B160:E161 N161:T205 B162:I163 B164:E188 J174:K187 L178:M178 L183:M183 J188:M202 B189:I192 B193:D202 H193:I202 B203:E208 G203:K208 A204 N204:AF204 N206:AF207 A206:A351 N208:T232 B208:B363 J209:M214 B209:I220 J215:K220 J221:M223 B221:E232 J224:K224 J225:L235 B233:C233 M233:AF234 N235:Q333 B236:E242 G236:K242 B243:M246 J247:M252 B247:E256 J253:K257 B257:I257 L257:M261 J258:J261 B258:E267 J262:K263 J264:M267 B268:I268 J268:K273 B269:E271 B272:I273 B274:E275 G274:M275 J276:J278 B276:I303 J279:M307 B304:G307 B308:C308 E308:K308 J309:K310 B309:I323 L309:L340 K311:K322 J323:J345 B324:E344 M334:AF338 N339:T351 L343:N344 B345:I346 L345:L360 J346:K358 B347:E347 B348:D351 A352:D353 M352:BA353 B354:E363 N354:Q390 J359:J374 L364:M380 B370:E374 B370:B390 B375:I375 J375:K376 B376:E377 J377 B378:I380 J378:K384 B381:E382 I381:I382 B383:D383 F383:I383 M383:M388 B384:E384 B385:D388 J385:L388 J389:K400 L390:M390 L391:Q398 B391:D405 L399:L400 M399:Q412 J401:L405 B406:E411 J406:K438 M413:BA418 N419:T448 J439:J446 J447:K459 D448 M449:T456 L449:L472 N457:P459 J460:J464 J465:K472 J473:L488 J489 L489:L615 J490:K506">
    <cfRule type="expression" dxfId="26" priority="10" stopIfTrue="1">
      <formula>CELL("ROW")=ROW()</formula>
    </cfRule>
  </conditionalFormatting>
  <conditionalFormatting sqref="M477:M517">
    <cfRule type="expression" dxfId="25" priority="31" stopIfTrue="1">
      <formula>CELL("ROW")=ROW()</formula>
    </cfRule>
  </conditionalFormatting>
  <conditionalFormatting sqref="U2:AF30 AG2:BA34 AB35:BA40 BB62:BG63 AH76:BA101 AG77:AG103 AB88:AF101 BB96:BF99 AU102:BA102 AQ103:BA103 AG104:BA107 AB108:BA112 AH115:BA190 AG115:AG273 BB178:BG178 AA178:AF187 BB179:BH182 BB183:BG183 BB184:BH187 AU191:BA191 AH192:BA213 BB203:BF208 AS214:BA214 AH215:BA267 U217:AF220 AC221:AF223 BB221:BB223 AM268:BA273 AG274:BA303 AH311:BA313 AG311:AG344 AQ314:BA314 AH315:BA316 AQ317:BA317 AH318:BA319 AQ320:BA320 AH321:BA322 AU323:BA323 AH324:BA338 AL339:BA344 AG345:BA351 BB354:BH357 AA354:BA374 AA376:BA378 AE379:BA388 R406:BA412 U419:BA440 Y441:BA442 AD443:BA456">
    <cfRule type="expression" dxfId="24" priority="16" stopIfTrue="1">
      <formula>CELL("ROW")=ROW()</formula>
    </cfRule>
  </conditionalFormatting>
  <conditionalFormatting sqref="BJ1:BJ31 BB2:BI31 BB32:BH33 BB34:BI38 BJ34:BJ390 D727:D728">
    <cfRule type="expression" dxfId="23" priority="37" stopIfTrue="1">
      <formula>CELL("ROW")=ROW()</formula>
    </cfRule>
  </conditionalFormatting>
  <conditionalFormatting sqref="BM1:BW48 BK1:BL353 BX32:BX38 BC39:BI40 BX41 AB41:BI47 BX43:BX44 BX47:BX50 BN49:BW50 BM49:BM61 BN53:BX61 BI62:BI63 BM62:BR63 BX64 BB64:BI71 BM64:BW75 BD76:BI76 BX77:BX86 BB77:BI95 BM77:BW95 BX88:BX95 BH96:BI99 BM96:BQ99 BB100:BI112 BM100:BW207 BX108:BX111 AA113:BI113 AB114:BI114 BX114 BB115:BI177 BX116:BX134 BX136 BX138:BX150 BX153:BX205 BH178:BI187 BB188:BI202 BH203:BI208 BN208:BX214 BM208:BM223 BB209:BI220 BT215:BW220 BD221:BI223 BX224:BX232 BM224:BW234 BB224:BI303 BX235:BX275 BM235:BM344 BN235:BW358 BX279:BX313 AH304:BI307 AG308:BI308 AH309:BI310 BB311:BI344 BX323:BX344 BC345:BI345 BX346:BX347 BB346:BI353 BM346:BM358 BX354:BX388 BB358:BI374 BK358:BL390 BO359:BW388 BD375:BI375 BB376:BI388 BI389:BI390 BM397 BI397:BL405 BT397:BW405 BX406:BX412 BB406:BL446 BO406:BW456 BX441:BX456 BB447 BB448:BL456 D457:D477 F477:F490 BU478:BU523">
    <cfRule type="expression" dxfId="22" priority="36" stopIfTrue="1">
      <formula>CELL("ROW")=ROW()</formula>
    </cfRule>
  </conditionalFormatting>
  <conditionalFormatting sqref="BX1:CG31 BZ32:CG71 BT51:BY52 BT62:BY63 BX72:CG75 BO76:CG76 BZ77:CG112 BX113:CG113 BY114:CG205 BX204:CF204 BX206:CG207 BZ208:CG232 BO221:BY223 BX233:CG234 BZ235:CG388 BX314:BY322 BX345:BY345 A354:A742 BM359:BN363 BM364:BM390 BN364:BN397 BT389:BY390 BC389:BC398 T389:T405 V391:X400 BX391:BY400 Y397:AG405 BY397:BY615 BM399:BN446 BZ406:CG411 BX413:BY440 BD447:BM447 BM448:BN459 BX457:BY459 BN473:BN476 BX473:BY490 BO477:BQ477 BO478:BR490 BN478:BN628">
    <cfRule type="expression" dxfId="21" priority="26" stopIfTrue="1">
      <formula>CELL("ROW")=ROW()</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ECBB-5070-1342-8222-BF2190150075}">
  <dimension ref="A1:DE871"/>
  <sheetViews>
    <sheetView zoomScale="75" zoomScaleNormal="400" workbookViewId="0">
      <pane xSplit="6" ySplit="1" topLeftCell="BU833" activePane="bottomRight" state="frozen"/>
      <selection pane="topRight" activeCell="I1" sqref="I1"/>
      <selection pane="bottomLeft" activeCell="A2" sqref="A2"/>
      <selection pane="bottomRight" activeCell="CK1" sqref="CK1:CK1048576"/>
    </sheetView>
  </sheetViews>
  <sheetFormatPr baseColWidth="10" defaultColWidth="8.85546875" defaultRowHeight="18"/>
  <cols>
    <col min="1" max="1" width="5.85546875" style="14" customWidth="1"/>
    <col min="2" max="2" width="6.42578125" style="14" customWidth="1"/>
    <col min="3" max="3" width="17.140625" style="14" customWidth="1"/>
    <col min="4" max="4" width="8" style="14" customWidth="1"/>
    <col min="5" max="5" width="8.85546875" style="14"/>
    <col min="6" max="6" width="11.140625" style="14" customWidth="1"/>
    <col min="7" max="8" width="8.85546875" style="14"/>
    <col min="9" max="9" width="13.85546875" style="14" customWidth="1"/>
    <col min="10" max="10" width="8.85546875" style="14"/>
    <col min="11" max="11" width="4.7109375" style="14" customWidth="1"/>
    <col min="12" max="12" width="8.85546875" style="14"/>
    <col min="13" max="13" width="10.85546875" style="14" customWidth="1"/>
    <col min="14" max="14" width="8.85546875" style="14"/>
    <col min="15" max="15" width="8.85546875" style="34"/>
    <col min="16" max="21" width="8.85546875" style="14"/>
    <col min="22" max="22" width="11.140625" style="14" customWidth="1"/>
    <col min="23" max="29" width="8.85546875" style="14"/>
    <col min="30" max="30" width="8.85546875" style="34"/>
    <col min="31" max="46" width="8.85546875" style="35"/>
    <col min="47" max="47" width="8.85546875" style="14" customWidth="1"/>
    <col min="48" max="49" width="8.85546875" style="14"/>
    <col min="50" max="50" width="9.140625" style="14" bestFit="1" customWidth="1"/>
    <col min="51" max="51" width="11.140625" style="14" bestFit="1" customWidth="1"/>
    <col min="52" max="52" width="9" style="14" customWidth="1"/>
    <col min="53" max="53" width="9" style="29" customWidth="1"/>
    <col min="54" max="56" width="9" style="14" customWidth="1"/>
    <col min="57" max="57" width="12.7109375" style="29" customWidth="1"/>
    <col min="58" max="58" width="6.7109375" style="29" customWidth="1"/>
    <col min="59" max="59" width="9.140625" style="14" customWidth="1"/>
    <col min="60" max="61" width="8.85546875" style="14"/>
    <col min="62" max="62" width="8.85546875" style="29" customWidth="1"/>
    <col min="63" max="65" width="8.85546875" style="14" customWidth="1"/>
    <col min="66" max="66" width="12.85546875" style="14" customWidth="1"/>
    <col min="67" max="68" width="10.28515625" style="14" customWidth="1"/>
    <col min="69" max="69" width="8.85546875" style="14"/>
    <col min="70" max="70" width="9" style="14" customWidth="1"/>
    <col min="71" max="73" width="10.28515625" style="14" customWidth="1"/>
    <col min="74" max="80" width="8.85546875" style="14" customWidth="1"/>
    <col min="81" max="81" width="8.85546875" style="14"/>
    <col min="82" max="84" width="8.85546875" style="14" customWidth="1"/>
    <col min="85" max="85" width="8.85546875" style="14"/>
    <col min="86" max="87" width="8.85546875" style="14" customWidth="1"/>
    <col min="88" max="88" width="8.85546875" style="14"/>
    <col min="89" max="91" width="10.140625" style="14" customWidth="1"/>
    <col min="92" max="92" width="8.85546875" style="14"/>
    <col min="93" max="94" width="10.140625" style="14" customWidth="1"/>
    <col min="95" max="99" width="8.85546875" style="14" customWidth="1"/>
    <col min="100" max="100" width="15.85546875" style="14" customWidth="1"/>
    <col min="101" max="103" width="8.85546875" style="14"/>
    <col min="104" max="104" width="10.5703125" style="36" customWidth="1"/>
    <col min="105" max="16384" width="8.85546875" style="14"/>
  </cols>
  <sheetData>
    <row r="1" spans="1:109" s="9" customFormat="1" ht="23">
      <c r="A1" s="9" t="s">
        <v>2935</v>
      </c>
      <c r="B1" s="9" t="s">
        <v>2139</v>
      </c>
      <c r="C1" s="9" t="s">
        <v>9</v>
      </c>
      <c r="D1" s="9" t="s">
        <v>816</v>
      </c>
      <c r="E1" s="9" t="s">
        <v>671</v>
      </c>
      <c r="F1" s="9" t="s">
        <v>1954</v>
      </c>
      <c r="G1" s="9" t="s">
        <v>668</v>
      </c>
      <c r="H1" s="9" t="s">
        <v>2129</v>
      </c>
      <c r="I1" s="9" t="s">
        <v>2778</v>
      </c>
      <c r="J1" s="9" t="s">
        <v>2130</v>
      </c>
      <c r="K1" s="9" t="s">
        <v>2209</v>
      </c>
      <c r="L1" s="9" t="s">
        <v>640</v>
      </c>
      <c r="M1" s="9" t="s">
        <v>2131</v>
      </c>
      <c r="N1" s="32" t="s">
        <v>2208</v>
      </c>
      <c r="O1" s="10" t="s">
        <v>659</v>
      </c>
      <c r="P1" s="9" t="s">
        <v>2132</v>
      </c>
      <c r="Q1" s="9" t="s">
        <v>2133</v>
      </c>
      <c r="R1" s="9" t="s">
        <v>2134</v>
      </c>
      <c r="S1" s="9" t="s">
        <v>2135</v>
      </c>
      <c r="T1" s="9" t="s">
        <v>660</v>
      </c>
      <c r="U1" s="9" t="s">
        <v>661</v>
      </c>
      <c r="V1" s="9" t="s">
        <v>4187</v>
      </c>
      <c r="W1" s="9" t="s">
        <v>4188</v>
      </c>
      <c r="X1" s="9" t="s">
        <v>4171</v>
      </c>
      <c r="Y1" s="9" t="s">
        <v>2232</v>
      </c>
      <c r="Z1" s="9" t="s">
        <v>2236</v>
      </c>
      <c r="AA1" s="9" t="s">
        <v>2237</v>
      </c>
      <c r="AB1" s="9" t="s">
        <v>2238</v>
      </c>
      <c r="AC1" s="9" t="s">
        <v>2233</v>
      </c>
      <c r="AD1" s="10" t="s">
        <v>3656</v>
      </c>
      <c r="AE1" s="11" t="s">
        <v>2234</v>
      </c>
      <c r="AF1" s="11" t="s">
        <v>2235</v>
      </c>
      <c r="AG1" s="11" t="s">
        <v>2239</v>
      </c>
      <c r="AH1" s="11" t="s">
        <v>2240</v>
      </c>
      <c r="AI1" s="11" t="s">
        <v>2241</v>
      </c>
      <c r="AJ1" s="11" t="s">
        <v>2251</v>
      </c>
      <c r="AK1" s="11" t="s">
        <v>2252</v>
      </c>
      <c r="AL1" s="11" t="s">
        <v>2253</v>
      </c>
      <c r="AM1" s="11" t="s">
        <v>2254</v>
      </c>
      <c r="AN1" s="11" t="s">
        <v>4172</v>
      </c>
      <c r="AO1" s="11" t="s">
        <v>2255</v>
      </c>
      <c r="AP1" s="11" t="s">
        <v>2256</v>
      </c>
      <c r="AQ1" s="11" t="s">
        <v>2257</v>
      </c>
      <c r="AR1" s="11" t="s">
        <v>2258</v>
      </c>
      <c r="AS1" s="11" t="s">
        <v>2259</v>
      </c>
      <c r="AT1" s="11" t="s">
        <v>2850</v>
      </c>
      <c r="AU1" s="9" t="s">
        <v>2446</v>
      </c>
      <c r="AV1" s="9" t="s">
        <v>2266</v>
      </c>
      <c r="AW1" s="9" t="s">
        <v>2473</v>
      </c>
      <c r="AX1" s="9" t="s">
        <v>2226</v>
      </c>
      <c r="AY1" s="9" t="s">
        <v>3188</v>
      </c>
      <c r="AZ1" s="9" t="s">
        <v>3192</v>
      </c>
      <c r="BA1" s="12" t="s">
        <v>2315</v>
      </c>
      <c r="BB1" s="9" t="s">
        <v>2229</v>
      </c>
      <c r="BC1" s="9" t="s">
        <v>3189</v>
      </c>
      <c r="BD1" s="9" t="s">
        <v>3193</v>
      </c>
      <c r="BE1" s="12" t="s">
        <v>2128</v>
      </c>
      <c r="BF1" s="12" t="s">
        <v>2474</v>
      </c>
      <c r="BG1" s="9" t="s">
        <v>2227</v>
      </c>
      <c r="BH1" s="9" t="s">
        <v>3190</v>
      </c>
      <c r="BI1" s="9" t="s">
        <v>3194</v>
      </c>
      <c r="BJ1" s="12" t="s">
        <v>2316</v>
      </c>
      <c r="BK1" s="9" t="s">
        <v>2228</v>
      </c>
      <c r="BL1" s="9" t="s">
        <v>3191</v>
      </c>
      <c r="BM1" s="9" t="s">
        <v>3195</v>
      </c>
      <c r="BN1" s="9" t="s">
        <v>2210</v>
      </c>
      <c r="BO1" s="9" t="s">
        <v>2296</v>
      </c>
      <c r="BP1" s="9" t="s">
        <v>2851</v>
      </c>
      <c r="BQ1" s="9" t="s">
        <v>2137</v>
      </c>
      <c r="BR1" s="9" t="s">
        <v>2928</v>
      </c>
      <c r="BS1" s="9" t="s">
        <v>2407</v>
      </c>
      <c r="BT1" s="9" t="s">
        <v>2408</v>
      </c>
      <c r="BU1" s="9" t="s">
        <v>2390</v>
      </c>
      <c r="BV1" s="9" t="s">
        <v>2397</v>
      </c>
      <c r="BW1" s="9" t="s">
        <v>2475</v>
      </c>
      <c r="BX1" s="9" t="s">
        <v>2398</v>
      </c>
      <c r="BY1" s="9" t="s">
        <v>2399</v>
      </c>
      <c r="BZ1" s="9" t="s">
        <v>2400</v>
      </c>
      <c r="CA1" s="9" t="s">
        <v>2401</v>
      </c>
      <c r="CB1" s="9" t="s">
        <v>2647</v>
      </c>
      <c r="CC1" s="9" t="s">
        <v>2138</v>
      </c>
      <c r="CD1" s="9" t="s">
        <v>2932</v>
      </c>
      <c r="CE1" s="9" t="s">
        <v>2502</v>
      </c>
      <c r="CF1" s="9" t="s">
        <v>2501</v>
      </c>
      <c r="CG1" s="9" t="s">
        <v>2383</v>
      </c>
      <c r="CH1" s="9" t="s">
        <v>2279</v>
      </c>
      <c r="CI1" s="9" t="s">
        <v>2385</v>
      </c>
      <c r="CJ1" s="9" t="s">
        <v>2301</v>
      </c>
      <c r="CK1" s="9" t="s">
        <v>2368</v>
      </c>
      <c r="CL1" s="9" t="s">
        <v>2504</v>
      </c>
      <c r="CM1" s="9" t="s">
        <v>2505</v>
      </c>
      <c r="CN1" s="9" t="s">
        <v>2384</v>
      </c>
      <c r="CO1" s="9" t="s">
        <v>2438</v>
      </c>
      <c r="CP1" s="9" t="s">
        <v>2439</v>
      </c>
      <c r="CQ1" s="9" t="s">
        <v>2285</v>
      </c>
      <c r="CR1" s="9" t="s">
        <v>2287</v>
      </c>
      <c r="CS1" s="9" t="s">
        <v>2282</v>
      </c>
      <c r="CT1" s="9" t="s">
        <v>2283</v>
      </c>
      <c r="CU1" s="9" t="s">
        <v>2284</v>
      </c>
      <c r="CV1" s="9" t="s">
        <v>2136</v>
      </c>
      <c r="CW1" s="9" t="s">
        <v>0</v>
      </c>
      <c r="CX1" s="9" t="s">
        <v>1</v>
      </c>
      <c r="CY1" s="9" t="s">
        <v>2</v>
      </c>
      <c r="CZ1" s="33" t="s">
        <v>3</v>
      </c>
      <c r="DA1" s="9" t="s">
        <v>4</v>
      </c>
      <c r="DB1" s="9" t="s">
        <v>5</v>
      </c>
      <c r="DC1" s="9" t="s">
        <v>6</v>
      </c>
      <c r="DD1" s="9" t="s">
        <v>7</v>
      </c>
      <c r="DE1" s="9" t="s">
        <v>8</v>
      </c>
    </row>
    <row r="2" spans="1:109" ht="20">
      <c r="A2" s="13" t="s">
        <v>3358</v>
      </c>
      <c r="B2" s="13"/>
      <c r="C2" s="13" t="s">
        <v>3288</v>
      </c>
      <c r="D2" s="14" t="s">
        <v>4179</v>
      </c>
      <c r="E2" s="13" t="s">
        <v>725</v>
      </c>
      <c r="F2" s="13" t="s">
        <v>3657</v>
      </c>
      <c r="G2" s="13"/>
      <c r="H2" s="14" t="s">
        <v>726</v>
      </c>
      <c r="I2" s="13"/>
      <c r="K2" s="13"/>
      <c r="L2" s="13"/>
      <c r="M2" s="13"/>
      <c r="N2" s="13"/>
      <c r="O2" s="15"/>
      <c r="P2" s="13"/>
      <c r="Q2" s="13"/>
      <c r="R2" s="13"/>
      <c r="S2" s="13"/>
      <c r="T2" s="13"/>
      <c r="U2" s="13"/>
      <c r="V2" s="13"/>
      <c r="W2" s="2"/>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6"/>
      <c r="BB2" s="13"/>
      <c r="BC2" s="13"/>
      <c r="BD2" s="13"/>
      <c r="BE2" s="16"/>
      <c r="BF2" s="13"/>
      <c r="BG2" s="13"/>
      <c r="BH2" s="13"/>
      <c r="BI2" s="13"/>
      <c r="BJ2" s="16"/>
      <c r="BK2" s="13"/>
      <c r="BL2" s="13"/>
      <c r="BM2" s="13"/>
      <c r="BN2" s="16"/>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t="s">
        <v>3433</v>
      </c>
      <c r="CX2" s="13" t="s">
        <v>3434</v>
      </c>
      <c r="CY2" s="13">
        <v>2024</v>
      </c>
      <c r="CZ2" s="13" t="s">
        <v>162</v>
      </c>
      <c r="DA2" s="13" t="s">
        <v>3435</v>
      </c>
      <c r="DB2" s="13">
        <v>563</v>
      </c>
      <c r="DC2" s="13"/>
      <c r="DD2" s="21">
        <v>45666</v>
      </c>
      <c r="DE2" s="13" t="s">
        <v>3213</v>
      </c>
    </row>
    <row r="3" spans="1:109" ht="20">
      <c r="A3" s="14" t="s">
        <v>1769</v>
      </c>
      <c r="B3" s="14" t="s">
        <v>1661</v>
      </c>
      <c r="C3" s="14" t="s">
        <v>4039</v>
      </c>
      <c r="D3" s="14" t="s">
        <v>817</v>
      </c>
      <c r="E3" s="14" t="s">
        <v>672</v>
      </c>
      <c r="F3" s="14" t="s">
        <v>675</v>
      </c>
      <c r="H3" s="14" t="s">
        <v>703</v>
      </c>
      <c r="I3" s="14" t="s">
        <v>3080</v>
      </c>
      <c r="J3" s="14" t="s">
        <v>585</v>
      </c>
      <c r="L3" s="14" t="s">
        <v>639</v>
      </c>
      <c r="M3" s="14">
        <v>80</v>
      </c>
      <c r="N3" s="14">
        <v>19</v>
      </c>
      <c r="O3" s="34">
        <v>0.23749999999999899</v>
      </c>
      <c r="P3" s="14">
        <v>14</v>
      </c>
      <c r="Q3" s="14">
        <v>62.21</v>
      </c>
      <c r="R3" s="14">
        <v>12.41</v>
      </c>
      <c r="V3" s="14">
        <v>38</v>
      </c>
      <c r="W3" s="14">
        <f t="shared" ref="W3:W10" si="0">V3/M3</f>
        <v>0.47499999999999998</v>
      </c>
      <c r="X3" s="14">
        <v>39</v>
      </c>
      <c r="Y3" s="14">
        <v>6</v>
      </c>
      <c r="AC3" s="14">
        <v>61</v>
      </c>
      <c r="AD3" s="34">
        <f t="shared" ref="AD3:AD10" si="1">AC3/M3</f>
        <v>0.76249999999999996</v>
      </c>
      <c r="AE3" s="35">
        <v>20</v>
      </c>
      <c r="AF3" s="35">
        <v>18</v>
      </c>
      <c r="AJ3" s="35">
        <v>28</v>
      </c>
      <c r="AK3" s="35">
        <v>28</v>
      </c>
      <c r="AO3" s="35">
        <v>28</v>
      </c>
      <c r="AP3" s="35">
        <v>28</v>
      </c>
      <c r="AU3" s="14" t="s">
        <v>2447</v>
      </c>
      <c r="BA3" s="29" t="s">
        <v>4107</v>
      </c>
      <c r="BB3" s="14">
        <v>2.516</v>
      </c>
      <c r="BC3" s="14">
        <v>0.93100000000000005</v>
      </c>
      <c r="BD3" s="14">
        <v>6.8</v>
      </c>
      <c r="BE3" s="29" t="s">
        <v>2289</v>
      </c>
      <c r="BJ3" s="29" t="s">
        <v>4107</v>
      </c>
      <c r="BK3" s="14">
        <v>3.9430000000000001</v>
      </c>
      <c r="BL3" s="14">
        <v>1.097</v>
      </c>
      <c r="BM3" s="14">
        <v>14.167</v>
      </c>
      <c r="BN3" s="14" t="s">
        <v>2231</v>
      </c>
      <c r="BQ3" s="14">
        <v>0.39100000000000001</v>
      </c>
      <c r="BU3" s="14" t="s">
        <v>769</v>
      </c>
      <c r="CV3" s="13" t="s">
        <v>2230</v>
      </c>
      <c r="CW3" s="14" t="s">
        <v>10</v>
      </c>
      <c r="CX3" s="14" t="s">
        <v>11</v>
      </c>
      <c r="CY3" s="14">
        <v>2020</v>
      </c>
      <c r="CZ3" s="36" t="s">
        <v>12</v>
      </c>
      <c r="DA3" s="14" t="s">
        <v>13</v>
      </c>
      <c r="DB3" s="14">
        <v>267</v>
      </c>
      <c r="DC3" s="14">
        <v>6</v>
      </c>
      <c r="DD3" s="14" t="s">
        <v>14</v>
      </c>
      <c r="DE3" s="14" t="s">
        <v>15</v>
      </c>
    </row>
    <row r="4" spans="1:109" ht="20">
      <c r="A4" s="14" t="s">
        <v>1769</v>
      </c>
      <c r="B4" s="14" t="s">
        <v>1661</v>
      </c>
      <c r="C4" s="14" t="s">
        <v>16</v>
      </c>
      <c r="D4" s="14" t="s">
        <v>817</v>
      </c>
      <c r="E4" s="14" t="s">
        <v>672</v>
      </c>
      <c r="F4" s="14" t="s">
        <v>678</v>
      </c>
      <c r="H4" s="14" t="s">
        <v>703</v>
      </c>
      <c r="I4" s="14" t="s">
        <v>3080</v>
      </c>
      <c r="J4" s="14" t="s">
        <v>585</v>
      </c>
      <c r="M4" s="14">
        <v>80</v>
      </c>
      <c r="N4" s="14">
        <v>19</v>
      </c>
      <c r="O4" s="34">
        <v>0.23749999999999899</v>
      </c>
      <c r="P4" s="14">
        <v>14</v>
      </c>
      <c r="Q4" s="14">
        <v>62.21</v>
      </c>
      <c r="R4" s="14">
        <v>12.41</v>
      </c>
      <c r="V4" s="14">
        <v>38</v>
      </c>
      <c r="W4" s="14">
        <f t="shared" si="0"/>
        <v>0.47499999999999998</v>
      </c>
      <c r="X4" s="14">
        <v>39</v>
      </c>
      <c r="Y4" s="14">
        <v>6</v>
      </c>
      <c r="AC4" s="14">
        <v>61</v>
      </c>
      <c r="AD4" s="34">
        <f t="shared" si="1"/>
        <v>0.76249999999999996</v>
      </c>
      <c r="AE4" s="35">
        <v>20</v>
      </c>
      <c r="AF4" s="35">
        <v>18</v>
      </c>
      <c r="AJ4" s="35">
        <v>28</v>
      </c>
      <c r="AK4" s="35">
        <v>28</v>
      </c>
      <c r="AO4" s="35">
        <v>28</v>
      </c>
      <c r="AP4" s="35">
        <v>28</v>
      </c>
      <c r="AU4" s="14" t="s">
        <v>2447</v>
      </c>
      <c r="BA4" s="29" t="s">
        <v>4107</v>
      </c>
      <c r="BB4" s="14">
        <v>0.21199999999999999</v>
      </c>
      <c r="BC4" s="14">
        <v>6.6000000000000003E-2</v>
      </c>
      <c r="BD4" s="14">
        <v>6.7799999999999999E-2</v>
      </c>
      <c r="BE4" s="29" t="s">
        <v>2289</v>
      </c>
      <c r="BJ4" s="29" t="s">
        <v>4107</v>
      </c>
      <c r="BK4" s="14">
        <v>0.54700000000000004</v>
      </c>
      <c r="BL4" s="14">
        <v>0.13</v>
      </c>
      <c r="BM4" s="14">
        <v>2.3029999999999999</v>
      </c>
      <c r="BN4" s="14" t="s">
        <v>2231</v>
      </c>
      <c r="BQ4" s="14">
        <v>-0.23799999999999999</v>
      </c>
      <c r="BU4" s="14" t="s">
        <v>769</v>
      </c>
      <c r="CV4" s="13" t="s">
        <v>2230</v>
      </c>
      <c r="CW4" s="14" t="s">
        <v>10</v>
      </c>
      <c r="CX4" s="14" t="s">
        <v>11</v>
      </c>
      <c r="CY4" s="14">
        <v>2020</v>
      </c>
      <c r="CZ4" s="36" t="s">
        <v>12</v>
      </c>
      <c r="DA4" s="14" t="s">
        <v>13</v>
      </c>
      <c r="DB4" s="14">
        <v>267</v>
      </c>
      <c r="DC4" s="14">
        <v>6</v>
      </c>
      <c r="DD4" s="14" t="s">
        <v>14</v>
      </c>
      <c r="DE4" s="14" t="s">
        <v>15</v>
      </c>
    </row>
    <row r="5" spans="1:109" ht="20">
      <c r="A5" s="14" t="s">
        <v>1769</v>
      </c>
      <c r="B5" s="14" t="s">
        <v>1661</v>
      </c>
      <c r="C5" s="14" t="s">
        <v>16</v>
      </c>
      <c r="D5" s="14" t="s">
        <v>817</v>
      </c>
      <c r="E5" s="14" t="s">
        <v>672</v>
      </c>
      <c r="F5" s="14" t="s">
        <v>679</v>
      </c>
      <c r="H5" s="14" t="s">
        <v>703</v>
      </c>
      <c r="I5" s="14" t="s">
        <v>3080</v>
      </c>
      <c r="J5" s="14" t="s">
        <v>585</v>
      </c>
      <c r="L5" s="14" t="s">
        <v>639</v>
      </c>
      <c r="M5" s="14">
        <v>80</v>
      </c>
      <c r="N5" s="14">
        <v>19</v>
      </c>
      <c r="O5" s="34">
        <v>0.23749999999999899</v>
      </c>
      <c r="P5" s="14">
        <v>14</v>
      </c>
      <c r="Q5" s="14">
        <v>62.21</v>
      </c>
      <c r="R5" s="14">
        <v>12.41</v>
      </c>
      <c r="V5" s="14">
        <v>38</v>
      </c>
      <c r="W5" s="14">
        <f t="shared" si="0"/>
        <v>0.47499999999999998</v>
      </c>
      <c r="X5" s="14">
        <v>39</v>
      </c>
      <c r="Y5" s="14">
        <v>6</v>
      </c>
      <c r="AC5" s="14">
        <v>61</v>
      </c>
      <c r="AD5" s="34">
        <f t="shared" si="1"/>
        <v>0.76249999999999996</v>
      </c>
      <c r="AE5" s="35">
        <v>20</v>
      </c>
      <c r="AF5" s="35">
        <v>18</v>
      </c>
      <c r="AJ5" s="35">
        <v>28</v>
      </c>
      <c r="AK5" s="35">
        <v>28</v>
      </c>
      <c r="AO5" s="35">
        <v>28</v>
      </c>
      <c r="AP5" s="35">
        <v>28</v>
      </c>
      <c r="CV5" s="13" t="s">
        <v>2230</v>
      </c>
      <c r="CW5" s="14" t="s">
        <v>10</v>
      </c>
      <c r="CX5" s="14" t="s">
        <v>11</v>
      </c>
      <c r="CY5" s="14">
        <v>2020</v>
      </c>
      <c r="CZ5" s="36" t="s">
        <v>12</v>
      </c>
      <c r="DA5" s="14" t="s">
        <v>13</v>
      </c>
      <c r="DB5" s="14">
        <v>267</v>
      </c>
      <c r="DC5" s="14">
        <v>6</v>
      </c>
      <c r="DD5" s="14" t="s">
        <v>14</v>
      </c>
      <c r="DE5" s="14" t="s">
        <v>15</v>
      </c>
    </row>
    <row r="6" spans="1:109" ht="20">
      <c r="A6" s="14" t="s">
        <v>1769</v>
      </c>
      <c r="B6" s="14" t="s">
        <v>1661</v>
      </c>
      <c r="C6" s="14" t="s">
        <v>16</v>
      </c>
      <c r="D6" s="14" t="s">
        <v>817</v>
      </c>
      <c r="E6" s="14" t="s">
        <v>672</v>
      </c>
      <c r="F6" s="14" t="s">
        <v>680</v>
      </c>
      <c r="H6" s="14" t="s">
        <v>703</v>
      </c>
      <c r="I6" s="14" t="s">
        <v>3080</v>
      </c>
      <c r="J6" s="14" t="s">
        <v>585</v>
      </c>
      <c r="L6" s="14" t="s">
        <v>639</v>
      </c>
      <c r="M6" s="14">
        <v>80</v>
      </c>
      <c r="N6" s="14">
        <v>19</v>
      </c>
      <c r="O6" s="34">
        <v>0.23749999999999899</v>
      </c>
      <c r="P6" s="14">
        <v>14</v>
      </c>
      <c r="Q6" s="14">
        <v>62.21</v>
      </c>
      <c r="R6" s="14">
        <v>12.41</v>
      </c>
      <c r="V6" s="14">
        <v>38</v>
      </c>
      <c r="W6" s="14">
        <f t="shared" si="0"/>
        <v>0.47499999999999998</v>
      </c>
      <c r="X6" s="14">
        <v>39</v>
      </c>
      <c r="Y6" s="14">
        <v>6</v>
      </c>
      <c r="AC6" s="14">
        <v>61</v>
      </c>
      <c r="AD6" s="34">
        <f t="shared" si="1"/>
        <v>0.76249999999999996</v>
      </c>
      <c r="AE6" s="35">
        <v>20</v>
      </c>
      <c r="AF6" s="35">
        <v>18</v>
      </c>
      <c r="AJ6" s="35">
        <v>28</v>
      </c>
      <c r="AK6" s="35">
        <v>28</v>
      </c>
      <c r="AO6" s="35">
        <v>28</v>
      </c>
      <c r="AP6" s="35">
        <v>28</v>
      </c>
      <c r="CV6" s="13" t="s">
        <v>2230</v>
      </c>
      <c r="CW6" s="14" t="s">
        <v>10</v>
      </c>
      <c r="CX6" s="14" t="s">
        <v>11</v>
      </c>
      <c r="CY6" s="14">
        <v>2020</v>
      </c>
      <c r="CZ6" s="36" t="s">
        <v>12</v>
      </c>
      <c r="DA6" s="14" t="s">
        <v>13</v>
      </c>
      <c r="DB6" s="14">
        <v>267</v>
      </c>
      <c r="DC6" s="14">
        <v>6</v>
      </c>
      <c r="DD6" s="14" t="s">
        <v>14</v>
      </c>
      <c r="DE6" s="14" t="s">
        <v>15</v>
      </c>
    </row>
    <row r="7" spans="1:109" ht="20">
      <c r="A7" s="13" t="s">
        <v>3359</v>
      </c>
      <c r="B7" s="13"/>
      <c r="C7" s="13" t="s">
        <v>3289</v>
      </c>
      <c r="D7" s="14" t="s">
        <v>898</v>
      </c>
      <c r="E7" s="13" t="s">
        <v>673</v>
      </c>
      <c r="F7" s="13" t="s">
        <v>721</v>
      </c>
      <c r="G7" s="13"/>
      <c r="H7" s="14" t="s">
        <v>3659</v>
      </c>
      <c r="I7" s="13" t="s">
        <v>3658</v>
      </c>
      <c r="J7" s="14" t="s">
        <v>652</v>
      </c>
      <c r="K7" s="14" t="s">
        <v>3660</v>
      </c>
      <c r="L7" s="13" t="s">
        <v>639</v>
      </c>
      <c r="M7" s="13">
        <v>152</v>
      </c>
      <c r="N7" s="13"/>
      <c r="O7" s="15"/>
      <c r="P7" s="13">
        <v>11</v>
      </c>
      <c r="Q7" s="13">
        <v>62.34</v>
      </c>
      <c r="R7" s="13">
        <v>11.63</v>
      </c>
      <c r="S7" s="13"/>
      <c r="T7" s="13"/>
      <c r="U7" s="13"/>
      <c r="V7" s="13">
        <v>102</v>
      </c>
      <c r="W7" s="2">
        <f t="shared" si="0"/>
        <v>0.67105263157894735</v>
      </c>
      <c r="X7" s="13">
        <v>38.54</v>
      </c>
      <c r="Y7" s="13">
        <v>8.17</v>
      </c>
      <c r="Z7" s="13"/>
      <c r="AA7" s="13"/>
      <c r="AB7" s="13"/>
      <c r="AC7" s="13">
        <f>152-27</f>
        <v>125</v>
      </c>
      <c r="AD7" s="13">
        <f t="shared" si="1"/>
        <v>0.82236842105263153</v>
      </c>
      <c r="AE7" s="13">
        <v>21.82</v>
      </c>
      <c r="AF7" s="13">
        <v>20.329999999999998</v>
      </c>
      <c r="AG7" s="13"/>
      <c r="AH7" s="13"/>
      <c r="AI7" s="13"/>
      <c r="AJ7" s="13"/>
      <c r="AK7" s="13"/>
      <c r="AL7" s="13"/>
      <c r="AM7" s="13"/>
      <c r="AN7" s="13"/>
      <c r="AO7" s="13"/>
      <c r="AP7" s="13"/>
      <c r="AQ7" s="13"/>
      <c r="AR7" s="13"/>
      <c r="AS7" s="13"/>
      <c r="AT7" s="13"/>
      <c r="AU7" s="13"/>
      <c r="AV7" s="13"/>
      <c r="AW7" s="13"/>
      <c r="AX7" s="13"/>
      <c r="AY7" s="13"/>
      <c r="AZ7" s="13"/>
      <c r="BA7" s="16"/>
      <c r="BB7" s="13"/>
      <c r="BC7" s="13"/>
      <c r="BD7" s="13"/>
      <c r="BE7" s="16"/>
      <c r="BF7" s="13"/>
      <c r="BG7" s="13"/>
      <c r="BH7" s="13"/>
      <c r="BI7" s="13"/>
      <c r="BJ7" s="16"/>
      <c r="BK7" s="13"/>
      <c r="BL7" s="13"/>
      <c r="BM7" s="13"/>
      <c r="BN7" s="16" t="s">
        <v>2231</v>
      </c>
      <c r="BO7" s="13"/>
      <c r="BP7" s="13"/>
      <c r="BQ7" s="13"/>
      <c r="BR7" s="13"/>
      <c r="BS7" s="13"/>
      <c r="BT7" s="13"/>
      <c r="BU7" s="13"/>
      <c r="BV7" s="13"/>
      <c r="BW7" s="13"/>
      <c r="BX7" s="13"/>
      <c r="BY7" s="13"/>
      <c r="BZ7" s="13"/>
      <c r="CA7" s="13"/>
      <c r="CB7" s="13"/>
      <c r="CC7" s="13">
        <v>-0.27900000000000003</v>
      </c>
      <c r="CD7" s="13">
        <v>88</v>
      </c>
      <c r="CE7" s="13"/>
      <c r="CF7" s="13"/>
      <c r="CG7" s="13">
        <v>8.0000000000000002E-3</v>
      </c>
      <c r="CH7" s="13"/>
      <c r="CI7" s="13"/>
      <c r="CJ7" s="13"/>
      <c r="CK7" s="13"/>
      <c r="CL7" s="13"/>
      <c r="CM7" s="13"/>
      <c r="CN7" s="13"/>
      <c r="CO7" s="13"/>
      <c r="CP7" s="13"/>
      <c r="CQ7" s="13"/>
      <c r="CR7" s="13"/>
      <c r="CS7" s="13"/>
      <c r="CT7" s="13"/>
      <c r="CU7" s="13"/>
      <c r="CV7" s="13"/>
      <c r="CW7" s="13" t="s">
        <v>3436</v>
      </c>
      <c r="CX7" s="13" t="s">
        <v>3437</v>
      </c>
      <c r="CY7" s="13">
        <v>2025</v>
      </c>
      <c r="CZ7" s="21">
        <v>45721</v>
      </c>
      <c r="DA7" s="13" t="s">
        <v>50</v>
      </c>
      <c r="DB7" s="13">
        <v>16</v>
      </c>
      <c r="DC7" s="13">
        <v>1</v>
      </c>
      <c r="DD7" s="13">
        <v>2019</v>
      </c>
      <c r="DE7" s="13" t="s">
        <v>3214</v>
      </c>
    </row>
    <row r="8" spans="1:109" ht="20">
      <c r="A8" s="13" t="s">
        <v>3359</v>
      </c>
      <c r="B8" s="13"/>
      <c r="C8" s="13" t="s">
        <v>3289</v>
      </c>
      <c r="D8" s="14" t="s">
        <v>898</v>
      </c>
      <c r="E8" s="13" t="s">
        <v>673</v>
      </c>
      <c r="F8" s="13" t="s">
        <v>3661</v>
      </c>
      <c r="G8" s="13"/>
      <c r="H8" s="14" t="s">
        <v>3659</v>
      </c>
      <c r="I8" s="13" t="s">
        <v>3658</v>
      </c>
      <c r="J8" s="14" t="s">
        <v>652</v>
      </c>
      <c r="K8" s="14" t="s">
        <v>3660</v>
      </c>
      <c r="L8" s="13" t="s">
        <v>639</v>
      </c>
      <c r="M8" s="13">
        <v>152</v>
      </c>
      <c r="N8" s="13"/>
      <c r="O8" s="15"/>
      <c r="P8" s="13">
        <v>11</v>
      </c>
      <c r="Q8" s="13">
        <v>62.34</v>
      </c>
      <c r="R8" s="13">
        <v>11.63</v>
      </c>
      <c r="S8" s="13"/>
      <c r="T8" s="13"/>
      <c r="U8" s="13"/>
      <c r="V8" s="13">
        <v>102</v>
      </c>
      <c r="W8" s="2">
        <f t="shared" si="0"/>
        <v>0.67105263157894735</v>
      </c>
      <c r="X8" s="13">
        <v>38.54</v>
      </c>
      <c r="Y8" s="13">
        <v>8.17</v>
      </c>
      <c r="Z8" s="13"/>
      <c r="AA8" s="13"/>
      <c r="AB8" s="13"/>
      <c r="AC8" s="13">
        <f>152-27</f>
        <v>125</v>
      </c>
      <c r="AD8" s="13">
        <f t="shared" si="1"/>
        <v>0.82236842105263153</v>
      </c>
      <c r="AE8" s="13">
        <v>21.82</v>
      </c>
      <c r="AF8" s="13">
        <v>20.329999999999998</v>
      </c>
      <c r="AG8" s="13"/>
      <c r="AH8" s="13"/>
      <c r="AI8" s="13"/>
      <c r="AJ8" s="13"/>
      <c r="AK8" s="13"/>
      <c r="AL8" s="13"/>
      <c r="AM8" s="13"/>
      <c r="AN8" s="13"/>
      <c r="AO8" s="13"/>
      <c r="AP8" s="13"/>
      <c r="AQ8" s="13"/>
      <c r="AR8" s="13"/>
      <c r="AS8" s="13"/>
      <c r="AT8" s="13"/>
      <c r="AU8" s="13"/>
      <c r="AV8" s="13"/>
      <c r="AW8" s="13"/>
      <c r="AX8" s="13"/>
      <c r="AY8" s="13"/>
      <c r="AZ8" s="13"/>
      <c r="BA8" s="16"/>
      <c r="BB8" s="13"/>
      <c r="BC8" s="13"/>
      <c r="BD8" s="13"/>
      <c r="BE8" s="16"/>
      <c r="BF8" s="13"/>
      <c r="BG8" s="13"/>
      <c r="BH8" s="13"/>
      <c r="BI8" s="13"/>
      <c r="BJ8" s="16"/>
      <c r="BK8" s="13"/>
      <c r="BL8" s="13"/>
      <c r="BM8" s="13"/>
      <c r="BN8" s="16" t="s">
        <v>2231</v>
      </c>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t="s">
        <v>3436</v>
      </c>
      <c r="CX8" s="13" t="s">
        <v>3437</v>
      </c>
      <c r="CY8" s="13">
        <v>2025</v>
      </c>
      <c r="CZ8" s="21">
        <v>45721</v>
      </c>
      <c r="DA8" s="13" t="s">
        <v>50</v>
      </c>
      <c r="DB8" s="13">
        <v>16</v>
      </c>
      <c r="DC8" s="13">
        <v>1</v>
      </c>
      <c r="DD8" s="13">
        <v>2019</v>
      </c>
      <c r="DE8" s="13" t="s">
        <v>3214</v>
      </c>
    </row>
    <row r="9" spans="1:109" ht="20">
      <c r="A9" s="13" t="s">
        <v>3359</v>
      </c>
      <c r="B9" s="13"/>
      <c r="C9" s="13" t="s">
        <v>3289</v>
      </c>
      <c r="D9" s="14" t="s">
        <v>898</v>
      </c>
      <c r="E9" s="13" t="s">
        <v>673</v>
      </c>
      <c r="F9" s="13" t="s">
        <v>676</v>
      </c>
      <c r="G9" s="13"/>
      <c r="H9" s="14" t="s">
        <v>3659</v>
      </c>
      <c r="I9" s="13" t="s">
        <v>3658</v>
      </c>
      <c r="J9" s="14" t="s">
        <v>652</v>
      </c>
      <c r="K9" s="14" t="s">
        <v>3660</v>
      </c>
      <c r="L9" s="13" t="s">
        <v>639</v>
      </c>
      <c r="M9" s="13">
        <v>152</v>
      </c>
      <c r="N9" s="13"/>
      <c r="O9" s="15"/>
      <c r="P9" s="13">
        <v>11</v>
      </c>
      <c r="Q9" s="13">
        <v>62.34</v>
      </c>
      <c r="R9" s="13">
        <v>11.63</v>
      </c>
      <c r="S9" s="13"/>
      <c r="T9" s="13"/>
      <c r="U9" s="13"/>
      <c r="V9" s="13">
        <v>102</v>
      </c>
      <c r="W9" s="2">
        <f t="shared" si="0"/>
        <v>0.67105263157894735</v>
      </c>
      <c r="X9" s="13">
        <v>38.54</v>
      </c>
      <c r="Y9" s="13">
        <v>8.17</v>
      </c>
      <c r="Z9" s="13"/>
      <c r="AA9" s="13"/>
      <c r="AB9" s="13"/>
      <c r="AC9" s="13">
        <f>152-27</f>
        <v>125</v>
      </c>
      <c r="AD9" s="13">
        <f t="shared" si="1"/>
        <v>0.82236842105263153</v>
      </c>
      <c r="AE9" s="13">
        <v>21.82</v>
      </c>
      <c r="AF9" s="13">
        <v>20.329999999999998</v>
      </c>
      <c r="AG9" s="13"/>
      <c r="AH9" s="13"/>
      <c r="AI9" s="13"/>
      <c r="AJ9" s="13"/>
      <c r="AK9" s="13"/>
      <c r="AL9" s="13"/>
      <c r="AM9" s="13"/>
      <c r="AN9" s="13"/>
      <c r="AO9" s="13"/>
      <c r="AP9" s="13"/>
      <c r="AQ9" s="13"/>
      <c r="AR9" s="13"/>
      <c r="AS9" s="13"/>
      <c r="AT9" s="13"/>
      <c r="AU9" s="13"/>
      <c r="AV9" s="13"/>
      <c r="AW9" s="13"/>
      <c r="AX9" s="13"/>
      <c r="AY9" s="13"/>
      <c r="AZ9" s="13"/>
      <c r="BA9" s="16"/>
      <c r="BB9" s="13"/>
      <c r="BC9" s="13"/>
      <c r="BD9" s="13"/>
      <c r="BE9" s="16"/>
      <c r="BF9" s="13"/>
      <c r="BG9" s="13"/>
      <c r="BH9" s="13"/>
      <c r="BI9" s="13"/>
      <c r="BJ9" s="16"/>
      <c r="BK9" s="13"/>
      <c r="BL9" s="13"/>
      <c r="BM9" s="13"/>
      <c r="BN9" s="16" t="s">
        <v>2231</v>
      </c>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t="s">
        <v>3436</v>
      </c>
      <c r="CX9" s="13" t="s">
        <v>3437</v>
      </c>
      <c r="CY9" s="13">
        <v>2025</v>
      </c>
      <c r="CZ9" s="21">
        <v>45721</v>
      </c>
      <c r="DA9" s="13" t="s">
        <v>50</v>
      </c>
      <c r="DB9" s="13">
        <v>16</v>
      </c>
      <c r="DC9" s="13">
        <v>1</v>
      </c>
      <c r="DD9" s="13">
        <v>2019</v>
      </c>
      <c r="DE9" s="13" t="s">
        <v>3214</v>
      </c>
    </row>
    <row r="10" spans="1:109" ht="20">
      <c r="A10" s="13" t="s">
        <v>3359</v>
      </c>
      <c r="B10" s="13"/>
      <c r="C10" s="13" t="s">
        <v>3289</v>
      </c>
      <c r="D10" s="14" t="s">
        <v>898</v>
      </c>
      <c r="E10" s="13" t="s">
        <v>673</v>
      </c>
      <c r="F10" s="13" t="s">
        <v>675</v>
      </c>
      <c r="G10" s="13"/>
      <c r="H10" s="14" t="s">
        <v>3659</v>
      </c>
      <c r="I10" s="13" t="s">
        <v>3658</v>
      </c>
      <c r="J10" s="14" t="s">
        <v>808</v>
      </c>
      <c r="K10" s="14" t="s">
        <v>3660</v>
      </c>
      <c r="L10" s="13" t="s">
        <v>639</v>
      </c>
      <c r="M10" s="13">
        <v>152</v>
      </c>
      <c r="N10" s="13"/>
      <c r="O10" s="15"/>
      <c r="P10" s="13">
        <v>11</v>
      </c>
      <c r="Q10" s="13">
        <v>62.34</v>
      </c>
      <c r="R10" s="13">
        <v>11.63</v>
      </c>
      <c r="S10" s="13"/>
      <c r="T10" s="13"/>
      <c r="U10" s="13"/>
      <c r="V10" s="13">
        <v>102</v>
      </c>
      <c r="W10" s="2">
        <f t="shared" si="0"/>
        <v>0.67105263157894735</v>
      </c>
      <c r="X10" s="13">
        <v>38.54</v>
      </c>
      <c r="Y10" s="13">
        <v>8.17</v>
      </c>
      <c r="Z10" s="13"/>
      <c r="AA10" s="13"/>
      <c r="AB10" s="13"/>
      <c r="AC10" s="13">
        <f>152-27</f>
        <v>125</v>
      </c>
      <c r="AD10" s="13">
        <f t="shared" si="1"/>
        <v>0.82236842105263153</v>
      </c>
      <c r="AE10" s="13">
        <v>21.82</v>
      </c>
      <c r="AF10" s="13">
        <v>20.329999999999998</v>
      </c>
      <c r="AG10" s="13"/>
      <c r="AH10" s="13"/>
      <c r="AI10" s="13"/>
      <c r="AJ10" s="13"/>
      <c r="AK10" s="13"/>
      <c r="AL10" s="13"/>
      <c r="AM10" s="13"/>
      <c r="AN10" s="13"/>
      <c r="AO10" s="13"/>
      <c r="AP10" s="13"/>
      <c r="AQ10" s="13"/>
      <c r="AR10" s="13"/>
      <c r="AS10" s="13"/>
      <c r="AT10" s="13"/>
      <c r="AU10" s="13"/>
      <c r="AV10" s="13"/>
      <c r="AW10" s="13"/>
      <c r="AX10" s="13"/>
      <c r="AY10" s="13"/>
      <c r="AZ10" s="13"/>
      <c r="BA10" s="16"/>
      <c r="BB10" s="13"/>
      <c r="BC10" s="13"/>
      <c r="BD10" s="13"/>
      <c r="BE10" s="16"/>
      <c r="BF10" s="13"/>
      <c r="BG10" s="13"/>
      <c r="BH10" s="13"/>
      <c r="BI10" s="13"/>
      <c r="BJ10" s="16"/>
      <c r="BK10" s="13"/>
      <c r="BL10" s="13"/>
      <c r="BM10" s="13"/>
      <c r="BN10" s="16" t="s">
        <v>2231</v>
      </c>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t="s">
        <v>3436</v>
      </c>
      <c r="CX10" s="13" t="s">
        <v>3437</v>
      </c>
      <c r="CY10" s="13">
        <v>2025</v>
      </c>
      <c r="CZ10" s="21">
        <v>45721</v>
      </c>
      <c r="DA10" s="13" t="s">
        <v>50</v>
      </c>
      <c r="DB10" s="13">
        <v>16</v>
      </c>
      <c r="DC10" s="13">
        <v>1</v>
      </c>
      <c r="DD10" s="13">
        <v>2019</v>
      </c>
      <c r="DE10" s="13" t="s">
        <v>3214</v>
      </c>
    </row>
    <row r="11" spans="1:109" ht="20">
      <c r="A11" s="13" t="s">
        <v>3359</v>
      </c>
      <c r="B11" s="13"/>
      <c r="C11" s="13" t="s">
        <v>3289</v>
      </c>
      <c r="D11" s="14" t="s">
        <v>898</v>
      </c>
      <c r="E11" s="13" t="s">
        <v>672</v>
      </c>
      <c r="F11" s="13" t="s">
        <v>721</v>
      </c>
      <c r="G11" s="13"/>
      <c r="H11" s="14" t="s">
        <v>3659</v>
      </c>
      <c r="I11" s="13" t="s">
        <v>3658</v>
      </c>
      <c r="J11" s="14" t="s">
        <v>652</v>
      </c>
      <c r="K11" s="14" t="s">
        <v>3660</v>
      </c>
      <c r="L11" s="13" t="s">
        <v>639</v>
      </c>
      <c r="M11" s="13">
        <v>127</v>
      </c>
      <c r="N11" s="13"/>
      <c r="O11" s="15"/>
      <c r="P11" s="13">
        <v>11</v>
      </c>
      <c r="Q11" s="13"/>
      <c r="R11" s="13"/>
      <c r="S11" s="13"/>
      <c r="T11" s="13"/>
      <c r="U11" s="13"/>
      <c r="V11" s="13"/>
      <c r="W11" s="2"/>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6"/>
      <c r="BB11" s="13"/>
      <c r="BC11" s="13"/>
      <c r="BD11" s="13"/>
      <c r="BE11" s="16"/>
      <c r="BF11" s="13"/>
      <c r="BG11" s="13"/>
      <c r="BH11" s="13"/>
      <c r="BI11" s="13"/>
      <c r="BJ11" s="16"/>
      <c r="BK11" s="13"/>
      <c r="BL11" s="13"/>
      <c r="BM11" s="13"/>
      <c r="BN11" s="16" t="s">
        <v>2231</v>
      </c>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t="s">
        <v>3436</v>
      </c>
      <c r="CX11" s="13" t="s">
        <v>3437</v>
      </c>
      <c r="CY11" s="13">
        <v>2025</v>
      </c>
      <c r="CZ11" s="21">
        <v>45721</v>
      </c>
      <c r="DA11" s="13" t="s">
        <v>50</v>
      </c>
      <c r="DB11" s="13">
        <v>16</v>
      </c>
      <c r="DC11" s="13">
        <v>1</v>
      </c>
      <c r="DD11" s="13">
        <v>2019</v>
      </c>
      <c r="DE11" s="13" t="s">
        <v>3214</v>
      </c>
    </row>
    <row r="12" spans="1:109" ht="20">
      <c r="A12" s="13" t="s">
        <v>3359</v>
      </c>
      <c r="B12" s="13"/>
      <c r="C12" s="13" t="s">
        <v>3289</v>
      </c>
      <c r="D12" s="14" t="s">
        <v>898</v>
      </c>
      <c r="E12" s="13" t="s">
        <v>672</v>
      </c>
      <c r="F12" s="13" t="s">
        <v>807</v>
      </c>
      <c r="G12" s="13"/>
      <c r="H12" s="14" t="s">
        <v>3659</v>
      </c>
      <c r="I12" s="13" t="s">
        <v>3658</v>
      </c>
      <c r="J12" s="14" t="s">
        <v>808</v>
      </c>
      <c r="K12" s="14" t="s">
        <v>3660</v>
      </c>
      <c r="L12" s="13" t="s">
        <v>639</v>
      </c>
      <c r="M12" s="13">
        <v>127</v>
      </c>
      <c r="N12" s="13"/>
      <c r="O12" s="15"/>
      <c r="P12" s="13">
        <v>11</v>
      </c>
      <c r="Q12" s="13"/>
      <c r="R12" s="13"/>
      <c r="S12" s="13"/>
      <c r="T12" s="13"/>
      <c r="U12" s="13"/>
      <c r="V12" s="13"/>
      <c r="W12" s="2"/>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6"/>
      <c r="BB12" s="13"/>
      <c r="BC12" s="13"/>
      <c r="BD12" s="13"/>
      <c r="BE12" s="16"/>
      <c r="BF12" s="13"/>
      <c r="BG12" s="13"/>
      <c r="BH12" s="13"/>
      <c r="BI12" s="13"/>
      <c r="BJ12" s="16"/>
      <c r="BK12" s="13"/>
      <c r="BL12" s="13"/>
      <c r="BM12" s="13"/>
      <c r="BN12" s="16" t="s">
        <v>2231</v>
      </c>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t="s">
        <v>3436</v>
      </c>
      <c r="CX12" s="13" t="s">
        <v>3437</v>
      </c>
      <c r="CY12" s="13">
        <v>2025</v>
      </c>
      <c r="CZ12" s="21">
        <v>45721</v>
      </c>
      <c r="DA12" s="13" t="s">
        <v>50</v>
      </c>
      <c r="DB12" s="13">
        <v>16</v>
      </c>
      <c r="DC12" s="13">
        <v>1</v>
      </c>
      <c r="DD12" s="13">
        <v>2019</v>
      </c>
      <c r="DE12" s="13" t="s">
        <v>3214</v>
      </c>
    </row>
    <row r="13" spans="1:109" ht="20">
      <c r="A13" s="13" t="s">
        <v>3360</v>
      </c>
      <c r="B13" s="13"/>
      <c r="C13" s="13" t="s">
        <v>3290</v>
      </c>
      <c r="D13" s="14" t="s">
        <v>4179</v>
      </c>
      <c r="E13" s="13"/>
      <c r="F13" s="13"/>
      <c r="G13" s="13"/>
      <c r="H13" s="14" t="s">
        <v>726</v>
      </c>
      <c r="I13" s="13"/>
      <c r="K13" s="13"/>
      <c r="L13" s="13"/>
      <c r="M13" s="13"/>
      <c r="N13" s="13"/>
      <c r="O13" s="15"/>
      <c r="P13" s="13"/>
      <c r="Q13" s="13"/>
      <c r="R13" s="13"/>
      <c r="S13" s="13"/>
      <c r="T13" s="13"/>
      <c r="U13" s="13"/>
      <c r="V13" s="13"/>
      <c r="W13" s="2"/>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6"/>
      <c r="BB13" s="13"/>
      <c r="BC13" s="13"/>
      <c r="BD13" s="13"/>
      <c r="BE13" s="16"/>
      <c r="BF13" s="13"/>
      <c r="BG13" s="13"/>
      <c r="BH13" s="13"/>
      <c r="BI13" s="13"/>
      <c r="BJ13" s="16"/>
      <c r="BK13" s="13"/>
      <c r="BL13" s="13"/>
      <c r="BM13" s="13"/>
      <c r="BN13" s="16"/>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t="s">
        <v>3438</v>
      </c>
      <c r="CX13" s="13" t="s">
        <v>3439</v>
      </c>
      <c r="CY13" s="13">
        <v>2024</v>
      </c>
      <c r="CZ13" s="13"/>
      <c r="DA13" s="13" t="s">
        <v>3440</v>
      </c>
      <c r="DB13" s="13">
        <v>22</v>
      </c>
      <c r="DC13" s="13">
        <v>1</v>
      </c>
      <c r="DD13" s="13"/>
      <c r="DE13" s="13" t="s">
        <v>3215</v>
      </c>
    </row>
    <row r="14" spans="1:109">
      <c r="A14" s="14" t="s">
        <v>1770</v>
      </c>
      <c r="B14" s="14" t="s">
        <v>1662</v>
      </c>
      <c r="C14" s="14" t="s">
        <v>22</v>
      </c>
      <c r="D14" s="14" t="s">
        <v>818</v>
      </c>
      <c r="E14" s="14" t="s">
        <v>672</v>
      </c>
      <c r="F14" s="14" t="s">
        <v>4141</v>
      </c>
      <c r="H14" s="14" t="s">
        <v>703</v>
      </c>
      <c r="I14" s="14" t="s">
        <v>3081</v>
      </c>
      <c r="J14" s="14" t="s">
        <v>2207</v>
      </c>
      <c r="K14" s="14" t="s">
        <v>4146</v>
      </c>
      <c r="L14" s="14" t="s">
        <v>639</v>
      </c>
      <c r="M14" s="14">
        <v>197</v>
      </c>
      <c r="O14" s="34">
        <v>0.05</v>
      </c>
      <c r="S14" s="14">
        <v>65</v>
      </c>
      <c r="T14" s="14">
        <v>61</v>
      </c>
      <c r="U14" s="14">
        <v>70</v>
      </c>
      <c r="V14" s="14">
        <v>108</v>
      </c>
      <c r="W14" s="14">
        <f t="shared" ref="W14:W19" si="2">V14/M14</f>
        <v>0.54822335025380708</v>
      </c>
      <c r="Z14" s="14">
        <v>38</v>
      </c>
      <c r="AA14" s="14">
        <v>30</v>
      </c>
      <c r="AB14" s="14">
        <v>42</v>
      </c>
      <c r="AC14" s="14">
        <v>125</v>
      </c>
      <c r="AD14" s="34">
        <v>0.63300000000000001</v>
      </c>
      <c r="AU14" s="14" t="s">
        <v>2447</v>
      </c>
      <c r="AX14" s="14">
        <v>1.02</v>
      </c>
      <c r="AY14" s="14">
        <v>1</v>
      </c>
      <c r="AZ14" s="14">
        <v>1.03</v>
      </c>
      <c r="BN14" s="14" t="s">
        <v>2231</v>
      </c>
      <c r="BQ14" s="14">
        <v>0.157</v>
      </c>
      <c r="BU14" s="14" t="s">
        <v>769</v>
      </c>
      <c r="CV14" s="14" t="s">
        <v>2242</v>
      </c>
      <c r="CW14" s="14" t="s">
        <v>17</v>
      </c>
      <c r="CX14" s="14" t="s">
        <v>18</v>
      </c>
      <c r="CY14" s="14">
        <v>2021</v>
      </c>
      <c r="CZ14" s="36" t="s">
        <v>12</v>
      </c>
      <c r="DA14" s="14" t="s">
        <v>19</v>
      </c>
      <c r="DB14" s="14">
        <v>28</v>
      </c>
      <c r="DC14" s="14">
        <v>6</v>
      </c>
      <c r="DD14" s="14" t="s">
        <v>20</v>
      </c>
      <c r="DE14" s="14" t="s">
        <v>21</v>
      </c>
    </row>
    <row r="15" spans="1:109">
      <c r="A15" s="14" t="s">
        <v>1770</v>
      </c>
      <c r="B15" s="14" t="s">
        <v>1662</v>
      </c>
      <c r="C15" s="14" t="s">
        <v>22</v>
      </c>
      <c r="D15" s="14" t="s">
        <v>818</v>
      </c>
      <c r="E15" s="14" t="s">
        <v>672</v>
      </c>
      <c r="F15" s="14" t="s">
        <v>676</v>
      </c>
      <c r="H15" s="14" t="s">
        <v>703</v>
      </c>
      <c r="I15" s="14" t="s">
        <v>3081</v>
      </c>
      <c r="J15" s="14" t="s">
        <v>2207</v>
      </c>
      <c r="L15" s="14" t="s">
        <v>639</v>
      </c>
      <c r="M15" s="14">
        <v>197</v>
      </c>
      <c r="O15" s="34">
        <v>0.05</v>
      </c>
      <c r="S15" s="14">
        <v>65</v>
      </c>
      <c r="T15" s="14">
        <v>61</v>
      </c>
      <c r="U15" s="14">
        <v>70</v>
      </c>
      <c r="V15" s="14">
        <v>108</v>
      </c>
      <c r="W15" s="14">
        <f t="shared" si="2"/>
        <v>0.54822335025380708</v>
      </c>
      <c r="Z15" s="14">
        <v>38</v>
      </c>
      <c r="AA15" s="14">
        <v>30</v>
      </c>
      <c r="AB15" s="14">
        <v>42</v>
      </c>
      <c r="AC15" s="14">
        <v>125</v>
      </c>
      <c r="AD15" s="34">
        <v>0.63300000000000001</v>
      </c>
      <c r="AU15" s="14" t="s">
        <v>2447</v>
      </c>
      <c r="AX15" s="14">
        <v>1</v>
      </c>
      <c r="AY15" s="14">
        <v>1</v>
      </c>
      <c r="AZ15" s="14">
        <v>1</v>
      </c>
      <c r="BE15" s="29" t="s">
        <v>2290</v>
      </c>
      <c r="BG15" s="14">
        <v>1</v>
      </c>
      <c r="BH15" s="14">
        <v>1</v>
      </c>
      <c r="BI15" s="14">
        <v>1</v>
      </c>
      <c r="BN15" s="14" t="s">
        <v>2231</v>
      </c>
      <c r="BQ15" s="14">
        <v>0.16200000000000001</v>
      </c>
      <c r="BU15" s="14" t="s">
        <v>769</v>
      </c>
      <c r="CV15" s="14" t="s">
        <v>2242</v>
      </c>
      <c r="CW15" s="14" t="s">
        <v>17</v>
      </c>
      <c r="CX15" s="14" t="s">
        <v>18</v>
      </c>
      <c r="CY15" s="14">
        <v>2021</v>
      </c>
      <c r="CZ15" s="36" t="s">
        <v>12</v>
      </c>
      <c r="DA15" s="14" t="s">
        <v>19</v>
      </c>
      <c r="DB15" s="14">
        <v>28</v>
      </c>
      <c r="DC15" s="14">
        <v>6</v>
      </c>
      <c r="DD15" s="14" t="s">
        <v>20</v>
      </c>
      <c r="DE15" s="14" t="s">
        <v>21</v>
      </c>
    </row>
    <row r="16" spans="1:109">
      <c r="A16" s="14" t="s">
        <v>1770</v>
      </c>
      <c r="B16" s="14" t="s">
        <v>1662</v>
      </c>
      <c r="C16" s="14" t="s">
        <v>22</v>
      </c>
      <c r="D16" s="14" t="s">
        <v>818</v>
      </c>
      <c r="E16" s="14" t="s">
        <v>672</v>
      </c>
      <c r="F16" s="14" t="s">
        <v>678</v>
      </c>
      <c r="H16" s="14" t="s">
        <v>703</v>
      </c>
      <c r="I16" s="14" t="s">
        <v>3081</v>
      </c>
      <c r="J16" s="14" t="s">
        <v>2207</v>
      </c>
      <c r="L16" s="14" t="s">
        <v>639</v>
      </c>
      <c r="M16" s="14">
        <v>197</v>
      </c>
      <c r="O16" s="34">
        <v>0.05</v>
      </c>
      <c r="S16" s="14">
        <v>65</v>
      </c>
      <c r="T16" s="14">
        <v>61</v>
      </c>
      <c r="U16" s="14">
        <v>70</v>
      </c>
      <c r="V16" s="14">
        <v>108</v>
      </c>
      <c r="W16" s="14">
        <f t="shared" si="2"/>
        <v>0.54822335025380708</v>
      </c>
      <c r="Z16" s="14">
        <v>38</v>
      </c>
      <c r="AA16" s="14">
        <v>30</v>
      </c>
      <c r="AB16" s="14">
        <v>42</v>
      </c>
      <c r="AC16" s="14">
        <v>125</v>
      </c>
      <c r="AD16" s="34">
        <v>0.63300000000000001</v>
      </c>
      <c r="AU16" s="14" t="s">
        <v>2447</v>
      </c>
      <c r="AX16" s="14">
        <v>1.05</v>
      </c>
      <c r="AY16" s="14">
        <v>0.83</v>
      </c>
      <c r="AZ16" s="14">
        <v>1.32</v>
      </c>
      <c r="BN16" s="14" t="s">
        <v>2231</v>
      </c>
      <c r="BQ16" s="14">
        <v>-0.126</v>
      </c>
      <c r="BU16" s="14" t="s">
        <v>769</v>
      </c>
      <c r="CV16" s="14" t="s">
        <v>2242</v>
      </c>
      <c r="CW16" s="14" t="s">
        <v>17</v>
      </c>
      <c r="CX16" s="14" t="s">
        <v>18</v>
      </c>
      <c r="CY16" s="14">
        <v>2021</v>
      </c>
      <c r="CZ16" s="36" t="s">
        <v>12</v>
      </c>
      <c r="DA16" s="14" t="s">
        <v>19</v>
      </c>
      <c r="DB16" s="14">
        <v>28</v>
      </c>
      <c r="DC16" s="14">
        <v>6</v>
      </c>
      <c r="DD16" s="14" t="s">
        <v>20</v>
      </c>
      <c r="DE16" s="14" t="s">
        <v>21</v>
      </c>
    </row>
    <row r="17" spans="1:109">
      <c r="A17" s="14" t="s">
        <v>1771</v>
      </c>
      <c r="B17" s="14" t="s">
        <v>1663</v>
      </c>
      <c r="C17" s="14" t="s">
        <v>29</v>
      </c>
      <c r="D17" s="14" t="s">
        <v>819</v>
      </c>
      <c r="E17" s="14" t="s">
        <v>673</v>
      </c>
      <c r="F17" s="14" t="s">
        <v>682</v>
      </c>
      <c r="H17" s="14" t="s">
        <v>629</v>
      </c>
      <c r="J17" s="14" t="s">
        <v>585</v>
      </c>
      <c r="L17" s="14" t="s">
        <v>639</v>
      </c>
      <c r="M17" s="14">
        <v>36</v>
      </c>
      <c r="Q17" s="14">
        <v>56.1</v>
      </c>
      <c r="R17" s="14">
        <v>11.5</v>
      </c>
      <c r="V17" s="14">
        <v>26</v>
      </c>
      <c r="W17" s="14">
        <f t="shared" si="2"/>
        <v>0.72222222222222221</v>
      </c>
      <c r="X17" s="14">
        <v>38.700000000000003</v>
      </c>
      <c r="Y17" s="14">
        <v>7.2</v>
      </c>
      <c r="AC17" s="14">
        <v>27</v>
      </c>
      <c r="AD17" s="34">
        <f>AC17/M17</f>
        <v>0.75</v>
      </c>
      <c r="AE17" s="35">
        <f>1.7*12</f>
        <v>20.399999999999999</v>
      </c>
      <c r="AF17" s="35">
        <f>1.1*12</f>
        <v>13.200000000000001</v>
      </c>
      <c r="CW17" s="14" t="s">
        <v>23</v>
      </c>
      <c r="CX17" s="14" t="s">
        <v>24</v>
      </c>
      <c r="CY17" s="14">
        <v>2019</v>
      </c>
      <c r="CZ17" s="36" t="s">
        <v>25</v>
      </c>
      <c r="DA17" s="14" t="s">
        <v>26</v>
      </c>
      <c r="DB17" s="14">
        <v>6</v>
      </c>
      <c r="DC17" s="14">
        <v>3</v>
      </c>
      <c r="DD17" s="14" t="s">
        <v>27</v>
      </c>
      <c r="DE17" s="14" t="s">
        <v>28</v>
      </c>
    </row>
    <row r="18" spans="1:109">
      <c r="A18" s="14" t="s">
        <v>1771</v>
      </c>
      <c r="B18" s="14" t="s">
        <v>1663</v>
      </c>
      <c r="C18" s="14" t="s">
        <v>29</v>
      </c>
      <c r="D18" s="14" t="s">
        <v>819</v>
      </c>
      <c r="E18" s="14" t="s">
        <v>673</v>
      </c>
      <c r="F18" s="14" t="s">
        <v>683</v>
      </c>
      <c r="H18" s="14" t="s">
        <v>629</v>
      </c>
      <c r="I18" s="14" t="s">
        <v>3082</v>
      </c>
      <c r="J18" s="14" t="s">
        <v>585</v>
      </c>
      <c r="L18" s="14" t="s">
        <v>641</v>
      </c>
      <c r="M18" s="14">
        <v>36</v>
      </c>
      <c r="Q18" s="14">
        <v>56.1</v>
      </c>
      <c r="R18" s="14">
        <v>11.5</v>
      </c>
      <c r="V18" s="14">
        <v>26</v>
      </c>
      <c r="W18" s="14">
        <f t="shared" si="2"/>
        <v>0.72222222222222221</v>
      </c>
      <c r="X18" s="14">
        <v>38.700000000000003</v>
      </c>
      <c r="Y18" s="14">
        <v>7.2</v>
      </c>
      <c r="AC18" s="14">
        <v>27</v>
      </c>
      <c r="AD18" s="34">
        <f>AC18/M18</f>
        <v>0.75</v>
      </c>
      <c r="AE18" s="35">
        <f>1.7*12</f>
        <v>20.399999999999999</v>
      </c>
      <c r="AF18" s="35">
        <f>1.1*12</f>
        <v>13.200000000000001</v>
      </c>
      <c r="CW18" s="14" t="s">
        <v>23</v>
      </c>
      <c r="CX18" s="14" t="s">
        <v>24</v>
      </c>
      <c r="CY18" s="14">
        <v>2019</v>
      </c>
      <c r="CZ18" s="36" t="s">
        <v>25</v>
      </c>
      <c r="DA18" s="14" t="s">
        <v>26</v>
      </c>
      <c r="DB18" s="14">
        <v>6</v>
      </c>
      <c r="DC18" s="14">
        <v>3</v>
      </c>
      <c r="DD18" s="14" t="s">
        <v>27</v>
      </c>
      <c r="DE18" s="14" t="s">
        <v>28</v>
      </c>
    </row>
    <row r="19" spans="1:109">
      <c r="A19" s="14" t="s">
        <v>1772</v>
      </c>
      <c r="C19" s="14" t="s">
        <v>1082</v>
      </c>
      <c r="D19" s="14" t="s">
        <v>818</v>
      </c>
      <c r="E19" s="14" t="s">
        <v>672</v>
      </c>
      <c r="F19" s="14" t="s">
        <v>2244</v>
      </c>
      <c r="H19" s="14" t="s">
        <v>637</v>
      </c>
      <c r="I19" s="14" t="s">
        <v>4056</v>
      </c>
      <c r="L19" s="14" t="s">
        <v>2249</v>
      </c>
      <c r="M19" s="14">
        <v>40</v>
      </c>
      <c r="Q19" s="14">
        <v>64.400000000000006</v>
      </c>
      <c r="R19" s="14">
        <v>12.5</v>
      </c>
      <c r="V19" s="14">
        <f>40*0.575</f>
        <v>23</v>
      </c>
      <c r="W19" s="14">
        <f t="shared" si="2"/>
        <v>0.57499999999999996</v>
      </c>
      <c r="X19" s="14">
        <v>39.799999999999997</v>
      </c>
      <c r="Y19" s="14">
        <v>5.3</v>
      </c>
      <c r="AC19" s="14">
        <f>0.725*40</f>
        <v>29</v>
      </c>
      <c r="AD19" s="34">
        <v>0.72499999999999998</v>
      </c>
      <c r="AL19" s="35">
        <v>25</v>
      </c>
      <c r="AM19" s="35">
        <v>18.100000000000001</v>
      </c>
      <c r="AN19" s="35">
        <v>38.799999999999997</v>
      </c>
      <c r="CW19" s="14" t="s">
        <v>1078</v>
      </c>
      <c r="CX19" s="14" t="s">
        <v>1079</v>
      </c>
      <c r="CY19" s="14">
        <v>2021</v>
      </c>
      <c r="CZ19" s="36">
        <v>45417</v>
      </c>
      <c r="DA19" s="14" t="s">
        <v>1080</v>
      </c>
      <c r="DB19" s="14">
        <v>11</v>
      </c>
      <c r="DC19" s="14">
        <v>5</v>
      </c>
      <c r="DE19" s="14" t="s">
        <v>1081</v>
      </c>
    </row>
    <row r="20" spans="1:109" ht="20">
      <c r="A20" s="13" t="s">
        <v>1664</v>
      </c>
      <c r="B20" s="13" t="s">
        <v>1664</v>
      </c>
      <c r="C20" s="13" t="s">
        <v>36</v>
      </c>
      <c r="D20" s="13" t="s">
        <v>827</v>
      </c>
      <c r="E20" s="14" t="s">
        <v>673</v>
      </c>
      <c r="F20" s="14" t="s">
        <v>684</v>
      </c>
      <c r="G20" s="14" t="s">
        <v>666</v>
      </c>
      <c r="H20" s="13" t="s">
        <v>637</v>
      </c>
      <c r="I20" s="14" t="s">
        <v>3083</v>
      </c>
      <c r="J20" s="13" t="s">
        <v>1958</v>
      </c>
      <c r="K20" s="13" t="s">
        <v>636</v>
      </c>
      <c r="N20" s="16"/>
      <c r="O20" s="16"/>
      <c r="P20" s="16"/>
      <c r="Q20" s="13">
        <v>68.5</v>
      </c>
      <c r="R20" s="13">
        <v>8.6999999999999993</v>
      </c>
      <c r="S20" s="16"/>
      <c r="T20" s="16"/>
      <c r="U20" s="16"/>
      <c r="CW20" s="13" t="s">
        <v>30</v>
      </c>
      <c r="CX20" s="13" t="s">
        <v>31</v>
      </c>
      <c r="CY20" s="13">
        <v>2022</v>
      </c>
      <c r="CZ20" s="13" t="s">
        <v>32</v>
      </c>
      <c r="DA20" s="13" t="s">
        <v>33</v>
      </c>
      <c r="DB20" s="13">
        <v>27</v>
      </c>
      <c r="DC20" s="13">
        <v>5</v>
      </c>
      <c r="DD20" s="13" t="s">
        <v>34</v>
      </c>
      <c r="DE20" s="13" t="s">
        <v>35</v>
      </c>
    </row>
    <row r="21" spans="1:109" ht="20">
      <c r="A21" s="14" t="s">
        <v>1773</v>
      </c>
      <c r="C21" s="14" t="s">
        <v>1086</v>
      </c>
      <c r="D21" s="14" t="s">
        <v>817</v>
      </c>
      <c r="E21" s="14" t="s">
        <v>672</v>
      </c>
      <c r="F21" s="14" t="s">
        <v>904</v>
      </c>
      <c r="H21" s="14" t="s">
        <v>637</v>
      </c>
      <c r="I21" s="14" t="s">
        <v>3084</v>
      </c>
      <c r="J21" s="14" t="s">
        <v>2250</v>
      </c>
      <c r="L21" s="14" t="s">
        <v>718</v>
      </c>
      <c r="M21" s="14">
        <v>307</v>
      </c>
      <c r="P21" s="14">
        <v>18</v>
      </c>
      <c r="S21" s="14">
        <v>66</v>
      </c>
      <c r="T21" s="14">
        <v>58</v>
      </c>
      <c r="U21" s="14">
        <v>73</v>
      </c>
      <c r="V21" s="14">
        <v>164</v>
      </c>
      <c r="W21" s="14">
        <f>V21/M21</f>
        <v>0.53420195439739415</v>
      </c>
      <c r="Z21" s="14">
        <v>40.5</v>
      </c>
      <c r="AA21" s="14">
        <v>37</v>
      </c>
      <c r="AB21" s="14">
        <v>43</v>
      </c>
      <c r="AC21" s="14">
        <v>218</v>
      </c>
      <c r="AD21" s="34">
        <f>AC21/M21</f>
        <v>0.71009771986970682</v>
      </c>
      <c r="AL21" s="35">
        <v>26.3</v>
      </c>
      <c r="AM21" s="35">
        <v>18.5</v>
      </c>
      <c r="AN21" s="35">
        <v>39.4</v>
      </c>
      <c r="CW21" s="13" t="s">
        <v>1083</v>
      </c>
      <c r="CX21" s="13" t="s">
        <v>1084</v>
      </c>
      <c r="CY21" s="13">
        <v>2023</v>
      </c>
      <c r="CZ21" s="21">
        <v>45480</v>
      </c>
      <c r="DA21" s="13" t="s">
        <v>316</v>
      </c>
      <c r="DB21" s="13">
        <v>24</v>
      </c>
      <c r="DC21" s="13">
        <v>13</v>
      </c>
      <c r="DD21" s="13"/>
      <c r="DE21" s="13" t="s">
        <v>1085</v>
      </c>
    </row>
    <row r="22" spans="1:109" ht="20">
      <c r="A22" s="14" t="s">
        <v>1773</v>
      </c>
      <c r="C22" s="14" t="s">
        <v>2262</v>
      </c>
      <c r="D22" s="14" t="s">
        <v>817</v>
      </c>
      <c r="E22" s="14" t="s">
        <v>672</v>
      </c>
      <c r="F22" s="14" t="s">
        <v>904</v>
      </c>
      <c r="H22" s="14" t="s">
        <v>637</v>
      </c>
      <c r="I22" s="14" t="s">
        <v>3084</v>
      </c>
      <c r="J22" s="14" t="s">
        <v>2250</v>
      </c>
      <c r="L22" s="14" t="s">
        <v>718</v>
      </c>
      <c r="M22" s="14">
        <v>143</v>
      </c>
      <c r="S22" s="14">
        <v>67</v>
      </c>
      <c r="T22" s="14">
        <v>61.5</v>
      </c>
      <c r="U22" s="14">
        <v>74</v>
      </c>
      <c r="V22" s="14">
        <v>0</v>
      </c>
      <c r="W22" s="14">
        <f>V22/M22</f>
        <v>0</v>
      </c>
      <c r="Z22" s="14">
        <v>40</v>
      </c>
      <c r="AA22" s="14">
        <v>36</v>
      </c>
      <c r="AB22" s="14">
        <v>42</v>
      </c>
      <c r="AC22" s="14">
        <v>90</v>
      </c>
      <c r="AD22" s="34">
        <f>AC22/M22</f>
        <v>0.62937062937062938</v>
      </c>
      <c r="AL22" s="35">
        <v>28</v>
      </c>
      <c r="AM22" s="35">
        <v>18.8</v>
      </c>
      <c r="AN22" s="35">
        <v>40</v>
      </c>
      <c r="BN22" s="14" t="s">
        <v>2552</v>
      </c>
      <c r="BQ22" s="14">
        <v>0.11</v>
      </c>
      <c r="BU22" s="14" t="s">
        <v>769</v>
      </c>
      <c r="CC22" s="14">
        <v>-0.16</v>
      </c>
      <c r="CG22" s="14" t="s">
        <v>769</v>
      </c>
      <c r="CJ22" s="14" t="s">
        <v>2260</v>
      </c>
      <c r="CK22" s="14">
        <v>-0.11</v>
      </c>
      <c r="CN22" s="27" t="s">
        <v>769</v>
      </c>
      <c r="CW22" s="13" t="s">
        <v>1083</v>
      </c>
      <c r="CX22" s="13" t="s">
        <v>1084</v>
      </c>
      <c r="CY22" s="13">
        <v>2023</v>
      </c>
      <c r="CZ22" s="21">
        <v>45480</v>
      </c>
      <c r="DA22" s="13" t="s">
        <v>316</v>
      </c>
      <c r="DB22" s="13">
        <v>24</v>
      </c>
      <c r="DC22" s="13">
        <v>13</v>
      </c>
      <c r="DD22" s="13"/>
      <c r="DE22" s="13" t="s">
        <v>1085</v>
      </c>
    </row>
    <row r="23" spans="1:109" ht="20">
      <c r="A23" s="14" t="s">
        <v>1773</v>
      </c>
      <c r="C23" s="14" t="s">
        <v>2261</v>
      </c>
      <c r="D23" s="14" t="s">
        <v>817</v>
      </c>
      <c r="E23" s="14" t="s">
        <v>672</v>
      </c>
      <c r="F23" s="14" t="s">
        <v>904</v>
      </c>
      <c r="H23" s="14" t="s">
        <v>637</v>
      </c>
      <c r="I23" s="14" t="s">
        <v>3084</v>
      </c>
      <c r="J23" s="14" t="s">
        <v>2250</v>
      </c>
      <c r="L23" s="14" t="s">
        <v>718</v>
      </c>
      <c r="M23" s="14">
        <v>164</v>
      </c>
      <c r="S23" s="14">
        <v>65</v>
      </c>
      <c r="T23" s="14">
        <v>56</v>
      </c>
      <c r="U23" s="14">
        <v>72</v>
      </c>
      <c r="V23" s="14">
        <v>164</v>
      </c>
      <c r="W23" s="14">
        <f>V23/M23</f>
        <v>1</v>
      </c>
      <c r="Z23" s="14">
        <v>41</v>
      </c>
      <c r="AA23" s="14">
        <v>37</v>
      </c>
      <c r="AB23" s="14">
        <v>44</v>
      </c>
      <c r="AC23" s="14">
        <v>128</v>
      </c>
      <c r="AD23" s="34">
        <f>AC23/M23</f>
        <v>0.78048780487804881</v>
      </c>
      <c r="AL23" s="35">
        <v>25.8</v>
      </c>
      <c r="AM23" s="35">
        <v>18</v>
      </c>
      <c r="AN23" s="35">
        <v>39</v>
      </c>
      <c r="AU23" s="14" t="s">
        <v>2447</v>
      </c>
      <c r="BE23" s="29" t="s">
        <v>2292</v>
      </c>
      <c r="BG23" s="14">
        <v>2.2999999999999998</v>
      </c>
      <c r="BH23" s="14">
        <v>1.2</v>
      </c>
      <c r="BI23" s="14">
        <v>4.3</v>
      </c>
      <c r="BN23" s="14" t="s">
        <v>2552</v>
      </c>
      <c r="BQ23" s="14">
        <v>0.25</v>
      </c>
      <c r="BU23" s="14" t="s">
        <v>769</v>
      </c>
      <c r="CC23" s="14">
        <v>-0.21</v>
      </c>
      <c r="CG23" s="14" t="s">
        <v>769</v>
      </c>
      <c r="CJ23" s="14" t="s">
        <v>2260</v>
      </c>
      <c r="CK23" s="14">
        <v>-0.11</v>
      </c>
      <c r="CN23" s="27" t="s">
        <v>769</v>
      </c>
      <c r="CW23" s="13" t="s">
        <v>1083</v>
      </c>
      <c r="CX23" s="13" t="s">
        <v>1084</v>
      </c>
      <c r="CY23" s="13">
        <v>2023</v>
      </c>
      <c r="CZ23" s="21">
        <v>45480</v>
      </c>
      <c r="DA23" s="13" t="s">
        <v>316</v>
      </c>
      <c r="DB23" s="13">
        <v>24</v>
      </c>
      <c r="DC23" s="13">
        <v>13</v>
      </c>
      <c r="DD23" s="13"/>
      <c r="DE23" s="13" t="s">
        <v>1085</v>
      </c>
    </row>
    <row r="24" spans="1:109" ht="20">
      <c r="A24" s="13" t="s">
        <v>1665</v>
      </c>
      <c r="B24" s="13" t="s">
        <v>1665</v>
      </c>
      <c r="C24" s="13" t="s">
        <v>41</v>
      </c>
      <c r="D24" s="14" t="s">
        <v>4179</v>
      </c>
      <c r="F24" s="14" t="s">
        <v>685</v>
      </c>
      <c r="H24" s="13" t="s">
        <v>586</v>
      </c>
      <c r="J24" s="13" t="s">
        <v>646</v>
      </c>
      <c r="K24" s="13"/>
      <c r="N24" s="13"/>
      <c r="O24" s="13"/>
      <c r="P24" s="13"/>
      <c r="Q24" s="13"/>
      <c r="R24" s="13"/>
      <c r="S24" s="13"/>
      <c r="T24" s="13"/>
      <c r="U24" s="13"/>
      <c r="CW24" s="13" t="s">
        <v>37</v>
      </c>
      <c r="CX24" s="13" t="s">
        <v>38</v>
      </c>
      <c r="CY24" s="13">
        <v>2022</v>
      </c>
      <c r="CZ24" s="13"/>
      <c r="DA24" s="13" t="s">
        <v>39</v>
      </c>
      <c r="DB24" s="13">
        <v>13</v>
      </c>
      <c r="DC24" s="13"/>
      <c r="DD24" s="13" t="s">
        <v>2225</v>
      </c>
      <c r="DE24" s="13" t="s">
        <v>40</v>
      </c>
    </row>
    <row r="25" spans="1:109" ht="20">
      <c r="A25" s="13" t="s">
        <v>3361</v>
      </c>
      <c r="B25" s="13"/>
      <c r="C25" s="13" t="s">
        <v>3291</v>
      </c>
      <c r="D25" s="13"/>
      <c r="E25" s="13" t="s">
        <v>702</v>
      </c>
      <c r="F25" s="13" t="s">
        <v>3666</v>
      </c>
      <c r="G25" s="13"/>
      <c r="H25" s="14" t="s">
        <v>647</v>
      </c>
      <c r="I25" s="13" t="s">
        <v>3663</v>
      </c>
      <c r="J25" s="14" t="s">
        <v>3664</v>
      </c>
      <c r="K25" s="13"/>
      <c r="L25" s="13"/>
      <c r="M25" s="13">
        <v>14</v>
      </c>
      <c r="N25" s="13">
        <v>0</v>
      </c>
      <c r="O25" s="15">
        <v>0</v>
      </c>
      <c r="P25" s="13">
        <v>0</v>
      </c>
      <c r="Q25" s="13">
        <v>57.6</v>
      </c>
      <c r="R25" s="13">
        <v>5.3</v>
      </c>
      <c r="S25" s="13"/>
      <c r="T25" s="13"/>
      <c r="U25" s="13"/>
      <c r="V25" s="13">
        <v>4</v>
      </c>
      <c r="W25" s="2">
        <f>V25/M25</f>
        <v>0.2857142857142857</v>
      </c>
      <c r="X25" s="13">
        <v>34.71</v>
      </c>
      <c r="Y25" s="13">
        <v>9.69</v>
      </c>
      <c r="Z25" s="13">
        <v>40</v>
      </c>
      <c r="AA25" s="13">
        <v>27.25</v>
      </c>
      <c r="AB25" s="13">
        <v>42</v>
      </c>
      <c r="AC25" s="13">
        <v>8</v>
      </c>
      <c r="AD25" s="13">
        <f>AC25/M25</f>
        <v>0.5714285714285714</v>
      </c>
      <c r="AE25" s="13">
        <v>14</v>
      </c>
      <c r="AF25" s="13">
        <v>6.1</v>
      </c>
      <c r="AG25" s="13"/>
      <c r="AH25" s="13"/>
      <c r="AI25" s="13"/>
      <c r="AJ25" s="13"/>
      <c r="AK25" s="13"/>
      <c r="AL25" s="13"/>
      <c r="AM25" s="13"/>
      <c r="AN25" s="13"/>
      <c r="AO25" s="13"/>
      <c r="AP25" s="13"/>
      <c r="AQ25" s="13"/>
      <c r="AR25" s="13"/>
      <c r="AS25" s="13"/>
      <c r="AT25" s="13"/>
      <c r="AU25" s="13"/>
      <c r="AV25" s="13"/>
      <c r="AW25" s="13"/>
      <c r="AX25" s="13"/>
      <c r="AY25" s="13"/>
      <c r="AZ25" s="13"/>
      <c r="BA25" s="16"/>
      <c r="BB25" s="13"/>
      <c r="BC25" s="13"/>
      <c r="BD25" s="13"/>
      <c r="BE25" s="16"/>
      <c r="BF25" s="13"/>
      <c r="BG25" s="13"/>
      <c r="BH25" s="13"/>
      <c r="BI25" s="13"/>
      <c r="BJ25" s="16"/>
      <c r="BK25" s="13"/>
      <c r="BL25" s="13"/>
      <c r="BM25" s="13"/>
      <c r="BN25" s="16"/>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t="s">
        <v>3441</v>
      </c>
      <c r="CX25" s="13" t="s">
        <v>3442</v>
      </c>
      <c r="CY25" s="13">
        <v>2025</v>
      </c>
      <c r="CZ25" s="21">
        <v>45680</v>
      </c>
      <c r="DA25" s="13" t="s">
        <v>1487</v>
      </c>
      <c r="DB25" s="13">
        <v>22</v>
      </c>
      <c r="DC25" s="13">
        <v>1</v>
      </c>
      <c r="DD25" s="13">
        <v>15</v>
      </c>
      <c r="DE25" s="13" t="s">
        <v>3216</v>
      </c>
    </row>
    <row r="26" spans="1:109" ht="20">
      <c r="A26" s="13" t="s">
        <v>3361</v>
      </c>
      <c r="B26" s="13"/>
      <c r="C26" s="13" t="s">
        <v>3291</v>
      </c>
      <c r="D26" s="13"/>
      <c r="E26" s="13" t="s">
        <v>674</v>
      </c>
      <c r="F26" s="13" t="s">
        <v>675</v>
      </c>
      <c r="G26" s="13"/>
      <c r="H26" s="14" t="s">
        <v>647</v>
      </c>
      <c r="I26" s="13" t="s">
        <v>3663</v>
      </c>
      <c r="J26" s="14" t="s">
        <v>3664</v>
      </c>
      <c r="K26" s="13"/>
      <c r="L26" s="13" t="s">
        <v>639</v>
      </c>
      <c r="M26" s="13">
        <v>14</v>
      </c>
      <c r="N26" s="13">
        <v>0</v>
      </c>
      <c r="O26" s="15">
        <v>0</v>
      </c>
      <c r="P26" s="13">
        <v>0</v>
      </c>
      <c r="Q26" s="13">
        <v>57.6</v>
      </c>
      <c r="R26" s="13">
        <v>5.3</v>
      </c>
      <c r="S26" s="13"/>
      <c r="T26" s="13"/>
      <c r="U26" s="13"/>
      <c r="V26" s="13">
        <v>4</v>
      </c>
      <c r="W26" s="2">
        <f>V26/M26</f>
        <v>0.2857142857142857</v>
      </c>
      <c r="X26" s="13">
        <v>34.71</v>
      </c>
      <c r="Y26" s="13">
        <v>9.69</v>
      </c>
      <c r="Z26" s="13">
        <v>40</v>
      </c>
      <c r="AA26" s="13">
        <v>27.25</v>
      </c>
      <c r="AB26" s="13">
        <v>42</v>
      </c>
      <c r="AC26" s="13">
        <v>8</v>
      </c>
      <c r="AD26" s="13">
        <f>AC26/M26</f>
        <v>0.5714285714285714</v>
      </c>
      <c r="AE26" s="13">
        <v>14</v>
      </c>
      <c r="AF26" s="13">
        <v>6.1</v>
      </c>
      <c r="AG26" s="13"/>
      <c r="AH26" s="13"/>
      <c r="AI26" s="13"/>
      <c r="AJ26" s="13"/>
      <c r="AK26" s="13"/>
      <c r="AL26" s="13"/>
      <c r="AM26" s="13"/>
      <c r="AN26" s="13"/>
      <c r="AO26" s="13"/>
      <c r="AP26" s="13"/>
      <c r="AQ26" s="13"/>
      <c r="AR26" s="13"/>
      <c r="AS26" s="13"/>
      <c r="AT26" s="13"/>
      <c r="AU26" s="13"/>
      <c r="AV26" s="13"/>
      <c r="AW26" s="13"/>
      <c r="AX26" s="13"/>
      <c r="AY26" s="13"/>
      <c r="AZ26" s="13"/>
      <c r="BA26" s="16"/>
      <c r="BB26" s="13"/>
      <c r="BC26" s="13"/>
      <c r="BD26" s="13"/>
      <c r="BE26" s="16"/>
      <c r="BF26" s="13"/>
      <c r="BG26" s="13"/>
      <c r="BH26" s="13"/>
      <c r="BI26" s="13"/>
      <c r="BJ26" s="16"/>
      <c r="BK26" s="13"/>
      <c r="BL26" s="13"/>
      <c r="BM26" s="13"/>
      <c r="BN26" s="16"/>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t="s">
        <v>3441</v>
      </c>
      <c r="CX26" s="13" t="s">
        <v>3442</v>
      </c>
      <c r="CY26" s="13">
        <v>2025</v>
      </c>
      <c r="CZ26" s="21">
        <v>45680</v>
      </c>
      <c r="DA26" s="13" t="s">
        <v>1487</v>
      </c>
      <c r="DB26" s="13">
        <v>22</v>
      </c>
      <c r="DC26" s="13">
        <v>1</v>
      </c>
      <c r="DD26" s="13">
        <v>15</v>
      </c>
      <c r="DE26" s="13" t="s">
        <v>3216</v>
      </c>
    </row>
    <row r="27" spans="1:109" ht="20">
      <c r="A27" s="13" t="s">
        <v>3362</v>
      </c>
      <c r="B27" s="13"/>
      <c r="C27" s="13" t="s">
        <v>3292</v>
      </c>
      <c r="D27" s="14" t="s">
        <v>830</v>
      </c>
      <c r="E27" s="13" t="s">
        <v>674</v>
      </c>
      <c r="F27" s="13" t="s">
        <v>858</v>
      </c>
      <c r="G27" s="13"/>
      <c r="H27" s="14" t="s">
        <v>584</v>
      </c>
      <c r="I27" s="13" t="s">
        <v>3667</v>
      </c>
      <c r="J27" s="14" t="s">
        <v>3669</v>
      </c>
      <c r="K27" s="13" t="s">
        <v>3668</v>
      </c>
      <c r="L27" s="13" t="s">
        <v>639</v>
      </c>
      <c r="M27" s="13">
        <v>101</v>
      </c>
      <c r="N27" s="13"/>
      <c r="O27" s="15"/>
      <c r="P27" s="13"/>
      <c r="Q27" s="13"/>
      <c r="R27" s="13"/>
      <c r="S27" s="13"/>
      <c r="T27" s="13"/>
      <c r="U27" s="13"/>
      <c r="V27" s="13"/>
      <c r="W27" s="2"/>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6"/>
      <c r="BB27" s="13"/>
      <c r="BC27" s="13"/>
      <c r="BD27" s="13"/>
      <c r="BE27" s="16"/>
      <c r="BF27" s="13"/>
      <c r="BG27" s="13"/>
      <c r="BH27" s="13"/>
      <c r="BI27" s="13"/>
      <c r="BJ27" s="16"/>
      <c r="BK27" s="13"/>
      <c r="BL27" s="13"/>
      <c r="BM27" s="13"/>
      <c r="BN27" s="16"/>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t="s">
        <v>3443</v>
      </c>
      <c r="CX27" s="13" t="s">
        <v>3444</v>
      </c>
      <c r="CY27" s="13">
        <v>2024</v>
      </c>
      <c r="CZ27" s="21">
        <v>45989</v>
      </c>
      <c r="DA27" s="13" t="s">
        <v>3445</v>
      </c>
      <c r="DB27" s="13">
        <v>14</v>
      </c>
      <c r="DC27" s="13">
        <v>12</v>
      </c>
      <c r="DD27" s="13"/>
      <c r="DE27" s="13" t="s">
        <v>3217</v>
      </c>
    </row>
    <row r="28" spans="1:109" ht="20">
      <c r="A28" s="13" t="s">
        <v>3362</v>
      </c>
      <c r="B28" s="13"/>
      <c r="C28" s="13" t="s">
        <v>3292</v>
      </c>
      <c r="D28" s="14" t="s">
        <v>830</v>
      </c>
      <c r="E28" s="13" t="s">
        <v>673</v>
      </c>
      <c r="F28" s="13" t="s">
        <v>858</v>
      </c>
      <c r="G28" s="13"/>
      <c r="H28" s="14" t="s">
        <v>584</v>
      </c>
      <c r="I28" s="13" t="s">
        <v>3667</v>
      </c>
      <c r="J28" s="14" t="s">
        <v>3669</v>
      </c>
      <c r="K28" s="13" t="s">
        <v>3668</v>
      </c>
      <c r="L28" s="13" t="s">
        <v>639</v>
      </c>
      <c r="M28" s="13">
        <v>101</v>
      </c>
      <c r="N28" s="13"/>
      <c r="O28" s="15"/>
      <c r="P28" s="13"/>
      <c r="Q28" s="13"/>
      <c r="R28" s="13"/>
      <c r="S28" s="13"/>
      <c r="T28" s="13"/>
      <c r="U28" s="13"/>
      <c r="V28" s="13"/>
      <c r="W28" s="2"/>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6"/>
      <c r="BB28" s="13"/>
      <c r="BC28" s="13"/>
      <c r="BD28" s="13"/>
      <c r="BE28" s="16"/>
      <c r="BF28" s="13"/>
      <c r="BG28" s="13"/>
      <c r="BH28" s="13"/>
      <c r="BI28" s="13"/>
      <c r="BJ28" s="16"/>
      <c r="BK28" s="13"/>
      <c r="BL28" s="13"/>
      <c r="BM28" s="13"/>
      <c r="BN28" s="16"/>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t="s">
        <v>3443</v>
      </c>
      <c r="CX28" s="13" t="s">
        <v>3444</v>
      </c>
      <c r="CY28" s="13">
        <v>2024</v>
      </c>
      <c r="CZ28" s="21">
        <v>45989</v>
      </c>
      <c r="DA28" s="13" t="s">
        <v>3445</v>
      </c>
      <c r="DB28" s="13">
        <v>14</v>
      </c>
      <c r="DC28" s="13">
        <v>12</v>
      </c>
      <c r="DD28" s="13"/>
      <c r="DE28" s="13" t="s">
        <v>3217</v>
      </c>
    </row>
    <row r="29" spans="1:109" ht="20">
      <c r="A29" s="14" t="s">
        <v>1995</v>
      </c>
      <c r="B29" s="14" t="s">
        <v>1666</v>
      </c>
      <c r="C29" s="14" t="s">
        <v>47</v>
      </c>
      <c r="D29" s="14" t="s">
        <v>820</v>
      </c>
      <c r="E29" s="14" t="s">
        <v>672</v>
      </c>
      <c r="F29" s="14" t="s">
        <v>648</v>
      </c>
      <c r="H29" s="14" t="s">
        <v>647</v>
      </c>
      <c r="I29" s="14" t="s">
        <v>3940</v>
      </c>
      <c r="J29" s="14" t="s">
        <v>585</v>
      </c>
      <c r="L29" s="14" t="s">
        <v>639</v>
      </c>
      <c r="M29" s="14">
        <v>43</v>
      </c>
      <c r="N29" s="14">
        <v>0</v>
      </c>
      <c r="O29" s="34">
        <v>0</v>
      </c>
      <c r="Q29" s="14">
        <v>61</v>
      </c>
      <c r="R29" s="14">
        <v>10.8</v>
      </c>
      <c r="V29" s="14">
        <v>14</v>
      </c>
      <c r="W29" s="14">
        <f>V29/M29</f>
        <v>0.32558139534883723</v>
      </c>
      <c r="AC29" s="14">
        <v>21</v>
      </c>
      <c r="AD29" s="34">
        <f>AC29/M29</f>
        <v>0.48837209302325579</v>
      </c>
      <c r="AE29" s="35">
        <v>10</v>
      </c>
      <c r="AJ29" s="35">
        <v>23</v>
      </c>
      <c r="BN29" s="14" t="s">
        <v>2552</v>
      </c>
      <c r="BQ29" s="29" t="s">
        <v>2268</v>
      </c>
      <c r="BR29" s="29"/>
      <c r="BU29" s="14" t="s">
        <v>761</v>
      </c>
      <c r="CK29" s="29" t="s">
        <v>2268</v>
      </c>
      <c r="CL29" s="29"/>
      <c r="CM29" s="29"/>
      <c r="CN29" s="14" t="s">
        <v>761</v>
      </c>
      <c r="CV29" s="13" t="s">
        <v>2263</v>
      </c>
      <c r="CW29" s="14" t="s">
        <v>42</v>
      </c>
      <c r="CX29" s="14" t="s">
        <v>2053</v>
      </c>
      <c r="CY29" s="14">
        <v>2020</v>
      </c>
      <c r="CZ29" s="36">
        <v>45613</v>
      </c>
      <c r="DA29" s="14" t="s">
        <v>316</v>
      </c>
      <c r="DB29" s="14">
        <v>21</v>
      </c>
      <c r="DC29" s="14">
        <v>22</v>
      </c>
      <c r="DE29" s="14" t="s">
        <v>46</v>
      </c>
    </row>
    <row r="30" spans="1:109" ht="20">
      <c r="A30" s="13" t="s">
        <v>3363</v>
      </c>
      <c r="B30" s="13"/>
      <c r="C30" s="13" t="s">
        <v>3293</v>
      </c>
      <c r="D30" s="14" t="s">
        <v>827</v>
      </c>
      <c r="E30" s="13" t="s">
        <v>673</v>
      </c>
      <c r="F30" s="13" t="s">
        <v>3672</v>
      </c>
      <c r="G30" s="13"/>
      <c r="H30" s="14" t="s">
        <v>703</v>
      </c>
      <c r="I30" s="13" t="s">
        <v>3673</v>
      </c>
      <c r="J30" s="14" t="s">
        <v>585</v>
      </c>
      <c r="K30" s="13" t="s">
        <v>3674</v>
      </c>
      <c r="L30" s="13" t="s">
        <v>641</v>
      </c>
      <c r="M30" s="13">
        <v>65</v>
      </c>
      <c r="N30" s="13"/>
      <c r="O30" s="15"/>
      <c r="P30" s="13">
        <v>17</v>
      </c>
      <c r="Q30" s="13"/>
      <c r="R30" s="13"/>
      <c r="S30" s="13">
        <v>64.69</v>
      </c>
      <c r="T30" s="13">
        <v>53.64</v>
      </c>
      <c r="U30" s="13">
        <v>70.790000000000006</v>
      </c>
      <c r="V30" s="13">
        <v>40</v>
      </c>
      <c r="W30" s="2">
        <f>V30/M30</f>
        <v>0.61538461538461542</v>
      </c>
      <c r="X30" s="13"/>
      <c r="Y30" s="13"/>
      <c r="Z30" s="13">
        <v>40</v>
      </c>
      <c r="AA30" s="13">
        <v>37</v>
      </c>
      <c r="AB30" s="13">
        <v>44</v>
      </c>
      <c r="AC30" s="13">
        <v>44</v>
      </c>
      <c r="AD30" s="13">
        <f>AC30/M30</f>
        <v>0.67692307692307696</v>
      </c>
      <c r="AE30" s="13"/>
      <c r="AF30" s="13"/>
      <c r="AG30" s="13">
        <v>17</v>
      </c>
      <c r="AH30" s="13">
        <v>12</v>
      </c>
      <c r="AI30" s="13">
        <v>25</v>
      </c>
      <c r="AJ30" s="13"/>
      <c r="AK30" s="13"/>
      <c r="AL30" s="13">
        <v>35.5</v>
      </c>
      <c r="AM30" s="13">
        <v>24.5</v>
      </c>
      <c r="AN30" s="13">
        <v>48.5</v>
      </c>
      <c r="AO30" s="13"/>
      <c r="AP30" s="13"/>
      <c r="AQ30" s="13"/>
      <c r="AR30" s="13"/>
      <c r="AS30" s="13"/>
      <c r="AT30" s="13"/>
      <c r="AU30" s="13"/>
      <c r="AV30" s="13"/>
      <c r="AW30" s="13"/>
      <c r="AX30" s="13"/>
      <c r="AY30" s="13"/>
      <c r="AZ30" s="13"/>
      <c r="BA30" s="16"/>
      <c r="BB30" s="13"/>
      <c r="BC30" s="13"/>
      <c r="BD30" s="13"/>
      <c r="BE30" s="16"/>
      <c r="BF30" s="13"/>
      <c r="BG30" s="13"/>
      <c r="BH30" s="13"/>
      <c r="BI30" s="13"/>
      <c r="BJ30" s="16"/>
      <c r="BK30" s="13"/>
      <c r="BL30" s="13"/>
      <c r="BM30" s="13"/>
      <c r="BN30" s="16"/>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t="s">
        <v>3675</v>
      </c>
      <c r="CW30" s="13" t="s">
        <v>3446</v>
      </c>
      <c r="CX30" s="13" t="s">
        <v>3447</v>
      </c>
      <c r="CY30" s="13">
        <v>2025</v>
      </c>
      <c r="CZ30" s="21">
        <v>45663</v>
      </c>
      <c r="DA30" s="13" t="s">
        <v>120</v>
      </c>
      <c r="DB30" s="13"/>
      <c r="DC30" s="13"/>
      <c r="DD30" s="13"/>
      <c r="DE30" s="13" t="s">
        <v>3218</v>
      </c>
    </row>
    <row r="31" spans="1:109" ht="20">
      <c r="A31" s="13" t="s">
        <v>3364</v>
      </c>
      <c r="B31" s="13"/>
      <c r="C31" s="13" t="s">
        <v>3294</v>
      </c>
      <c r="D31" s="14" t="s">
        <v>830</v>
      </c>
      <c r="E31" s="13" t="s">
        <v>674</v>
      </c>
      <c r="F31" s="13" t="s">
        <v>675</v>
      </c>
      <c r="G31" s="13"/>
      <c r="H31" s="14" t="s">
        <v>584</v>
      </c>
      <c r="I31" s="13" t="s">
        <v>3676</v>
      </c>
      <c r="J31" s="14" t="s">
        <v>652</v>
      </c>
      <c r="K31" s="13"/>
      <c r="L31" s="13" t="s">
        <v>639</v>
      </c>
      <c r="M31" s="13">
        <v>18</v>
      </c>
      <c r="N31" s="13"/>
      <c r="O31" s="15"/>
      <c r="P31" s="13"/>
      <c r="Q31" s="13"/>
      <c r="R31" s="13"/>
      <c r="S31" s="13">
        <v>57</v>
      </c>
      <c r="T31" s="13">
        <v>47</v>
      </c>
      <c r="U31" s="13">
        <v>67</v>
      </c>
      <c r="V31" s="13"/>
      <c r="W31" s="2"/>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6"/>
      <c r="BB31" s="13"/>
      <c r="BC31" s="13"/>
      <c r="BD31" s="13"/>
      <c r="BE31" s="16"/>
      <c r="BF31" s="13"/>
      <c r="BG31" s="13"/>
      <c r="BH31" s="13"/>
      <c r="BI31" s="13"/>
      <c r="BJ31" s="16"/>
      <c r="BK31" s="13"/>
      <c r="BL31" s="13"/>
      <c r="BM31" s="13"/>
      <c r="BN31" s="16"/>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t="s">
        <v>3448</v>
      </c>
      <c r="CX31" s="13" t="s">
        <v>3449</v>
      </c>
      <c r="CY31" s="13">
        <v>2024</v>
      </c>
      <c r="CZ31" s="21">
        <v>45853</v>
      </c>
      <c r="DA31" s="13" t="s">
        <v>3450</v>
      </c>
      <c r="DB31" s="13">
        <v>561</v>
      </c>
      <c r="DC31" s="13"/>
      <c r="DD31" s="13">
        <v>119817</v>
      </c>
      <c r="DE31" s="13" t="s">
        <v>3219</v>
      </c>
    </row>
    <row r="32" spans="1:109" ht="20">
      <c r="A32" s="13" t="s">
        <v>3364</v>
      </c>
      <c r="B32" s="13"/>
      <c r="C32" s="13" t="s">
        <v>3294</v>
      </c>
      <c r="D32" s="14" t="s">
        <v>830</v>
      </c>
      <c r="E32" s="13" t="s">
        <v>674</v>
      </c>
      <c r="F32" s="13" t="s">
        <v>675</v>
      </c>
      <c r="G32" s="13"/>
      <c r="H32" s="14" t="s">
        <v>584</v>
      </c>
      <c r="I32" s="13" t="s">
        <v>3676</v>
      </c>
      <c r="J32" s="14" t="s">
        <v>3678</v>
      </c>
      <c r="K32" s="13"/>
      <c r="L32" s="13" t="s">
        <v>639</v>
      </c>
      <c r="M32" s="13">
        <v>18</v>
      </c>
      <c r="N32" s="13"/>
      <c r="O32" s="15"/>
      <c r="P32" s="13"/>
      <c r="Q32" s="13"/>
      <c r="R32" s="13"/>
      <c r="S32" s="13">
        <v>57</v>
      </c>
      <c r="T32" s="13">
        <v>47</v>
      </c>
      <c r="U32" s="13">
        <v>67</v>
      </c>
      <c r="V32" s="13"/>
      <c r="W32" s="2"/>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6"/>
      <c r="BB32" s="13"/>
      <c r="BC32" s="13"/>
      <c r="BD32" s="13"/>
      <c r="BE32" s="16"/>
      <c r="BF32" s="13"/>
      <c r="BG32" s="13"/>
      <c r="BH32" s="13"/>
      <c r="BI32" s="13"/>
      <c r="BJ32" s="16"/>
      <c r="BK32" s="13"/>
      <c r="BL32" s="13"/>
      <c r="BM32" s="13"/>
      <c r="BN32" s="16"/>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t="s">
        <v>3448</v>
      </c>
      <c r="CX32" s="13" t="s">
        <v>3449</v>
      </c>
      <c r="CY32" s="13">
        <v>2024</v>
      </c>
      <c r="CZ32" s="21">
        <v>45853</v>
      </c>
      <c r="DA32" s="13" t="s">
        <v>3450</v>
      </c>
      <c r="DB32" s="13">
        <v>561</v>
      </c>
      <c r="DC32" s="13"/>
      <c r="DD32" s="13">
        <v>119817</v>
      </c>
      <c r="DE32" s="13" t="s">
        <v>3219</v>
      </c>
    </row>
    <row r="33" spans="1:109" ht="20">
      <c r="A33" s="13" t="s">
        <v>3364</v>
      </c>
      <c r="B33" s="13"/>
      <c r="C33" s="13" t="s">
        <v>3294</v>
      </c>
      <c r="D33" s="14" t="s">
        <v>830</v>
      </c>
      <c r="E33" s="13" t="s">
        <v>674</v>
      </c>
      <c r="F33" s="13" t="s">
        <v>675</v>
      </c>
      <c r="G33" s="13"/>
      <c r="H33" s="14" t="s">
        <v>584</v>
      </c>
      <c r="I33" s="13" t="s">
        <v>3676</v>
      </c>
      <c r="J33" s="14" t="s">
        <v>3679</v>
      </c>
      <c r="K33" s="13"/>
      <c r="L33" s="13" t="s">
        <v>639</v>
      </c>
      <c r="M33" s="13">
        <v>18</v>
      </c>
      <c r="N33" s="13"/>
      <c r="O33" s="15"/>
      <c r="P33" s="13"/>
      <c r="Q33" s="13"/>
      <c r="R33" s="13"/>
      <c r="S33" s="13">
        <v>57</v>
      </c>
      <c r="T33" s="13">
        <v>47</v>
      </c>
      <c r="U33" s="13">
        <v>67</v>
      </c>
      <c r="V33" s="13"/>
      <c r="W33" s="2"/>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6"/>
      <c r="BB33" s="13"/>
      <c r="BC33" s="13"/>
      <c r="BD33" s="13"/>
      <c r="BE33" s="16"/>
      <c r="BF33" s="13"/>
      <c r="BG33" s="13"/>
      <c r="BH33" s="13"/>
      <c r="BI33" s="13"/>
      <c r="BJ33" s="16"/>
      <c r="BK33" s="13"/>
      <c r="BL33" s="13"/>
      <c r="BM33" s="13"/>
      <c r="BN33" s="16"/>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t="s">
        <v>3448</v>
      </c>
      <c r="CX33" s="13" t="s">
        <v>3449</v>
      </c>
      <c r="CY33" s="13">
        <v>2024</v>
      </c>
      <c r="CZ33" s="21">
        <v>45853</v>
      </c>
      <c r="DA33" s="13" t="s">
        <v>3450</v>
      </c>
      <c r="DB33" s="13">
        <v>561</v>
      </c>
      <c r="DC33" s="13"/>
      <c r="DD33" s="13">
        <v>119817</v>
      </c>
      <c r="DE33" s="13" t="s">
        <v>3219</v>
      </c>
    </row>
    <row r="34" spans="1:109" ht="20">
      <c r="A34" s="13" t="s">
        <v>3364</v>
      </c>
      <c r="B34" s="13"/>
      <c r="C34" s="13" t="s">
        <v>3294</v>
      </c>
      <c r="D34" s="14" t="s">
        <v>830</v>
      </c>
      <c r="E34" s="13" t="s">
        <v>674</v>
      </c>
      <c r="F34" s="13" t="s">
        <v>675</v>
      </c>
      <c r="G34" s="13"/>
      <c r="H34" s="14" t="s">
        <v>584</v>
      </c>
      <c r="I34" s="13" t="s">
        <v>3676</v>
      </c>
      <c r="J34" s="14" t="s">
        <v>3680</v>
      </c>
      <c r="K34" s="13"/>
      <c r="L34" s="13" t="s">
        <v>639</v>
      </c>
      <c r="M34" s="13">
        <v>18</v>
      </c>
      <c r="N34" s="13"/>
      <c r="O34" s="15"/>
      <c r="P34" s="13"/>
      <c r="Q34" s="13"/>
      <c r="R34" s="13"/>
      <c r="S34" s="13">
        <v>57</v>
      </c>
      <c r="T34" s="13">
        <v>47</v>
      </c>
      <c r="U34" s="13">
        <v>67</v>
      </c>
      <c r="V34" s="13"/>
      <c r="W34" s="2"/>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6"/>
      <c r="BB34" s="13"/>
      <c r="BC34" s="13"/>
      <c r="BD34" s="13"/>
      <c r="BE34" s="16"/>
      <c r="BF34" s="13"/>
      <c r="BG34" s="13"/>
      <c r="BH34" s="13"/>
      <c r="BI34" s="13"/>
      <c r="BJ34" s="16"/>
      <c r="BK34" s="13"/>
      <c r="BL34" s="13"/>
      <c r="BM34" s="13"/>
      <c r="BN34" s="16"/>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t="s">
        <v>3448</v>
      </c>
      <c r="CX34" s="13" t="s">
        <v>3449</v>
      </c>
      <c r="CY34" s="13">
        <v>2024</v>
      </c>
      <c r="CZ34" s="21">
        <v>45853</v>
      </c>
      <c r="DA34" s="13" t="s">
        <v>3450</v>
      </c>
      <c r="DB34" s="13">
        <v>561</v>
      </c>
      <c r="DC34" s="13"/>
      <c r="DD34" s="13">
        <v>119817</v>
      </c>
      <c r="DE34" s="13" t="s">
        <v>3219</v>
      </c>
    </row>
    <row r="35" spans="1:109" ht="20">
      <c r="A35" s="13" t="s">
        <v>1667</v>
      </c>
      <c r="B35" s="13" t="s">
        <v>1667</v>
      </c>
      <c r="C35" s="13" t="s">
        <v>52</v>
      </c>
      <c r="D35" s="13" t="s">
        <v>830</v>
      </c>
      <c r="E35" s="14" t="s">
        <v>674</v>
      </c>
      <c r="F35" s="14" t="s">
        <v>675</v>
      </c>
      <c r="H35" s="13" t="s">
        <v>586</v>
      </c>
      <c r="I35" s="14" t="s">
        <v>3172</v>
      </c>
      <c r="J35" s="13" t="s">
        <v>652</v>
      </c>
      <c r="K35" s="13"/>
      <c r="N35" s="16"/>
      <c r="O35" s="16"/>
      <c r="P35" s="16"/>
      <c r="Q35" s="13">
        <v>62.2</v>
      </c>
      <c r="R35" s="13">
        <v>12.5</v>
      </c>
      <c r="S35" s="16"/>
      <c r="T35" s="16"/>
      <c r="U35" s="16"/>
      <c r="CW35" s="13" t="s">
        <v>48</v>
      </c>
      <c r="CX35" s="13" t="s">
        <v>49</v>
      </c>
      <c r="CY35" s="13">
        <v>2021</v>
      </c>
      <c r="CZ35" s="13" t="s">
        <v>2224</v>
      </c>
      <c r="DA35" s="13" t="s">
        <v>50</v>
      </c>
      <c r="DB35" s="13">
        <v>12</v>
      </c>
      <c r="DC35" s="13">
        <v>1</v>
      </c>
      <c r="DD35" s="13" t="s">
        <v>2223</v>
      </c>
      <c r="DE35" s="13" t="s">
        <v>51</v>
      </c>
    </row>
    <row r="36" spans="1:109">
      <c r="A36" s="14" t="s">
        <v>1774</v>
      </c>
      <c r="C36" s="14" t="s">
        <v>1090</v>
      </c>
      <c r="D36" s="14" t="s">
        <v>2264</v>
      </c>
      <c r="E36" s="14" t="s">
        <v>672</v>
      </c>
      <c r="F36" s="14" t="s">
        <v>2265</v>
      </c>
      <c r="H36" s="14" t="s">
        <v>647</v>
      </c>
      <c r="I36" s="14" t="s">
        <v>3940</v>
      </c>
      <c r="J36" s="14" t="s">
        <v>4115</v>
      </c>
      <c r="M36" s="14">
        <v>246</v>
      </c>
      <c r="P36" s="14">
        <v>20</v>
      </c>
      <c r="Q36" s="14">
        <v>60.8</v>
      </c>
      <c r="R36" s="14">
        <v>12.4</v>
      </c>
      <c r="V36" s="14">
        <v>138</v>
      </c>
      <c r="W36" s="14">
        <f t="shared" ref="W36:W44" si="3">V36/M36</f>
        <v>0.56097560975609762</v>
      </c>
      <c r="AC36" s="14">
        <v>170</v>
      </c>
      <c r="AD36" s="34">
        <f>AC36/M36</f>
        <v>0.69105691056910568</v>
      </c>
      <c r="AU36" s="14" t="s">
        <v>2447</v>
      </c>
      <c r="AV36" s="14" t="s">
        <v>2656</v>
      </c>
      <c r="AX36" s="14">
        <v>1.22</v>
      </c>
      <c r="AY36" s="14">
        <v>1.05</v>
      </c>
      <c r="AZ36" s="14">
        <v>1.43</v>
      </c>
      <c r="BE36" s="29" t="s">
        <v>2267</v>
      </c>
      <c r="BG36" s="14">
        <v>1.26</v>
      </c>
      <c r="BH36" s="14">
        <v>1.03</v>
      </c>
      <c r="BI36" s="14">
        <v>1.54</v>
      </c>
      <c r="CW36" s="14" t="s">
        <v>1087</v>
      </c>
      <c r="CX36" s="14" t="s">
        <v>1088</v>
      </c>
      <c r="CY36" s="14">
        <v>2022</v>
      </c>
      <c r="CZ36" s="36">
        <v>45556</v>
      </c>
      <c r="DA36" s="14" t="s">
        <v>316</v>
      </c>
      <c r="DB36" s="14">
        <v>23</v>
      </c>
      <c r="DC36" s="14">
        <v>19</v>
      </c>
      <c r="DE36" s="14" t="s">
        <v>1089</v>
      </c>
    </row>
    <row r="37" spans="1:109">
      <c r="A37" s="14" t="s">
        <v>1774</v>
      </c>
      <c r="C37" s="14" t="s">
        <v>1090</v>
      </c>
      <c r="D37" s="14" t="s">
        <v>2264</v>
      </c>
      <c r="E37" s="14" t="s">
        <v>672</v>
      </c>
      <c r="F37" s="14" t="s">
        <v>904</v>
      </c>
      <c r="H37" s="14" t="s">
        <v>647</v>
      </c>
      <c r="I37" s="14" t="s">
        <v>3940</v>
      </c>
      <c r="J37" s="14" t="s">
        <v>4115</v>
      </c>
      <c r="M37" s="14">
        <v>246</v>
      </c>
      <c r="P37" s="14">
        <v>20</v>
      </c>
      <c r="Q37" s="14">
        <v>60.8</v>
      </c>
      <c r="R37" s="14">
        <v>12.4</v>
      </c>
      <c r="V37" s="14">
        <v>138</v>
      </c>
      <c r="W37" s="14">
        <f t="shared" si="3"/>
        <v>0.56097560975609762</v>
      </c>
      <c r="AC37" s="14">
        <v>170</v>
      </c>
      <c r="AD37" s="34">
        <f>AC37/M37</f>
        <v>0.69105691056910568</v>
      </c>
      <c r="AU37" s="14" t="s">
        <v>2447</v>
      </c>
      <c r="AV37" s="14" t="s">
        <v>2656</v>
      </c>
      <c r="AX37" s="14">
        <v>1.28</v>
      </c>
      <c r="AY37" s="14">
        <v>1.04</v>
      </c>
      <c r="AZ37" s="14">
        <v>1.57</v>
      </c>
      <c r="BE37" s="29" t="s">
        <v>2267</v>
      </c>
      <c r="BG37" s="14">
        <v>1.66</v>
      </c>
      <c r="BH37" s="14">
        <v>1.22</v>
      </c>
      <c r="BI37" s="14">
        <v>2.2599999999999998</v>
      </c>
      <c r="CW37" s="14" t="s">
        <v>1087</v>
      </c>
      <c r="CX37" s="14" t="s">
        <v>1088</v>
      </c>
      <c r="CY37" s="14">
        <v>2022</v>
      </c>
      <c r="CZ37" s="36">
        <v>45556</v>
      </c>
      <c r="DA37" s="14" t="s">
        <v>316</v>
      </c>
      <c r="DB37" s="14">
        <v>23</v>
      </c>
      <c r="DC37" s="14">
        <v>19</v>
      </c>
      <c r="DE37" s="14" t="s">
        <v>1089</v>
      </c>
    </row>
    <row r="38" spans="1:109" ht="20">
      <c r="A38" s="13" t="s">
        <v>3365</v>
      </c>
      <c r="B38" s="13"/>
      <c r="C38" s="13" t="s">
        <v>3295</v>
      </c>
      <c r="D38" s="13"/>
      <c r="E38" s="13" t="s">
        <v>674</v>
      </c>
      <c r="F38" s="13" t="s">
        <v>684</v>
      </c>
      <c r="G38" s="13" t="s">
        <v>3685</v>
      </c>
      <c r="H38" s="14" t="s">
        <v>584</v>
      </c>
      <c r="I38" s="13" t="s">
        <v>3681</v>
      </c>
      <c r="J38" s="14" t="s">
        <v>3684</v>
      </c>
      <c r="K38" s="14" t="s">
        <v>3682</v>
      </c>
      <c r="L38" s="13"/>
      <c r="M38" s="13">
        <v>119</v>
      </c>
      <c r="N38" s="13">
        <v>3</v>
      </c>
      <c r="O38" s="15">
        <f>N38/M38</f>
        <v>2.5210084033613446E-2</v>
      </c>
      <c r="P38" s="13"/>
      <c r="Q38" s="13"/>
      <c r="R38" s="13"/>
      <c r="S38" s="13"/>
      <c r="T38" s="13"/>
      <c r="U38" s="13"/>
      <c r="V38" s="13">
        <v>72</v>
      </c>
      <c r="W38" s="2">
        <f t="shared" si="3"/>
        <v>0.60504201680672265</v>
      </c>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6"/>
      <c r="BB38" s="13"/>
      <c r="BC38" s="13"/>
      <c r="BD38" s="13"/>
      <c r="BE38" s="16"/>
      <c r="BF38" s="13"/>
      <c r="BG38" s="13"/>
      <c r="BH38" s="13"/>
      <c r="BI38" s="13"/>
      <c r="BJ38" s="16"/>
      <c r="BK38" s="13"/>
      <c r="BL38" s="13"/>
      <c r="BM38" s="13"/>
      <c r="BN38" s="16"/>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t="s">
        <v>3451</v>
      </c>
      <c r="CX38" s="13" t="s">
        <v>3452</v>
      </c>
      <c r="CY38" s="13">
        <v>2024</v>
      </c>
      <c r="CZ38" s="13"/>
      <c r="DA38" s="13" t="s">
        <v>135</v>
      </c>
      <c r="DB38" s="13">
        <v>6</v>
      </c>
      <c r="DC38" s="13">
        <v>5</v>
      </c>
      <c r="DD38" s="13" t="s">
        <v>3453</v>
      </c>
      <c r="DE38" s="13" t="s">
        <v>3220</v>
      </c>
    </row>
    <row r="39" spans="1:109" ht="20">
      <c r="A39" s="14" t="s">
        <v>1996</v>
      </c>
      <c r="B39" s="14" t="s">
        <v>1668</v>
      </c>
      <c r="C39" s="14" t="s">
        <v>58</v>
      </c>
      <c r="D39" s="14" t="s">
        <v>821</v>
      </c>
      <c r="E39" s="14" t="s">
        <v>672</v>
      </c>
      <c r="F39" s="14" t="s">
        <v>686</v>
      </c>
      <c r="H39" s="14" t="s">
        <v>654</v>
      </c>
      <c r="I39" s="13" t="s">
        <v>3085</v>
      </c>
      <c r="J39" s="14" t="s">
        <v>585</v>
      </c>
      <c r="L39" s="14" t="s">
        <v>639</v>
      </c>
      <c r="M39" s="14">
        <v>71</v>
      </c>
      <c r="S39" s="14">
        <v>59</v>
      </c>
      <c r="T39" s="14">
        <v>27</v>
      </c>
      <c r="U39" s="14">
        <v>81</v>
      </c>
      <c r="V39" s="14">
        <v>37</v>
      </c>
      <c r="W39" s="14">
        <f t="shared" si="3"/>
        <v>0.52112676056338025</v>
      </c>
      <c r="AG39" s="35">
        <v>15</v>
      </c>
      <c r="AH39" s="35">
        <v>2</v>
      </c>
      <c r="AI39" s="35">
        <v>39</v>
      </c>
      <c r="BN39" s="14" t="s">
        <v>2270</v>
      </c>
      <c r="BQ39" s="14">
        <v>0.26500000000000001</v>
      </c>
      <c r="BU39" s="14" t="s">
        <v>769</v>
      </c>
      <c r="CV39" s="13" t="s">
        <v>2269</v>
      </c>
      <c r="CW39" s="14" t="s">
        <v>54</v>
      </c>
      <c r="CX39" s="14" t="s">
        <v>55</v>
      </c>
      <c r="CY39" s="14">
        <v>2023</v>
      </c>
      <c r="CZ39" s="36" t="s">
        <v>25</v>
      </c>
      <c r="DA39" s="14" t="s">
        <v>2054</v>
      </c>
      <c r="DB39" s="14">
        <v>270</v>
      </c>
      <c r="DC39" s="14">
        <v>3</v>
      </c>
      <c r="DD39" s="14" t="s">
        <v>56</v>
      </c>
      <c r="DE39" s="14" t="s">
        <v>57</v>
      </c>
    </row>
    <row r="40" spans="1:109" ht="20">
      <c r="A40" s="14" t="s">
        <v>1996</v>
      </c>
      <c r="B40" s="14" t="s">
        <v>1668</v>
      </c>
      <c r="C40" s="14" t="s">
        <v>58</v>
      </c>
      <c r="D40" s="14" t="s">
        <v>821</v>
      </c>
      <c r="E40" s="14" t="s">
        <v>673</v>
      </c>
      <c r="F40" s="14" t="s">
        <v>686</v>
      </c>
      <c r="H40" s="14" t="s">
        <v>654</v>
      </c>
      <c r="I40" s="13" t="s">
        <v>3085</v>
      </c>
      <c r="J40" s="14" t="s">
        <v>585</v>
      </c>
      <c r="L40" s="14" t="s">
        <v>639</v>
      </c>
      <c r="M40" s="14">
        <v>71</v>
      </c>
      <c r="S40" s="14">
        <v>59</v>
      </c>
      <c r="T40" s="14">
        <v>27</v>
      </c>
      <c r="U40" s="14">
        <v>81</v>
      </c>
      <c r="V40" s="14">
        <v>37</v>
      </c>
      <c r="W40" s="14">
        <f t="shared" si="3"/>
        <v>0.52112676056338025</v>
      </c>
      <c r="AG40" s="35">
        <v>15</v>
      </c>
      <c r="AH40" s="35">
        <v>2</v>
      </c>
      <c r="AI40" s="35">
        <v>39</v>
      </c>
      <c r="BN40" s="14" t="s">
        <v>2270</v>
      </c>
      <c r="BQ40" s="14">
        <v>0.19</v>
      </c>
      <c r="BU40" s="14" t="s">
        <v>769</v>
      </c>
      <c r="CV40" s="13" t="s">
        <v>2269</v>
      </c>
      <c r="CW40" s="14" t="s">
        <v>54</v>
      </c>
      <c r="CX40" s="14" t="s">
        <v>55</v>
      </c>
      <c r="CY40" s="14">
        <v>2023</v>
      </c>
      <c r="CZ40" s="36" t="s">
        <v>25</v>
      </c>
      <c r="DA40" s="14" t="s">
        <v>2054</v>
      </c>
      <c r="DB40" s="14">
        <v>270</v>
      </c>
      <c r="DC40" s="14">
        <v>3</v>
      </c>
      <c r="DD40" s="14" t="s">
        <v>56</v>
      </c>
      <c r="DE40" s="14" t="s">
        <v>57</v>
      </c>
    </row>
    <row r="41" spans="1:109" ht="20">
      <c r="A41" s="14" t="s">
        <v>1996</v>
      </c>
      <c r="B41" s="14" t="s">
        <v>1668</v>
      </c>
      <c r="C41" s="14" t="s">
        <v>58</v>
      </c>
      <c r="D41" s="14" t="s">
        <v>821</v>
      </c>
      <c r="E41" s="14" t="s">
        <v>672</v>
      </c>
      <c r="F41" s="14" t="s">
        <v>675</v>
      </c>
      <c r="H41" s="14" t="s">
        <v>654</v>
      </c>
      <c r="I41" s="13" t="s">
        <v>3085</v>
      </c>
      <c r="J41" s="14" t="s">
        <v>585</v>
      </c>
      <c r="L41" s="14" t="s">
        <v>639</v>
      </c>
      <c r="M41" s="14">
        <v>71</v>
      </c>
      <c r="S41" s="14">
        <v>59</v>
      </c>
      <c r="T41" s="14">
        <v>27</v>
      </c>
      <c r="U41" s="14">
        <v>81</v>
      </c>
      <c r="V41" s="14">
        <v>37</v>
      </c>
      <c r="W41" s="14">
        <f t="shared" si="3"/>
        <v>0.52112676056338025</v>
      </c>
      <c r="AG41" s="35">
        <v>15</v>
      </c>
      <c r="AH41" s="35">
        <v>2</v>
      </c>
      <c r="AI41" s="35">
        <v>39</v>
      </c>
      <c r="BN41" s="14" t="s">
        <v>2270</v>
      </c>
      <c r="BQ41" s="14">
        <v>0.39</v>
      </c>
      <c r="BU41" s="14" t="s">
        <v>769</v>
      </c>
      <c r="CV41" s="13" t="s">
        <v>2269</v>
      </c>
      <c r="CW41" s="14" t="s">
        <v>54</v>
      </c>
      <c r="CX41" s="14" t="s">
        <v>55</v>
      </c>
      <c r="CY41" s="14">
        <v>2023</v>
      </c>
      <c r="CZ41" s="36" t="s">
        <v>25</v>
      </c>
      <c r="DA41" s="14" t="s">
        <v>2054</v>
      </c>
      <c r="DB41" s="14">
        <v>270</v>
      </c>
      <c r="DC41" s="14">
        <v>3</v>
      </c>
      <c r="DD41" s="14" t="s">
        <v>56</v>
      </c>
      <c r="DE41" s="14" t="s">
        <v>57</v>
      </c>
    </row>
    <row r="42" spans="1:109" ht="20">
      <c r="A42" s="14" t="s">
        <v>1996</v>
      </c>
      <c r="B42" s="14" t="s">
        <v>1668</v>
      </c>
      <c r="C42" s="14" t="s">
        <v>58</v>
      </c>
      <c r="D42" s="14" t="s">
        <v>821</v>
      </c>
      <c r="E42" s="14" t="s">
        <v>672</v>
      </c>
      <c r="F42" s="14" t="s">
        <v>686</v>
      </c>
      <c r="H42" s="14" t="s">
        <v>654</v>
      </c>
      <c r="I42" s="13" t="s">
        <v>3085</v>
      </c>
      <c r="J42" s="14" t="s">
        <v>585</v>
      </c>
      <c r="L42" s="14" t="s">
        <v>639</v>
      </c>
      <c r="M42" s="14">
        <v>71</v>
      </c>
      <c r="S42" s="14">
        <v>59</v>
      </c>
      <c r="T42" s="14">
        <v>27</v>
      </c>
      <c r="U42" s="14">
        <v>81</v>
      </c>
      <c r="V42" s="14">
        <v>37</v>
      </c>
      <c r="W42" s="14">
        <f t="shared" si="3"/>
        <v>0.52112676056338025</v>
      </c>
      <c r="AG42" s="35">
        <v>15</v>
      </c>
      <c r="AH42" s="35">
        <v>2</v>
      </c>
      <c r="AI42" s="35">
        <v>39</v>
      </c>
      <c r="BN42" s="14" t="s">
        <v>2231</v>
      </c>
      <c r="BQ42" s="14">
        <f>(2*SIN(PI()/2 * BQ39))/PI()</f>
        <v>0.25741312774379904</v>
      </c>
      <c r="CV42" s="13" t="s">
        <v>2269</v>
      </c>
      <c r="CW42" s="14" t="s">
        <v>54</v>
      </c>
      <c r="CX42" s="14" t="s">
        <v>55</v>
      </c>
      <c r="CY42" s="14">
        <v>2023</v>
      </c>
      <c r="CZ42" s="36" t="s">
        <v>25</v>
      </c>
      <c r="DA42" s="14" t="s">
        <v>2054</v>
      </c>
      <c r="DB42" s="14">
        <v>270</v>
      </c>
      <c r="DC42" s="14">
        <v>3</v>
      </c>
      <c r="DD42" s="14" t="s">
        <v>56</v>
      </c>
      <c r="DE42" s="14" t="s">
        <v>57</v>
      </c>
    </row>
    <row r="43" spans="1:109" ht="20">
      <c r="A43" s="14" t="s">
        <v>1996</v>
      </c>
      <c r="B43" s="14" t="s">
        <v>1668</v>
      </c>
      <c r="C43" s="14" t="s">
        <v>58</v>
      </c>
      <c r="D43" s="14" t="s">
        <v>821</v>
      </c>
      <c r="E43" s="14" t="s">
        <v>673</v>
      </c>
      <c r="F43" s="14" t="s">
        <v>686</v>
      </c>
      <c r="H43" s="14" t="s">
        <v>654</v>
      </c>
      <c r="I43" s="13" t="s">
        <v>3085</v>
      </c>
      <c r="J43" s="14" t="s">
        <v>585</v>
      </c>
      <c r="L43" s="14" t="s">
        <v>639</v>
      </c>
      <c r="M43" s="14">
        <v>71</v>
      </c>
      <c r="S43" s="14">
        <v>59</v>
      </c>
      <c r="T43" s="14">
        <v>27</v>
      </c>
      <c r="U43" s="14">
        <v>81</v>
      </c>
      <c r="V43" s="14">
        <v>37</v>
      </c>
      <c r="W43" s="14">
        <f t="shared" si="3"/>
        <v>0.52112676056338025</v>
      </c>
      <c r="AG43" s="35">
        <v>15</v>
      </c>
      <c r="AH43" s="35">
        <v>2</v>
      </c>
      <c r="AI43" s="35">
        <v>39</v>
      </c>
      <c r="BN43" s="14" t="s">
        <v>2231</v>
      </c>
      <c r="BQ43" s="14">
        <f>(2*SIN(PI()/2 * BQ40))/PI()</f>
        <v>0.18719188491627892</v>
      </c>
      <c r="CV43" s="13" t="s">
        <v>2269</v>
      </c>
      <c r="CW43" s="14" t="s">
        <v>54</v>
      </c>
      <c r="CX43" s="14" t="s">
        <v>55</v>
      </c>
      <c r="CY43" s="14">
        <v>2023</v>
      </c>
      <c r="CZ43" s="36" t="s">
        <v>25</v>
      </c>
      <c r="DA43" s="14" t="s">
        <v>2054</v>
      </c>
      <c r="DB43" s="14">
        <v>270</v>
      </c>
      <c r="DC43" s="14">
        <v>3</v>
      </c>
      <c r="DD43" s="14" t="s">
        <v>56</v>
      </c>
      <c r="DE43" s="14" t="s">
        <v>57</v>
      </c>
    </row>
    <row r="44" spans="1:109" ht="20">
      <c r="A44" s="14" t="s">
        <v>1996</v>
      </c>
      <c r="B44" s="14" t="s">
        <v>1668</v>
      </c>
      <c r="C44" s="14" t="s">
        <v>58</v>
      </c>
      <c r="D44" s="14" t="s">
        <v>821</v>
      </c>
      <c r="E44" s="14" t="s">
        <v>672</v>
      </c>
      <c r="F44" s="14" t="s">
        <v>675</v>
      </c>
      <c r="H44" s="14" t="s">
        <v>654</v>
      </c>
      <c r="I44" s="13" t="s">
        <v>3085</v>
      </c>
      <c r="J44" s="14" t="s">
        <v>585</v>
      </c>
      <c r="L44" s="14" t="s">
        <v>639</v>
      </c>
      <c r="M44" s="14">
        <v>71</v>
      </c>
      <c r="S44" s="14">
        <v>59</v>
      </c>
      <c r="T44" s="14">
        <v>27</v>
      </c>
      <c r="U44" s="14">
        <v>81</v>
      </c>
      <c r="V44" s="14">
        <v>37</v>
      </c>
      <c r="W44" s="14">
        <f t="shared" si="3"/>
        <v>0.52112676056338025</v>
      </c>
      <c r="AG44" s="35">
        <v>15</v>
      </c>
      <c r="AH44" s="35">
        <v>2</v>
      </c>
      <c r="AI44" s="35">
        <v>39</v>
      </c>
      <c r="BN44" s="14" t="s">
        <v>2231</v>
      </c>
      <c r="BQ44" s="14">
        <f>(2*SIN(PI()/2 * BQ41))/PI()</f>
        <v>0.36605971266595577</v>
      </c>
      <c r="CV44" s="13" t="s">
        <v>2269</v>
      </c>
      <c r="CW44" s="14" t="s">
        <v>54</v>
      </c>
      <c r="CX44" s="14" t="s">
        <v>55</v>
      </c>
      <c r="CY44" s="14">
        <v>2023</v>
      </c>
      <c r="CZ44" s="36" t="s">
        <v>25</v>
      </c>
      <c r="DA44" s="14" t="s">
        <v>2054</v>
      </c>
      <c r="DB44" s="14">
        <v>270</v>
      </c>
      <c r="DC44" s="14">
        <v>3</v>
      </c>
      <c r="DD44" s="14" t="s">
        <v>56</v>
      </c>
      <c r="DE44" s="14" t="s">
        <v>57</v>
      </c>
    </row>
    <row r="45" spans="1:109" ht="20">
      <c r="A45" s="14" t="s">
        <v>1775</v>
      </c>
      <c r="C45" s="14" t="s">
        <v>2271</v>
      </c>
      <c r="F45" s="14" t="s">
        <v>1048</v>
      </c>
      <c r="H45" s="14" t="s">
        <v>584</v>
      </c>
      <c r="I45" s="14" t="s">
        <v>3086</v>
      </c>
      <c r="M45" s="14">
        <v>68</v>
      </c>
      <c r="Q45" s="14">
        <v>58.8</v>
      </c>
      <c r="R45" s="14">
        <v>1.57</v>
      </c>
      <c r="V45" s="14">
        <v>42</v>
      </c>
      <c r="W45" s="14">
        <v>0.61799999999999999</v>
      </c>
      <c r="CV45" s="13" t="s">
        <v>2272</v>
      </c>
      <c r="CW45" s="14" t="s">
        <v>1091</v>
      </c>
      <c r="CX45" s="14" t="s">
        <v>1092</v>
      </c>
      <c r="CY45" s="14">
        <v>2020</v>
      </c>
      <c r="CZ45" s="36">
        <v>45552</v>
      </c>
      <c r="DA45" s="14" t="s">
        <v>61</v>
      </c>
      <c r="DB45" s="14">
        <v>10</v>
      </c>
      <c r="DC45" s="14">
        <v>1</v>
      </c>
      <c r="DD45" s="14" t="s">
        <v>2205</v>
      </c>
      <c r="DE45" s="14" t="s">
        <v>1093</v>
      </c>
    </row>
    <row r="46" spans="1:109" ht="20">
      <c r="A46" s="14" t="s">
        <v>1775</v>
      </c>
      <c r="C46" s="14" t="s">
        <v>2271</v>
      </c>
      <c r="F46" s="14" t="s">
        <v>2273</v>
      </c>
      <c r="H46" s="14" t="s">
        <v>584</v>
      </c>
      <c r="I46" s="14" t="s">
        <v>3086</v>
      </c>
      <c r="M46" s="14">
        <v>68</v>
      </c>
      <c r="Q46" s="14">
        <v>58.8</v>
      </c>
      <c r="R46" s="14">
        <v>1.57</v>
      </c>
      <c r="V46" s="14">
        <v>42</v>
      </c>
      <c r="W46" s="14">
        <v>0.61799999999999999</v>
      </c>
      <c r="CV46" s="13" t="s">
        <v>2272</v>
      </c>
      <c r="CW46" s="14" t="s">
        <v>1091</v>
      </c>
      <c r="CX46" s="14" t="s">
        <v>1092</v>
      </c>
      <c r="CY46" s="14">
        <v>2020</v>
      </c>
      <c r="CZ46" s="36">
        <v>45552</v>
      </c>
      <c r="DA46" s="14" t="s">
        <v>61</v>
      </c>
      <c r="DB46" s="14">
        <v>10</v>
      </c>
      <c r="DC46" s="14">
        <v>1</v>
      </c>
      <c r="DD46" s="14" t="s">
        <v>2205</v>
      </c>
      <c r="DE46" s="14" t="s">
        <v>1093</v>
      </c>
    </row>
    <row r="47" spans="1:109" ht="20">
      <c r="A47" s="14" t="s">
        <v>1775</v>
      </c>
      <c r="C47" s="14" t="s">
        <v>2271</v>
      </c>
      <c r="F47" s="14" t="s">
        <v>2274</v>
      </c>
      <c r="H47" s="14" t="s">
        <v>584</v>
      </c>
      <c r="I47" s="14" t="s">
        <v>3086</v>
      </c>
      <c r="M47" s="14">
        <v>68</v>
      </c>
      <c r="Q47" s="14">
        <v>58.8</v>
      </c>
      <c r="R47" s="14">
        <v>1.57</v>
      </c>
      <c r="V47" s="14">
        <v>42</v>
      </c>
      <c r="W47" s="14">
        <v>0.61799999999999999</v>
      </c>
      <c r="CV47" s="13" t="s">
        <v>2272</v>
      </c>
      <c r="CW47" s="14" t="s">
        <v>1091</v>
      </c>
      <c r="CX47" s="14" t="s">
        <v>1092</v>
      </c>
      <c r="CY47" s="14">
        <v>2020</v>
      </c>
      <c r="CZ47" s="36">
        <v>45552</v>
      </c>
      <c r="DA47" s="14" t="s">
        <v>61</v>
      </c>
      <c r="DB47" s="14">
        <v>10</v>
      </c>
      <c r="DC47" s="14">
        <v>1</v>
      </c>
      <c r="DD47" s="14" t="s">
        <v>2205</v>
      </c>
      <c r="DE47" s="14" t="s">
        <v>1093</v>
      </c>
    </row>
    <row r="48" spans="1:109">
      <c r="A48" s="14" t="s">
        <v>1776</v>
      </c>
      <c r="B48" s="14" t="s">
        <v>1669</v>
      </c>
      <c r="C48" s="14" t="s">
        <v>63</v>
      </c>
      <c r="D48" s="14" t="s">
        <v>820</v>
      </c>
      <c r="E48" s="14" t="s">
        <v>672</v>
      </c>
      <c r="F48" s="14" t="s">
        <v>675</v>
      </c>
      <c r="H48" s="14" t="s">
        <v>868</v>
      </c>
      <c r="I48" s="14" t="s">
        <v>3076</v>
      </c>
      <c r="J48" s="14" t="s">
        <v>585</v>
      </c>
      <c r="K48" s="14" t="s">
        <v>2275</v>
      </c>
      <c r="L48" s="14" t="s">
        <v>639</v>
      </c>
      <c r="M48" s="14">
        <v>234</v>
      </c>
      <c r="P48" s="14">
        <v>59</v>
      </c>
      <c r="Q48" s="14">
        <v>63.7</v>
      </c>
      <c r="R48" s="14">
        <v>13</v>
      </c>
      <c r="V48" s="14">
        <v>124</v>
      </c>
      <c r="W48" s="14">
        <f t="shared" ref="W48:W72" si="4">V48/M48</f>
        <v>0.52991452991452992</v>
      </c>
      <c r="Z48" s="14">
        <v>42</v>
      </c>
      <c r="AA48" s="14">
        <v>38</v>
      </c>
      <c r="AB48" s="14">
        <v>45</v>
      </c>
      <c r="AC48" s="14">
        <v>148</v>
      </c>
      <c r="AD48" s="34">
        <f>AC48/M48</f>
        <v>0.63247863247863245</v>
      </c>
      <c r="AG48" s="35">
        <f>426/30</f>
        <v>14.2</v>
      </c>
      <c r="AH48" s="35">
        <f>244/30</f>
        <v>8.1333333333333329</v>
      </c>
      <c r="AI48" s="35">
        <f>680/30</f>
        <v>22.666666666666668</v>
      </c>
      <c r="AL48" s="35">
        <f>2.9*12</f>
        <v>34.799999999999997</v>
      </c>
      <c r="AM48" s="35">
        <f>1.8*12</f>
        <v>21.6</v>
      </c>
      <c r="AN48" s="35">
        <f>4.4*12</f>
        <v>52.800000000000004</v>
      </c>
      <c r="BN48" s="14" t="s">
        <v>2231</v>
      </c>
      <c r="BQ48" s="14">
        <v>0.35499999999999998</v>
      </c>
      <c r="BU48" s="14" t="s">
        <v>769</v>
      </c>
      <c r="CC48" s="14">
        <v>-0.24099999999999999</v>
      </c>
      <c r="CG48" s="14" t="s">
        <v>769</v>
      </c>
      <c r="CH48" s="14">
        <v>-0.36</v>
      </c>
      <c r="CI48" s="14" t="s">
        <v>769</v>
      </c>
      <c r="CV48" s="14" t="s">
        <v>2278</v>
      </c>
      <c r="CW48" s="14" t="s">
        <v>59</v>
      </c>
      <c r="CX48" s="14" t="s">
        <v>60</v>
      </c>
      <c r="CY48" s="14">
        <v>2021</v>
      </c>
      <c r="CZ48" s="36">
        <v>45607</v>
      </c>
      <c r="DA48" s="14" t="s">
        <v>61</v>
      </c>
      <c r="DB48" s="14">
        <v>11</v>
      </c>
      <c r="DC48" s="14">
        <v>1</v>
      </c>
      <c r="DD48" s="14" t="s">
        <v>2204</v>
      </c>
      <c r="DE48" s="14" t="s">
        <v>62</v>
      </c>
    </row>
    <row r="49" spans="1:109">
      <c r="A49" s="14" t="s">
        <v>1776</v>
      </c>
      <c r="B49" s="14" t="s">
        <v>1669</v>
      </c>
      <c r="C49" s="14" t="s">
        <v>63</v>
      </c>
      <c r="D49" s="14" t="s">
        <v>820</v>
      </c>
      <c r="E49" s="14" t="s">
        <v>672</v>
      </c>
      <c r="F49" s="14" t="s">
        <v>686</v>
      </c>
      <c r="H49" s="14" t="s">
        <v>868</v>
      </c>
      <c r="I49" s="14" t="s">
        <v>3076</v>
      </c>
      <c r="J49" s="14" t="s">
        <v>585</v>
      </c>
      <c r="K49" s="14" t="s">
        <v>2276</v>
      </c>
      <c r="L49" s="14" t="s">
        <v>639</v>
      </c>
      <c r="M49" s="14">
        <v>234</v>
      </c>
      <c r="P49" s="14">
        <v>59</v>
      </c>
      <c r="Q49" s="14">
        <v>63.7</v>
      </c>
      <c r="R49" s="14">
        <v>13</v>
      </c>
      <c r="V49" s="14">
        <v>124</v>
      </c>
      <c r="W49" s="14">
        <f t="shared" si="4"/>
        <v>0.52991452991452992</v>
      </c>
      <c r="Z49" s="14">
        <v>42</v>
      </c>
      <c r="AA49" s="14">
        <v>38</v>
      </c>
      <c r="AB49" s="14">
        <v>45</v>
      </c>
      <c r="AC49" s="14">
        <v>148</v>
      </c>
      <c r="AD49" s="34">
        <f>AC49/M49</f>
        <v>0.63247863247863245</v>
      </c>
      <c r="AG49" s="35">
        <f>426/30</f>
        <v>14.2</v>
      </c>
      <c r="AH49" s="35">
        <f>244/30</f>
        <v>8.1333333333333329</v>
      </c>
      <c r="AI49" s="35">
        <f>680/30</f>
        <v>22.666666666666668</v>
      </c>
      <c r="AL49" s="35">
        <f>2.9*12</f>
        <v>34.799999999999997</v>
      </c>
      <c r="AM49" s="35">
        <f>1.8*12</f>
        <v>21.6</v>
      </c>
      <c r="AN49" s="35">
        <f>4.4*12</f>
        <v>52.800000000000004</v>
      </c>
      <c r="BN49" s="14" t="s">
        <v>2231</v>
      </c>
      <c r="BQ49" s="14">
        <v>0.34599999999999997</v>
      </c>
      <c r="BU49" s="14" t="s">
        <v>769</v>
      </c>
      <c r="CC49" s="29" t="s">
        <v>2268</v>
      </c>
      <c r="CD49" s="29"/>
      <c r="CE49" s="29"/>
      <c r="CF49" s="29"/>
      <c r="CG49" s="29" t="s">
        <v>761</v>
      </c>
      <c r="CH49" s="29">
        <v>-0.29499999999999998</v>
      </c>
      <c r="CI49" s="29" t="s">
        <v>769</v>
      </c>
      <c r="CJ49" s="29"/>
      <c r="CN49" s="29"/>
      <c r="CV49" s="14" t="s">
        <v>2278</v>
      </c>
      <c r="CW49" s="14" t="s">
        <v>59</v>
      </c>
      <c r="CX49" s="14" t="s">
        <v>60</v>
      </c>
      <c r="CY49" s="14">
        <v>2021</v>
      </c>
      <c r="CZ49" s="36">
        <v>45607</v>
      </c>
      <c r="DA49" s="14" t="s">
        <v>61</v>
      </c>
      <c r="DB49" s="14">
        <v>11</v>
      </c>
      <c r="DC49" s="14">
        <v>1</v>
      </c>
      <c r="DD49" s="14" t="s">
        <v>2204</v>
      </c>
      <c r="DE49" s="14" t="s">
        <v>62</v>
      </c>
    </row>
    <row r="50" spans="1:109">
      <c r="A50" s="14" t="s">
        <v>1776</v>
      </c>
      <c r="B50" s="14" t="s">
        <v>1669</v>
      </c>
      <c r="C50" s="14" t="s">
        <v>63</v>
      </c>
      <c r="D50" s="14" t="s">
        <v>820</v>
      </c>
      <c r="E50" s="14" t="s">
        <v>674</v>
      </c>
      <c r="F50" s="14" t="s">
        <v>675</v>
      </c>
      <c r="H50" s="14" t="s">
        <v>868</v>
      </c>
      <c r="I50" s="14" t="s">
        <v>3076</v>
      </c>
      <c r="J50" s="14" t="s">
        <v>652</v>
      </c>
      <c r="K50" s="14" t="s">
        <v>2277</v>
      </c>
      <c r="L50" s="14" t="s">
        <v>639</v>
      </c>
      <c r="M50" s="14">
        <v>234</v>
      </c>
      <c r="P50" s="14">
        <v>59</v>
      </c>
      <c r="Q50" s="14">
        <v>63.7</v>
      </c>
      <c r="R50" s="14">
        <v>13</v>
      </c>
      <c r="V50" s="14">
        <v>124</v>
      </c>
      <c r="W50" s="14">
        <f t="shared" si="4"/>
        <v>0.52991452991452992</v>
      </c>
      <c r="Z50" s="14">
        <v>42</v>
      </c>
      <c r="AA50" s="14">
        <v>38</v>
      </c>
      <c r="AB50" s="14">
        <v>45</v>
      </c>
      <c r="AC50" s="14">
        <v>148</v>
      </c>
      <c r="AD50" s="34">
        <f>AC50/M50</f>
        <v>0.63247863247863245</v>
      </c>
      <c r="AG50" s="35">
        <f>426/30</f>
        <v>14.2</v>
      </c>
      <c r="AH50" s="35">
        <f>244/30</f>
        <v>8.1333333333333329</v>
      </c>
      <c r="AI50" s="35">
        <f>680/30</f>
        <v>22.666666666666668</v>
      </c>
      <c r="AL50" s="35">
        <f>2.9*12</f>
        <v>34.799999999999997</v>
      </c>
      <c r="AM50" s="35">
        <f>1.8*12</f>
        <v>21.6</v>
      </c>
      <c r="AN50" s="35">
        <f>4.4*12</f>
        <v>52.800000000000004</v>
      </c>
      <c r="BN50" s="14" t="s">
        <v>2231</v>
      </c>
      <c r="BQ50" s="14">
        <v>0.42599999999999999</v>
      </c>
      <c r="BU50" s="14" t="s">
        <v>769</v>
      </c>
      <c r="CC50" s="14">
        <v>-0.32800000000000001</v>
      </c>
      <c r="CG50" s="14" t="s">
        <v>769</v>
      </c>
      <c r="CH50" s="14">
        <v>-0.42299999999999999</v>
      </c>
      <c r="CI50" s="14" t="s">
        <v>769</v>
      </c>
      <c r="CV50" s="14" t="s">
        <v>2278</v>
      </c>
      <c r="CW50" s="14" t="s">
        <v>59</v>
      </c>
      <c r="CX50" s="14" t="s">
        <v>60</v>
      </c>
      <c r="CY50" s="14">
        <v>2021</v>
      </c>
      <c r="CZ50" s="36">
        <v>45607</v>
      </c>
      <c r="DA50" s="14" t="s">
        <v>61</v>
      </c>
      <c r="DB50" s="14">
        <v>11</v>
      </c>
      <c r="DC50" s="14">
        <v>1</v>
      </c>
      <c r="DD50" s="14" t="s">
        <v>2204</v>
      </c>
      <c r="DE50" s="14" t="s">
        <v>62</v>
      </c>
    </row>
    <row r="51" spans="1:109">
      <c r="A51" s="14" t="s">
        <v>1777</v>
      </c>
      <c r="C51" s="14" t="s">
        <v>1099</v>
      </c>
      <c r="D51" s="14" t="s">
        <v>827</v>
      </c>
      <c r="E51" s="14" t="s">
        <v>673</v>
      </c>
      <c r="F51" s="14" t="s">
        <v>675</v>
      </c>
      <c r="H51" s="14" t="s">
        <v>584</v>
      </c>
      <c r="I51" s="14" t="s">
        <v>4057</v>
      </c>
      <c r="J51" s="14" t="s">
        <v>652</v>
      </c>
      <c r="L51" s="14" t="s">
        <v>639</v>
      </c>
      <c r="M51" s="14">
        <v>229</v>
      </c>
      <c r="P51" s="14">
        <v>37</v>
      </c>
      <c r="Q51" s="14">
        <v>60.1</v>
      </c>
      <c r="R51" s="14">
        <v>11.8</v>
      </c>
      <c r="V51" s="14">
        <v>134</v>
      </c>
      <c r="W51" s="14">
        <f t="shared" si="4"/>
        <v>0.58515283842794763</v>
      </c>
      <c r="X51" s="14">
        <v>34.700000000000003</v>
      </c>
      <c r="Y51" s="14">
        <v>7.5</v>
      </c>
      <c r="AD51" s="34">
        <v>0.66</v>
      </c>
      <c r="AG51" s="35">
        <f>1.8*12</f>
        <v>21.6</v>
      </c>
      <c r="AH51" s="35">
        <f>1*12</f>
        <v>12</v>
      </c>
      <c r="AI51" s="35">
        <f>3.2*12</f>
        <v>38.400000000000006</v>
      </c>
      <c r="AL51" s="35">
        <v>25.9</v>
      </c>
      <c r="AM51" s="35">
        <v>22.6</v>
      </c>
      <c r="AN51" s="35">
        <v>31.4</v>
      </c>
      <c r="AU51" s="14" t="s">
        <v>2447</v>
      </c>
      <c r="AV51" s="14" t="s">
        <v>2500</v>
      </c>
      <c r="BE51" s="29" t="s">
        <v>2291</v>
      </c>
      <c r="BG51" s="14">
        <v>2.12</v>
      </c>
      <c r="BH51" s="14">
        <v>1.39</v>
      </c>
      <c r="BI51" s="14">
        <v>3.23</v>
      </c>
      <c r="CQ51" s="14" t="s">
        <v>2286</v>
      </c>
      <c r="CR51" s="14" t="s">
        <v>2281</v>
      </c>
      <c r="CS51" s="14">
        <v>-0.42</v>
      </c>
      <c r="CT51" s="14">
        <v>-0.62</v>
      </c>
      <c r="CU51" s="14">
        <v>-0.21</v>
      </c>
      <c r="CV51" s="14" t="s">
        <v>2288</v>
      </c>
      <c r="CW51" s="14" t="s">
        <v>1094</v>
      </c>
      <c r="CX51" s="14" t="s">
        <v>1095</v>
      </c>
      <c r="CY51" s="14">
        <v>2020</v>
      </c>
      <c r="CZ51" s="36">
        <v>45480</v>
      </c>
      <c r="DA51" s="14" t="s">
        <v>1096</v>
      </c>
      <c r="DB51" s="14">
        <v>95</v>
      </c>
      <c r="DC51" s="14">
        <v>1</v>
      </c>
      <c r="DD51" s="14" t="s">
        <v>1097</v>
      </c>
      <c r="DE51" s="14" t="s">
        <v>1098</v>
      </c>
    </row>
    <row r="52" spans="1:109">
      <c r="A52" s="14" t="s">
        <v>1777</v>
      </c>
      <c r="C52" s="14" t="s">
        <v>1099</v>
      </c>
      <c r="D52" s="14" t="s">
        <v>827</v>
      </c>
      <c r="E52" s="14" t="s">
        <v>673</v>
      </c>
      <c r="F52" s="14" t="s">
        <v>675</v>
      </c>
      <c r="H52" s="14" t="s">
        <v>584</v>
      </c>
      <c r="I52" s="14" t="s">
        <v>2280</v>
      </c>
      <c r="J52" s="14" t="s">
        <v>652</v>
      </c>
      <c r="L52" s="14" t="s">
        <v>639</v>
      </c>
      <c r="M52" s="14">
        <v>229</v>
      </c>
      <c r="P52" s="14">
        <v>37</v>
      </c>
      <c r="Q52" s="14">
        <v>60.1</v>
      </c>
      <c r="R52" s="14">
        <v>11.8</v>
      </c>
      <c r="V52" s="14">
        <v>134</v>
      </c>
      <c r="W52" s="14">
        <f t="shared" si="4"/>
        <v>0.58515283842794763</v>
      </c>
      <c r="X52" s="14">
        <v>34.700000000000003</v>
      </c>
      <c r="Y52" s="14">
        <v>7.5</v>
      </c>
      <c r="AD52" s="34">
        <v>0.66</v>
      </c>
      <c r="AG52" s="35">
        <f>1.8*12</f>
        <v>21.6</v>
      </c>
      <c r="AH52" s="35">
        <f>1*12</f>
        <v>12</v>
      </c>
      <c r="AI52" s="35">
        <f>3.2*12</f>
        <v>38.400000000000006</v>
      </c>
      <c r="AL52" s="35">
        <v>25.9</v>
      </c>
      <c r="AM52" s="35">
        <v>22.6</v>
      </c>
      <c r="AN52" s="35">
        <v>31.4</v>
      </c>
      <c r="AU52" s="14" t="s">
        <v>2447</v>
      </c>
      <c r="AV52" s="14" t="s">
        <v>2500</v>
      </c>
      <c r="BE52" s="29" t="s">
        <v>2291</v>
      </c>
      <c r="BG52" s="14">
        <v>1.01</v>
      </c>
      <c r="BH52" s="14">
        <v>0.84</v>
      </c>
      <c r="BI52" s="14">
        <v>1.22</v>
      </c>
      <c r="CQ52" s="14" t="s">
        <v>2286</v>
      </c>
      <c r="CR52" s="14" t="s">
        <v>2281</v>
      </c>
      <c r="CS52" s="14">
        <v>7.0000000000000007E-2</v>
      </c>
      <c r="CT52" s="14">
        <v>-0.03</v>
      </c>
      <c r="CU52" s="14">
        <v>0.17</v>
      </c>
      <c r="CV52" s="14" t="s">
        <v>2288</v>
      </c>
      <c r="CW52" s="14" t="s">
        <v>1094</v>
      </c>
      <c r="CX52" s="14" t="s">
        <v>1095</v>
      </c>
      <c r="CY52" s="14">
        <v>2020</v>
      </c>
      <c r="CZ52" s="36">
        <v>45480</v>
      </c>
      <c r="DA52" s="14" t="s">
        <v>1096</v>
      </c>
      <c r="DB52" s="14">
        <v>95</v>
      </c>
      <c r="DC52" s="14">
        <v>1</v>
      </c>
      <c r="DD52" s="14" t="s">
        <v>1097</v>
      </c>
      <c r="DE52" s="14" t="s">
        <v>1098</v>
      </c>
    </row>
    <row r="53" spans="1:109" ht="20">
      <c r="A53" s="13" t="s">
        <v>3366</v>
      </c>
      <c r="B53" s="13"/>
      <c r="C53" s="13" t="s">
        <v>3296</v>
      </c>
      <c r="D53" s="14" t="s">
        <v>2481</v>
      </c>
      <c r="E53" s="13" t="s">
        <v>673</v>
      </c>
      <c r="F53" s="13" t="s">
        <v>675</v>
      </c>
      <c r="G53" s="13"/>
      <c r="H53" s="14" t="s">
        <v>584</v>
      </c>
      <c r="I53" s="13" t="s">
        <v>3687</v>
      </c>
      <c r="J53" s="14" t="s">
        <v>652</v>
      </c>
      <c r="K53" s="13" t="s">
        <v>3686</v>
      </c>
      <c r="L53" s="13" t="s">
        <v>639</v>
      </c>
      <c r="M53" s="13">
        <v>203</v>
      </c>
      <c r="N53" s="13"/>
      <c r="O53" s="15"/>
      <c r="P53" s="13">
        <v>24</v>
      </c>
      <c r="Q53" s="13">
        <v>57.1</v>
      </c>
      <c r="R53" s="13">
        <v>12</v>
      </c>
      <c r="S53" s="13"/>
      <c r="T53" s="13"/>
      <c r="U53" s="13"/>
      <c r="V53" s="13">
        <v>112</v>
      </c>
      <c r="W53" s="2">
        <f t="shared" si="4"/>
        <v>0.55172413793103448</v>
      </c>
      <c r="X53" s="13">
        <v>37.9</v>
      </c>
      <c r="Y53" s="13">
        <v>5.7</v>
      </c>
      <c r="Z53" s="13"/>
      <c r="AA53" s="13"/>
      <c r="AB53" s="13"/>
      <c r="AC53" s="13">
        <v>147</v>
      </c>
      <c r="AD53" s="13">
        <f t="shared" ref="AD53:AD65" si="5">AC53/M53</f>
        <v>0.72413793103448276</v>
      </c>
      <c r="AE53" s="13"/>
      <c r="AF53" s="13"/>
      <c r="AG53" s="13">
        <v>14.4</v>
      </c>
      <c r="AH53" s="13">
        <v>10.5</v>
      </c>
      <c r="AI53" s="13">
        <v>22.5</v>
      </c>
      <c r="AJ53" s="13"/>
      <c r="AK53" s="13"/>
      <c r="AL53" s="13"/>
      <c r="AM53" s="13"/>
      <c r="AN53" s="13"/>
      <c r="AO53" s="13"/>
      <c r="AP53" s="13"/>
      <c r="AQ53" s="13">
        <v>30.1</v>
      </c>
      <c r="AR53" s="13">
        <v>17.399999999999999</v>
      </c>
      <c r="AS53" s="13">
        <v>47.7</v>
      </c>
      <c r="AT53" s="13">
        <v>93</v>
      </c>
      <c r="AU53" s="14" t="s">
        <v>2799</v>
      </c>
      <c r="AV53" s="13" t="s">
        <v>3688</v>
      </c>
      <c r="AW53" s="13">
        <v>203</v>
      </c>
      <c r="AX53" s="13">
        <v>1.97</v>
      </c>
      <c r="AY53" s="13">
        <v>1.58</v>
      </c>
      <c r="AZ53" s="13">
        <v>2.48</v>
      </c>
      <c r="BA53" s="16"/>
      <c r="BB53" s="13"/>
      <c r="BC53" s="13"/>
      <c r="BD53" s="13"/>
      <c r="BE53" s="16" t="s">
        <v>3689</v>
      </c>
      <c r="BF53" s="13">
        <v>203</v>
      </c>
      <c r="BG53" s="13">
        <v>1.83</v>
      </c>
      <c r="BH53" s="13">
        <v>1.45</v>
      </c>
      <c r="BI53" s="13">
        <v>2.33</v>
      </c>
      <c r="BJ53" s="16" t="s">
        <v>4111</v>
      </c>
      <c r="BK53" s="13">
        <v>7.34</v>
      </c>
      <c r="BL53" s="13">
        <v>3.7</v>
      </c>
      <c r="BM53" s="13">
        <v>15.8</v>
      </c>
      <c r="BN53" s="29" t="s">
        <v>2552</v>
      </c>
      <c r="BO53" s="13" t="s">
        <v>2380</v>
      </c>
      <c r="BP53" s="13"/>
      <c r="BQ53" s="13">
        <v>0.27900000000000003</v>
      </c>
      <c r="BR53" s="13">
        <v>203</v>
      </c>
      <c r="BS53" s="13">
        <v>0.14699999999999999</v>
      </c>
      <c r="BT53" s="13">
        <v>0.40100000000000002</v>
      </c>
      <c r="BU53" s="13" t="s">
        <v>701</v>
      </c>
      <c r="BV53" s="13"/>
      <c r="BW53" s="13"/>
      <c r="BX53" s="13"/>
      <c r="BY53" s="13"/>
      <c r="BZ53" s="13"/>
      <c r="CA53" s="13"/>
      <c r="CB53" s="13"/>
      <c r="CC53" s="13"/>
      <c r="CD53" s="13"/>
      <c r="CE53" s="13"/>
      <c r="CF53" s="13"/>
      <c r="CG53" s="13"/>
      <c r="CH53" s="13"/>
      <c r="CI53" s="13"/>
      <c r="CJ53" s="16" t="s">
        <v>3692</v>
      </c>
      <c r="CK53" s="13">
        <v>-0.56999999999999995</v>
      </c>
      <c r="CL53" s="13">
        <v>-0.66</v>
      </c>
      <c r="CM53" s="13">
        <v>-0.47</v>
      </c>
      <c r="CN53" s="13" t="s">
        <v>701</v>
      </c>
      <c r="CO53" s="13"/>
      <c r="CP53" s="13"/>
      <c r="CQ53" s="13"/>
      <c r="CR53" s="13"/>
      <c r="CS53" s="13"/>
      <c r="CT53" s="13"/>
      <c r="CU53" s="13"/>
      <c r="CV53" s="13"/>
      <c r="CW53" s="13" t="s">
        <v>3454</v>
      </c>
      <c r="CX53" s="13" t="s">
        <v>3455</v>
      </c>
      <c r="CY53" s="13">
        <v>2024</v>
      </c>
      <c r="CZ53" s="13" t="s">
        <v>32</v>
      </c>
      <c r="DA53" s="13" t="s">
        <v>1514</v>
      </c>
      <c r="DB53" s="13">
        <v>108</v>
      </c>
      <c r="DC53" s="13"/>
      <c r="DD53" s="13">
        <v>105323</v>
      </c>
      <c r="DE53" s="13" t="s">
        <v>3221</v>
      </c>
    </row>
    <row r="54" spans="1:109" ht="20">
      <c r="A54" s="13" t="s">
        <v>3366</v>
      </c>
      <c r="B54" s="13"/>
      <c r="C54" s="13" t="s">
        <v>3296</v>
      </c>
      <c r="D54" s="14" t="s">
        <v>2481</v>
      </c>
      <c r="E54" s="13" t="s">
        <v>673</v>
      </c>
      <c r="F54" s="13" t="s">
        <v>686</v>
      </c>
      <c r="G54" s="13"/>
      <c r="H54" s="14" t="s">
        <v>584</v>
      </c>
      <c r="I54" s="13" t="s">
        <v>3687</v>
      </c>
      <c r="J54" s="14" t="s">
        <v>652</v>
      </c>
      <c r="K54" s="13" t="s">
        <v>3686</v>
      </c>
      <c r="L54" s="13" t="s">
        <v>639</v>
      </c>
      <c r="M54" s="13">
        <v>203</v>
      </c>
      <c r="N54" s="13"/>
      <c r="O54" s="15"/>
      <c r="P54" s="13">
        <v>24</v>
      </c>
      <c r="Q54" s="13">
        <v>57.1</v>
      </c>
      <c r="R54" s="13">
        <v>12</v>
      </c>
      <c r="S54" s="13"/>
      <c r="T54" s="13"/>
      <c r="U54" s="13"/>
      <c r="V54" s="13">
        <v>112</v>
      </c>
      <c r="W54" s="2">
        <f t="shared" si="4"/>
        <v>0.55172413793103448</v>
      </c>
      <c r="X54" s="13">
        <v>37.9</v>
      </c>
      <c r="Y54" s="13">
        <v>5.7</v>
      </c>
      <c r="Z54" s="13"/>
      <c r="AA54" s="13"/>
      <c r="AB54" s="13"/>
      <c r="AC54" s="13">
        <v>147</v>
      </c>
      <c r="AD54" s="13">
        <f t="shared" si="5"/>
        <v>0.72413793103448276</v>
      </c>
      <c r="AE54" s="13"/>
      <c r="AF54" s="13"/>
      <c r="AG54" s="13">
        <v>14.4</v>
      </c>
      <c r="AH54" s="13">
        <v>10.5</v>
      </c>
      <c r="AI54" s="13">
        <v>22.5</v>
      </c>
      <c r="AJ54" s="13"/>
      <c r="AK54" s="13"/>
      <c r="AL54" s="13"/>
      <c r="AM54" s="13"/>
      <c r="AN54" s="13"/>
      <c r="AO54" s="13"/>
      <c r="AP54" s="13"/>
      <c r="AQ54" s="13">
        <v>30.1</v>
      </c>
      <c r="AR54" s="13">
        <v>17.399999999999999</v>
      </c>
      <c r="AS54" s="13">
        <v>47.7</v>
      </c>
      <c r="AT54" s="13">
        <v>93</v>
      </c>
      <c r="AU54" s="14" t="s">
        <v>2799</v>
      </c>
      <c r="AV54" s="13" t="s">
        <v>3688</v>
      </c>
      <c r="AW54" s="13">
        <v>203</v>
      </c>
      <c r="AX54" s="13">
        <v>1.27</v>
      </c>
      <c r="AY54" s="13">
        <v>1.05</v>
      </c>
      <c r="AZ54" s="13">
        <v>1.55</v>
      </c>
      <c r="BA54" s="16"/>
      <c r="BB54" s="13"/>
      <c r="BC54" s="13"/>
      <c r="BD54" s="13"/>
      <c r="BE54" s="16" t="s">
        <v>3689</v>
      </c>
      <c r="BF54" s="13">
        <v>203</v>
      </c>
      <c r="BG54" s="13">
        <v>1.24</v>
      </c>
      <c r="BH54" s="13">
        <v>1.01</v>
      </c>
      <c r="BI54" s="13">
        <v>1.53</v>
      </c>
      <c r="BJ54" s="16" t="s">
        <v>4111</v>
      </c>
      <c r="BK54" s="13">
        <v>1.68</v>
      </c>
      <c r="BL54" s="13">
        <v>1</v>
      </c>
      <c r="BM54" s="13">
        <v>3</v>
      </c>
      <c r="BN54" s="16"/>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t="s">
        <v>3454</v>
      </c>
      <c r="CX54" s="13" t="s">
        <v>3455</v>
      </c>
      <c r="CY54" s="13">
        <v>2024</v>
      </c>
      <c r="CZ54" s="13" t="s">
        <v>32</v>
      </c>
      <c r="DA54" s="13" t="s">
        <v>1514</v>
      </c>
      <c r="DB54" s="13">
        <v>108</v>
      </c>
      <c r="DC54" s="13"/>
      <c r="DD54" s="13">
        <v>105323</v>
      </c>
      <c r="DE54" s="13" t="s">
        <v>3221</v>
      </c>
    </row>
    <row r="55" spans="1:109" ht="20">
      <c r="A55" s="13" t="s">
        <v>3366</v>
      </c>
      <c r="B55" s="13"/>
      <c r="C55" s="13" t="s">
        <v>3296</v>
      </c>
      <c r="D55" s="14" t="s">
        <v>2481</v>
      </c>
      <c r="E55" s="13" t="s">
        <v>673</v>
      </c>
      <c r="F55" s="13" t="s">
        <v>2377</v>
      </c>
      <c r="G55" s="13"/>
      <c r="H55" s="14" t="s">
        <v>584</v>
      </c>
      <c r="I55" s="13" t="s">
        <v>3687</v>
      </c>
      <c r="J55" s="14" t="s">
        <v>4035</v>
      </c>
      <c r="K55" s="13" t="s">
        <v>4034</v>
      </c>
      <c r="L55" s="13" t="s">
        <v>2455</v>
      </c>
      <c r="M55" s="13">
        <v>203</v>
      </c>
      <c r="N55" s="13"/>
      <c r="O55" s="15"/>
      <c r="P55" s="13">
        <v>24</v>
      </c>
      <c r="Q55" s="13">
        <v>57.1</v>
      </c>
      <c r="R55" s="13">
        <v>12</v>
      </c>
      <c r="S55" s="13"/>
      <c r="T55" s="13"/>
      <c r="U55" s="13"/>
      <c r="V55" s="13">
        <v>112</v>
      </c>
      <c r="W55" s="2">
        <f t="shared" si="4"/>
        <v>0.55172413793103448</v>
      </c>
      <c r="X55" s="13">
        <v>37.9</v>
      </c>
      <c r="Y55" s="13">
        <v>5.7</v>
      </c>
      <c r="Z55" s="13"/>
      <c r="AA55" s="13"/>
      <c r="AB55" s="13"/>
      <c r="AC55" s="13">
        <v>147</v>
      </c>
      <c r="AD55" s="13">
        <f t="shared" si="5"/>
        <v>0.72413793103448276</v>
      </c>
      <c r="AE55" s="13"/>
      <c r="AF55" s="13"/>
      <c r="AG55" s="13">
        <v>14.4</v>
      </c>
      <c r="AH55" s="13">
        <v>10.5</v>
      </c>
      <c r="AI55" s="13">
        <v>22.5</v>
      </c>
      <c r="AJ55" s="13"/>
      <c r="AK55" s="13"/>
      <c r="AL55" s="13"/>
      <c r="AM55" s="13"/>
      <c r="AN55" s="13"/>
      <c r="AO55" s="13"/>
      <c r="AP55" s="13"/>
      <c r="AQ55" s="13">
        <v>30.1</v>
      </c>
      <c r="AR55" s="13">
        <v>17.399999999999999</v>
      </c>
      <c r="AS55" s="13">
        <v>47.7</v>
      </c>
      <c r="AT55" s="13">
        <v>93</v>
      </c>
      <c r="AU55" s="14" t="s">
        <v>2799</v>
      </c>
      <c r="AV55" s="13" t="s">
        <v>3688</v>
      </c>
      <c r="AW55" s="13">
        <v>203</v>
      </c>
      <c r="AX55" s="13">
        <v>0.88</v>
      </c>
      <c r="AY55" s="13">
        <v>0.72</v>
      </c>
      <c r="AZ55" s="13">
        <v>1.06</v>
      </c>
      <c r="BA55" s="16"/>
      <c r="BB55" s="13"/>
      <c r="BC55" s="13"/>
      <c r="BD55" s="13"/>
      <c r="BE55" s="16" t="s">
        <v>3689</v>
      </c>
      <c r="BF55" s="13">
        <v>203</v>
      </c>
      <c r="BG55" s="13">
        <v>0.92</v>
      </c>
      <c r="BH55" s="13">
        <v>0.76</v>
      </c>
      <c r="BI55" s="13">
        <v>1.1200000000000001</v>
      </c>
      <c r="BJ55" s="16" t="s">
        <v>4111</v>
      </c>
      <c r="BK55" s="13">
        <v>0.57999999999999996</v>
      </c>
      <c r="BL55" s="13">
        <v>0.3</v>
      </c>
      <c r="BM55" s="13">
        <v>1.1000000000000001</v>
      </c>
      <c r="BN55" s="16"/>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t="s">
        <v>3454</v>
      </c>
      <c r="CX55" s="13" t="s">
        <v>3455</v>
      </c>
      <c r="CY55" s="13">
        <v>2024</v>
      </c>
      <c r="CZ55" s="13" t="s">
        <v>32</v>
      </c>
      <c r="DA55" s="13" t="s">
        <v>1514</v>
      </c>
      <c r="DB55" s="13">
        <v>108</v>
      </c>
      <c r="DC55" s="13"/>
      <c r="DD55" s="13">
        <v>105323</v>
      </c>
      <c r="DE55" s="13" t="s">
        <v>3221</v>
      </c>
    </row>
    <row r="56" spans="1:109" ht="20">
      <c r="A56" s="13" t="s">
        <v>3366</v>
      </c>
      <c r="B56" s="13"/>
      <c r="C56" s="13" t="s">
        <v>3296</v>
      </c>
      <c r="D56" s="14" t="s">
        <v>2481</v>
      </c>
      <c r="E56" s="13" t="s">
        <v>673</v>
      </c>
      <c r="F56" s="13" t="s">
        <v>2337</v>
      </c>
      <c r="G56" s="13"/>
      <c r="H56" s="14" t="s">
        <v>584</v>
      </c>
      <c r="I56" s="13" t="s">
        <v>3687</v>
      </c>
      <c r="J56" s="14" t="s">
        <v>4035</v>
      </c>
      <c r="K56" s="13" t="s">
        <v>4034</v>
      </c>
      <c r="L56" s="13" t="s">
        <v>2455</v>
      </c>
      <c r="M56" s="13">
        <v>203</v>
      </c>
      <c r="N56" s="13"/>
      <c r="O56" s="15"/>
      <c r="P56" s="13">
        <v>24</v>
      </c>
      <c r="Q56" s="13">
        <v>57.1</v>
      </c>
      <c r="R56" s="13">
        <v>12</v>
      </c>
      <c r="S56" s="13"/>
      <c r="T56" s="13"/>
      <c r="U56" s="13"/>
      <c r="V56" s="13">
        <v>112</v>
      </c>
      <c r="W56" s="2">
        <f t="shared" si="4"/>
        <v>0.55172413793103448</v>
      </c>
      <c r="X56" s="13">
        <v>37.9</v>
      </c>
      <c r="Y56" s="13">
        <v>5.7</v>
      </c>
      <c r="Z56" s="13"/>
      <c r="AA56" s="13"/>
      <c r="AB56" s="13"/>
      <c r="AC56" s="13">
        <v>147</v>
      </c>
      <c r="AD56" s="13">
        <f t="shared" si="5"/>
        <v>0.72413793103448276</v>
      </c>
      <c r="AE56" s="13"/>
      <c r="AF56" s="13"/>
      <c r="AG56" s="13">
        <v>14.4</v>
      </c>
      <c r="AH56" s="13">
        <v>10.5</v>
      </c>
      <c r="AI56" s="13">
        <v>22.5</v>
      </c>
      <c r="AJ56" s="13"/>
      <c r="AK56" s="13"/>
      <c r="AL56" s="13"/>
      <c r="AM56" s="13"/>
      <c r="AN56" s="13"/>
      <c r="AO56" s="13"/>
      <c r="AP56" s="13"/>
      <c r="AQ56" s="13">
        <v>30.1</v>
      </c>
      <c r="AR56" s="13">
        <v>17.399999999999999</v>
      </c>
      <c r="AS56" s="13">
        <v>47.7</v>
      </c>
      <c r="AT56" s="13">
        <v>93</v>
      </c>
      <c r="AU56" s="14" t="s">
        <v>2799</v>
      </c>
      <c r="AV56" s="13" t="s">
        <v>3688</v>
      </c>
      <c r="AW56" s="13">
        <v>203</v>
      </c>
      <c r="AX56" s="13">
        <v>1.05</v>
      </c>
      <c r="AY56" s="13">
        <v>0.87</v>
      </c>
      <c r="AZ56" s="13">
        <v>1.29</v>
      </c>
      <c r="BA56" s="16"/>
      <c r="BB56" s="13"/>
      <c r="BC56" s="13"/>
      <c r="BD56" s="13"/>
      <c r="BE56" s="16" t="s">
        <v>3689</v>
      </c>
      <c r="BF56" s="13">
        <v>203</v>
      </c>
      <c r="BG56" s="13">
        <v>1.06</v>
      </c>
      <c r="BH56" s="13">
        <v>0.87</v>
      </c>
      <c r="BI56" s="13">
        <v>1.3</v>
      </c>
      <c r="BJ56" s="16" t="s">
        <v>4111</v>
      </c>
      <c r="BK56" s="13">
        <v>0.95</v>
      </c>
      <c r="BL56" s="13">
        <v>0.5</v>
      </c>
      <c r="BM56" s="13">
        <v>1.7</v>
      </c>
      <c r="BN56" s="16"/>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t="s">
        <v>3454</v>
      </c>
      <c r="CX56" s="13" t="s">
        <v>3455</v>
      </c>
      <c r="CY56" s="13">
        <v>2024</v>
      </c>
      <c r="CZ56" s="13" t="s">
        <v>32</v>
      </c>
      <c r="DA56" s="13" t="s">
        <v>1514</v>
      </c>
      <c r="DB56" s="13">
        <v>108</v>
      </c>
      <c r="DC56" s="13"/>
      <c r="DD56" s="13">
        <v>105323</v>
      </c>
      <c r="DE56" s="13" t="s">
        <v>3221</v>
      </c>
    </row>
    <row r="57" spans="1:109" ht="20">
      <c r="A57" s="13" t="s">
        <v>3366</v>
      </c>
      <c r="B57" s="13"/>
      <c r="C57" s="13" t="s">
        <v>3296</v>
      </c>
      <c r="D57" s="14" t="s">
        <v>2481</v>
      </c>
      <c r="E57" s="13" t="s">
        <v>673</v>
      </c>
      <c r="F57" s="13" t="s">
        <v>2378</v>
      </c>
      <c r="G57" s="13"/>
      <c r="H57" s="14" t="s">
        <v>584</v>
      </c>
      <c r="I57" s="13" t="s">
        <v>3687</v>
      </c>
      <c r="J57" s="14" t="s">
        <v>4035</v>
      </c>
      <c r="K57" s="13" t="s">
        <v>4034</v>
      </c>
      <c r="L57" s="13" t="s">
        <v>3704</v>
      </c>
      <c r="M57" s="13">
        <v>203</v>
      </c>
      <c r="N57" s="13"/>
      <c r="O57" s="15"/>
      <c r="P57" s="13">
        <v>24</v>
      </c>
      <c r="Q57" s="13">
        <v>57.1</v>
      </c>
      <c r="R57" s="13">
        <v>12</v>
      </c>
      <c r="S57" s="13"/>
      <c r="T57" s="13"/>
      <c r="U57" s="13"/>
      <c r="V57" s="13">
        <v>112</v>
      </c>
      <c r="W57" s="2">
        <f t="shared" si="4"/>
        <v>0.55172413793103448</v>
      </c>
      <c r="X57" s="13">
        <v>37.9</v>
      </c>
      <c r="Y57" s="13">
        <v>5.7</v>
      </c>
      <c r="Z57" s="13"/>
      <c r="AA57" s="13"/>
      <c r="AB57" s="13"/>
      <c r="AC57" s="13">
        <v>147</v>
      </c>
      <c r="AD57" s="13">
        <f t="shared" si="5"/>
        <v>0.72413793103448276</v>
      </c>
      <c r="AE57" s="13"/>
      <c r="AF57" s="13"/>
      <c r="AG57" s="13">
        <v>14.4</v>
      </c>
      <c r="AH57" s="13">
        <v>10.5</v>
      </c>
      <c r="AI57" s="13">
        <v>22.5</v>
      </c>
      <c r="AJ57" s="13"/>
      <c r="AK57" s="13"/>
      <c r="AL57" s="13"/>
      <c r="AM57" s="13"/>
      <c r="AN57" s="13"/>
      <c r="AO57" s="13"/>
      <c r="AP57" s="13"/>
      <c r="AQ57" s="13">
        <v>30.1</v>
      </c>
      <c r="AR57" s="13">
        <v>17.399999999999999</v>
      </c>
      <c r="AS57" s="13">
        <v>47.7</v>
      </c>
      <c r="AT57" s="13">
        <v>93</v>
      </c>
      <c r="AU57" s="14" t="s">
        <v>2799</v>
      </c>
      <c r="AV57" s="13" t="s">
        <v>3688</v>
      </c>
      <c r="AW57" s="13">
        <v>203</v>
      </c>
      <c r="AX57" s="13">
        <v>0.88</v>
      </c>
      <c r="AY57" s="13">
        <v>0.72</v>
      </c>
      <c r="AZ57" s="13">
        <v>1.07</v>
      </c>
      <c r="BA57" s="16"/>
      <c r="BB57" s="13"/>
      <c r="BC57" s="13"/>
      <c r="BD57" s="13"/>
      <c r="BE57" s="16" t="s">
        <v>3689</v>
      </c>
      <c r="BF57" s="13">
        <v>203</v>
      </c>
      <c r="BG57" s="13">
        <v>0.96</v>
      </c>
      <c r="BH57" s="13">
        <v>0.79</v>
      </c>
      <c r="BI57" s="13">
        <v>1.18</v>
      </c>
      <c r="BJ57" s="16" t="s">
        <v>4111</v>
      </c>
      <c r="BK57" s="13">
        <v>0.96</v>
      </c>
      <c r="BL57" s="13">
        <v>0.5</v>
      </c>
      <c r="BM57" s="13">
        <v>1.8</v>
      </c>
      <c r="BN57" s="16"/>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t="s">
        <v>3454</v>
      </c>
      <c r="CX57" s="13" t="s">
        <v>3455</v>
      </c>
      <c r="CY57" s="13">
        <v>2024</v>
      </c>
      <c r="CZ57" s="13" t="s">
        <v>32</v>
      </c>
      <c r="DA57" s="13" t="s">
        <v>1514</v>
      </c>
      <c r="DB57" s="13">
        <v>108</v>
      </c>
      <c r="DC57" s="13"/>
      <c r="DD57" s="13">
        <v>105323</v>
      </c>
      <c r="DE57" s="13" t="s">
        <v>3221</v>
      </c>
    </row>
    <row r="58" spans="1:109" ht="20">
      <c r="A58" s="13" t="s">
        <v>3366</v>
      </c>
      <c r="B58" s="13"/>
      <c r="C58" s="13" t="s">
        <v>3296</v>
      </c>
      <c r="D58" s="14" t="s">
        <v>2481</v>
      </c>
      <c r="E58" s="13" t="s">
        <v>673</v>
      </c>
      <c r="F58" s="13" t="s">
        <v>2273</v>
      </c>
      <c r="G58" s="13"/>
      <c r="H58" s="14" t="s">
        <v>584</v>
      </c>
      <c r="I58" s="13" t="s">
        <v>3687</v>
      </c>
      <c r="J58" s="14" t="s">
        <v>4035</v>
      </c>
      <c r="K58" s="13" t="s">
        <v>4034</v>
      </c>
      <c r="L58" s="13" t="s">
        <v>2455</v>
      </c>
      <c r="M58" s="13">
        <v>203</v>
      </c>
      <c r="N58" s="13"/>
      <c r="O58" s="15"/>
      <c r="P58" s="13">
        <v>24</v>
      </c>
      <c r="Q58" s="13">
        <v>57.1</v>
      </c>
      <c r="R58" s="13">
        <v>12</v>
      </c>
      <c r="S58" s="13"/>
      <c r="T58" s="13"/>
      <c r="U58" s="13"/>
      <c r="V58" s="13">
        <v>112</v>
      </c>
      <c r="W58" s="2">
        <f t="shared" si="4"/>
        <v>0.55172413793103448</v>
      </c>
      <c r="X58" s="13">
        <v>37.9</v>
      </c>
      <c r="Y58" s="13">
        <v>5.7</v>
      </c>
      <c r="Z58" s="13"/>
      <c r="AA58" s="13"/>
      <c r="AB58" s="13"/>
      <c r="AC58" s="13">
        <v>147</v>
      </c>
      <c r="AD58" s="13">
        <f t="shared" si="5"/>
        <v>0.72413793103448276</v>
      </c>
      <c r="AE58" s="13"/>
      <c r="AF58" s="13"/>
      <c r="AG58" s="13">
        <v>14.4</v>
      </c>
      <c r="AH58" s="13">
        <v>10.5</v>
      </c>
      <c r="AI58" s="13">
        <v>22.5</v>
      </c>
      <c r="AJ58" s="13"/>
      <c r="AK58" s="13"/>
      <c r="AL58" s="13"/>
      <c r="AM58" s="13"/>
      <c r="AN58" s="13"/>
      <c r="AO58" s="13"/>
      <c r="AP58" s="13"/>
      <c r="AQ58" s="13">
        <v>30.1</v>
      </c>
      <c r="AR58" s="13">
        <v>17.399999999999999</v>
      </c>
      <c r="AS58" s="13">
        <v>47.7</v>
      </c>
      <c r="AT58" s="13">
        <v>93</v>
      </c>
      <c r="AU58" s="14" t="s">
        <v>2799</v>
      </c>
      <c r="AV58" s="13" t="s">
        <v>3688</v>
      </c>
      <c r="AW58" s="13">
        <v>203</v>
      </c>
      <c r="AX58" s="13">
        <v>0.94</v>
      </c>
      <c r="AY58" s="13">
        <v>0.74</v>
      </c>
      <c r="AZ58" s="13">
        <v>1.1599999999999999</v>
      </c>
      <c r="BA58" s="16"/>
      <c r="BB58" s="13"/>
      <c r="BC58" s="13"/>
      <c r="BD58" s="13"/>
      <c r="BE58" s="16" t="s">
        <v>3689</v>
      </c>
      <c r="BF58" s="13">
        <v>203</v>
      </c>
      <c r="BG58" s="13">
        <v>1.03</v>
      </c>
      <c r="BH58" s="13">
        <v>0.81</v>
      </c>
      <c r="BI58" s="13">
        <v>1.28</v>
      </c>
      <c r="BJ58" s="16" t="s">
        <v>4111</v>
      </c>
      <c r="BK58" s="13">
        <v>1.08</v>
      </c>
      <c r="BL58" s="13">
        <v>0.6</v>
      </c>
      <c r="BM58" s="13">
        <v>1.7</v>
      </c>
      <c r="BN58" s="16"/>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t="s">
        <v>3454</v>
      </c>
      <c r="CX58" s="13" t="s">
        <v>3455</v>
      </c>
      <c r="CY58" s="13">
        <v>2024</v>
      </c>
      <c r="CZ58" s="13" t="s">
        <v>32</v>
      </c>
      <c r="DA58" s="13" t="s">
        <v>1514</v>
      </c>
      <c r="DB58" s="13">
        <v>108</v>
      </c>
      <c r="DC58" s="13"/>
      <c r="DD58" s="13">
        <v>105323</v>
      </c>
      <c r="DE58" s="13" t="s">
        <v>3221</v>
      </c>
    </row>
    <row r="59" spans="1:109" ht="20">
      <c r="A59" s="13" t="s">
        <v>3366</v>
      </c>
      <c r="B59" s="13"/>
      <c r="C59" s="13" t="s">
        <v>3296</v>
      </c>
      <c r="D59" s="14" t="s">
        <v>2481</v>
      </c>
      <c r="E59" s="13" t="s">
        <v>674</v>
      </c>
      <c r="F59" s="13" t="s">
        <v>3690</v>
      </c>
      <c r="G59" s="13"/>
      <c r="H59" s="14" t="s">
        <v>584</v>
      </c>
      <c r="I59" s="13" t="s">
        <v>3687</v>
      </c>
      <c r="J59" s="14" t="s">
        <v>4037</v>
      </c>
      <c r="K59" s="13" t="s">
        <v>4036</v>
      </c>
      <c r="L59" s="13" t="s">
        <v>3705</v>
      </c>
      <c r="M59" s="13">
        <v>203</v>
      </c>
      <c r="N59" s="13"/>
      <c r="O59" s="15"/>
      <c r="P59" s="13">
        <v>24</v>
      </c>
      <c r="Q59" s="13">
        <v>57.1</v>
      </c>
      <c r="R59" s="13">
        <v>12</v>
      </c>
      <c r="S59" s="13"/>
      <c r="T59" s="13"/>
      <c r="U59" s="13"/>
      <c r="V59" s="13">
        <v>112</v>
      </c>
      <c r="W59" s="2">
        <f t="shared" si="4"/>
        <v>0.55172413793103448</v>
      </c>
      <c r="X59" s="13">
        <v>37.9</v>
      </c>
      <c r="Y59" s="13">
        <v>5.7</v>
      </c>
      <c r="Z59" s="13"/>
      <c r="AA59" s="13"/>
      <c r="AB59" s="13"/>
      <c r="AC59" s="13">
        <v>147</v>
      </c>
      <c r="AD59" s="13">
        <f t="shared" si="5"/>
        <v>0.72413793103448276</v>
      </c>
      <c r="AE59" s="13"/>
      <c r="AF59" s="13"/>
      <c r="AG59" s="13">
        <v>14.4</v>
      </c>
      <c r="AH59" s="13">
        <v>10.5</v>
      </c>
      <c r="AI59" s="13">
        <v>22.5</v>
      </c>
      <c r="AJ59" s="13"/>
      <c r="AK59" s="13"/>
      <c r="AL59" s="13"/>
      <c r="AM59" s="13"/>
      <c r="AN59" s="13"/>
      <c r="AO59" s="13"/>
      <c r="AP59" s="13"/>
      <c r="AQ59" s="13">
        <v>30.1</v>
      </c>
      <c r="AR59" s="13">
        <v>17.399999999999999</v>
      </c>
      <c r="AS59" s="13">
        <v>47.7</v>
      </c>
      <c r="AT59" s="13">
        <v>93</v>
      </c>
      <c r="AU59" s="14" t="s">
        <v>2799</v>
      </c>
      <c r="AV59" s="13" t="s">
        <v>3688</v>
      </c>
      <c r="AW59" s="13">
        <v>201</v>
      </c>
      <c r="AX59" s="13">
        <v>1.36</v>
      </c>
      <c r="AY59" s="13">
        <v>1.0900000000000001</v>
      </c>
      <c r="AZ59" s="13">
        <v>1.69</v>
      </c>
      <c r="BA59" s="16"/>
      <c r="BB59" s="13"/>
      <c r="BC59" s="13"/>
      <c r="BD59" s="13"/>
      <c r="BE59" s="16" t="s">
        <v>3689</v>
      </c>
      <c r="BF59" s="13">
        <v>201</v>
      </c>
      <c r="BG59" s="13">
        <v>1.33</v>
      </c>
      <c r="BH59" s="13">
        <v>1.06</v>
      </c>
      <c r="BI59" s="13">
        <v>1.67</v>
      </c>
      <c r="BJ59" s="16" t="s">
        <v>4111</v>
      </c>
      <c r="BK59" s="13">
        <v>1.82</v>
      </c>
      <c r="BL59" s="13">
        <v>1</v>
      </c>
      <c r="BM59" s="13">
        <v>3.3</v>
      </c>
      <c r="BN59" s="16"/>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t="s">
        <v>3454</v>
      </c>
      <c r="CX59" s="13" t="s">
        <v>3455</v>
      </c>
      <c r="CY59" s="13">
        <v>2024</v>
      </c>
      <c r="CZ59" s="13" t="s">
        <v>32</v>
      </c>
      <c r="DA59" s="13" t="s">
        <v>1514</v>
      </c>
      <c r="DB59" s="13">
        <v>108</v>
      </c>
      <c r="DC59" s="13"/>
      <c r="DD59" s="13">
        <v>105323</v>
      </c>
      <c r="DE59" s="13" t="s">
        <v>3221</v>
      </c>
    </row>
    <row r="60" spans="1:109" ht="20">
      <c r="A60" s="13" t="s">
        <v>3366</v>
      </c>
      <c r="B60" s="13"/>
      <c r="C60" s="13" t="s">
        <v>3691</v>
      </c>
      <c r="D60" s="14" t="s">
        <v>2481</v>
      </c>
      <c r="E60" s="13" t="s">
        <v>673</v>
      </c>
      <c r="F60" s="13" t="s">
        <v>686</v>
      </c>
      <c r="G60" s="13"/>
      <c r="H60" s="14" t="s">
        <v>584</v>
      </c>
      <c r="I60" s="13" t="s">
        <v>3687</v>
      </c>
      <c r="J60" s="14" t="s">
        <v>652</v>
      </c>
      <c r="K60" s="13" t="s">
        <v>3686</v>
      </c>
      <c r="L60" s="13" t="s">
        <v>639</v>
      </c>
      <c r="M60" s="13">
        <v>203</v>
      </c>
      <c r="N60" s="13"/>
      <c r="O60" s="15"/>
      <c r="P60" s="13">
        <v>24</v>
      </c>
      <c r="Q60" s="13">
        <v>57.1</v>
      </c>
      <c r="R60" s="13">
        <v>12</v>
      </c>
      <c r="S60" s="13"/>
      <c r="T60" s="13"/>
      <c r="U60" s="13"/>
      <c r="V60" s="13">
        <v>112</v>
      </c>
      <c r="W60" s="2">
        <f t="shared" si="4"/>
        <v>0.55172413793103448</v>
      </c>
      <c r="X60" s="13">
        <v>37.9</v>
      </c>
      <c r="Y60" s="13">
        <v>5.7</v>
      </c>
      <c r="Z60" s="13"/>
      <c r="AA60" s="13"/>
      <c r="AB60" s="13"/>
      <c r="AC60" s="13">
        <v>147</v>
      </c>
      <c r="AD60" s="13">
        <f t="shared" si="5"/>
        <v>0.72413793103448276</v>
      </c>
      <c r="AE60" s="13"/>
      <c r="AF60" s="13"/>
      <c r="AG60" s="13">
        <v>14.4</v>
      </c>
      <c r="AH60" s="13">
        <v>10.5</v>
      </c>
      <c r="AI60" s="13">
        <v>22.5</v>
      </c>
      <c r="AJ60" s="13"/>
      <c r="AK60" s="13"/>
      <c r="AL60" s="13"/>
      <c r="AM60" s="13"/>
      <c r="AN60" s="13"/>
      <c r="AO60" s="13"/>
      <c r="AP60" s="13"/>
      <c r="AQ60" s="13">
        <v>30.1</v>
      </c>
      <c r="AR60" s="13">
        <v>17.399999999999999</v>
      </c>
      <c r="AS60" s="13">
        <v>47.7</v>
      </c>
      <c r="AT60" s="13">
        <v>93</v>
      </c>
      <c r="AU60" s="14" t="s">
        <v>2799</v>
      </c>
      <c r="AV60" s="13" t="s">
        <v>3688</v>
      </c>
      <c r="AW60" s="13">
        <v>203</v>
      </c>
      <c r="AX60" s="13">
        <v>1.27</v>
      </c>
      <c r="AY60" s="13">
        <v>1.05</v>
      </c>
      <c r="AZ60" s="13">
        <v>1.55</v>
      </c>
      <c r="BA60" s="16"/>
      <c r="BB60" s="13"/>
      <c r="BC60" s="13"/>
      <c r="BD60" s="13"/>
      <c r="BE60" s="16" t="s">
        <v>3694</v>
      </c>
      <c r="BF60" s="13">
        <v>203</v>
      </c>
      <c r="BG60" s="13">
        <v>0.91</v>
      </c>
      <c r="BH60" s="13">
        <v>0.73</v>
      </c>
      <c r="BI60" s="13">
        <v>1.1499999999999999</v>
      </c>
      <c r="BJ60" s="16"/>
      <c r="BK60" s="13"/>
      <c r="BL60" s="13"/>
      <c r="BM60" s="13"/>
      <c r="BN60" s="16"/>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t="s">
        <v>3454</v>
      </c>
      <c r="CX60" s="13" t="s">
        <v>3455</v>
      </c>
      <c r="CY60" s="13">
        <v>2024</v>
      </c>
      <c r="CZ60" s="13" t="s">
        <v>32</v>
      </c>
      <c r="DA60" s="13" t="s">
        <v>1514</v>
      </c>
      <c r="DB60" s="13">
        <v>108</v>
      </c>
      <c r="DC60" s="13"/>
      <c r="DD60" s="13">
        <v>105323</v>
      </c>
      <c r="DE60" s="13" t="s">
        <v>3221</v>
      </c>
    </row>
    <row r="61" spans="1:109" ht="20">
      <c r="A61" s="13" t="s">
        <v>3366</v>
      </c>
      <c r="B61" s="13"/>
      <c r="C61" s="13" t="s">
        <v>3691</v>
      </c>
      <c r="D61" s="14" t="s">
        <v>2481</v>
      </c>
      <c r="E61" s="13" t="s">
        <v>673</v>
      </c>
      <c r="F61" s="13" t="s">
        <v>2377</v>
      </c>
      <c r="G61" s="13"/>
      <c r="H61" s="14" t="s">
        <v>584</v>
      </c>
      <c r="I61" s="13" t="s">
        <v>3687</v>
      </c>
      <c r="J61" s="14" t="s">
        <v>4035</v>
      </c>
      <c r="K61" s="13" t="s">
        <v>4034</v>
      </c>
      <c r="L61" s="13" t="s">
        <v>2455</v>
      </c>
      <c r="M61" s="13">
        <v>203</v>
      </c>
      <c r="N61" s="13"/>
      <c r="O61" s="15"/>
      <c r="P61" s="13">
        <v>24</v>
      </c>
      <c r="Q61" s="13">
        <v>57.1</v>
      </c>
      <c r="R61" s="13">
        <v>12</v>
      </c>
      <c r="S61" s="13"/>
      <c r="T61" s="13"/>
      <c r="U61" s="13"/>
      <c r="V61" s="13">
        <v>112</v>
      </c>
      <c r="W61" s="2">
        <f t="shared" si="4"/>
        <v>0.55172413793103448</v>
      </c>
      <c r="X61" s="13">
        <v>37.9</v>
      </c>
      <c r="Y61" s="13">
        <v>5.7</v>
      </c>
      <c r="Z61" s="13"/>
      <c r="AA61" s="13"/>
      <c r="AB61" s="13"/>
      <c r="AC61" s="13">
        <v>147</v>
      </c>
      <c r="AD61" s="13">
        <f t="shared" si="5"/>
        <v>0.72413793103448276</v>
      </c>
      <c r="AE61" s="13"/>
      <c r="AF61" s="13"/>
      <c r="AG61" s="13">
        <v>14.4</v>
      </c>
      <c r="AH61" s="13">
        <v>10.5</v>
      </c>
      <c r="AI61" s="13">
        <v>22.5</v>
      </c>
      <c r="AJ61" s="13"/>
      <c r="AK61" s="13"/>
      <c r="AL61" s="13"/>
      <c r="AM61" s="13"/>
      <c r="AN61" s="13"/>
      <c r="AO61" s="13"/>
      <c r="AP61" s="13"/>
      <c r="AQ61" s="13">
        <v>30.1</v>
      </c>
      <c r="AR61" s="13">
        <v>17.399999999999999</v>
      </c>
      <c r="AS61" s="13">
        <v>47.7</v>
      </c>
      <c r="AT61" s="13">
        <v>93</v>
      </c>
      <c r="AU61" s="14" t="s">
        <v>2799</v>
      </c>
      <c r="AV61" s="13" t="s">
        <v>3688</v>
      </c>
      <c r="AW61" s="13">
        <v>203</v>
      </c>
      <c r="AX61" s="13">
        <v>0.88</v>
      </c>
      <c r="AY61" s="13">
        <v>0.72</v>
      </c>
      <c r="AZ61" s="13">
        <v>1.06</v>
      </c>
      <c r="BA61" s="16"/>
      <c r="BB61" s="13"/>
      <c r="BC61" s="13"/>
      <c r="BD61" s="13"/>
      <c r="BE61" s="16" t="s">
        <v>3694</v>
      </c>
      <c r="BF61" s="13">
        <v>203</v>
      </c>
      <c r="BG61" s="13">
        <v>1.01</v>
      </c>
      <c r="BH61" s="13">
        <v>0.83</v>
      </c>
      <c r="BI61" s="13">
        <v>1.23</v>
      </c>
      <c r="BJ61" s="16"/>
      <c r="BK61" s="13"/>
      <c r="BL61" s="13"/>
      <c r="BM61" s="13"/>
      <c r="BN61" s="16"/>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t="s">
        <v>3454</v>
      </c>
      <c r="CX61" s="13" t="s">
        <v>3455</v>
      </c>
      <c r="CY61" s="13">
        <v>2024</v>
      </c>
      <c r="CZ61" s="13" t="s">
        <v>32</v>
      </c>
      <c r="DA61" s="13" t="s">
        <v>1514</v>
      </c>
      <c r="DB61" s="13">
        <v>108</v>
      </c>
      <c r="DC61" s="13"/>
      <c r="DD61" s="13">
        <v>105323</v>
      </c>
      <c r="DE61" s="13" t="s">
        <v>3221</v>
      </c>
    </row>
    <row r="62" spans="1:109" ht="20">
      <c r="A62" s="13" t="s">
        <v>3366</v>
      </c>
      <c r="B62" s="13"/>
      <c r="C62" s="13" t="s">
        <v>3691</v>
      </c>
      <c r="D62" s="14" t="s">
        <v>2481</v>
      </c>
      <c r="E62" s="13" t="s">
        <v>673</v>
      </c>
      <c r="F62" s="13" t="s">
        <v>2337</v>
      </c>
      <c r="G62" s="13"/>
      <c r="H62" s="14" t="s">
        <v>584</v>
      </c>
      <c r="I62" s="13" t="s">
        <v>3687</v>
      </c>
      <c r="J62" s="14" t="s">
        <v>4035</v>
      </c>
      <c r="K62" s="13" t="s">
        <v>4034</v>
      </c>
      <c r="L62" s="13" t="s">
        <v>2455</v>
      </c>
      <c r="M62" s="13">
        <v>203</v>
      </c>
      <c r="N62" s="13"/>
      <c r="O62" s="15"/>
      <c r="P62" s="13">
        <v>24</v>
      </c>
      <c r="Q62" s="13">
        <v>57.1</v>
      </c>
      <c r="R62" s="13">
        <v>12</v>
      </c>
      <c r="S62" s="13"/>
      <c r="T62" s="13"/>
      <c r="U62" s="13"/>
      <c r="V62" s="13">
        <v>112</v>
      </c>
      <c r="W62" s="2">
        <f t="shared" si="4"/>
        <v>0.55172413793103448</v>
      </c>
      <c r="X62" s="13">
        <v>37.9</v>
      </c>
      <c r="Y62" s="13">
        <v>5.7</v>
      </c>
      <c r="Z62" s="13"/>
      <c r="AA62" s="13"/>
      <c r="AB62" s="13"/>
      <c r="AC62" s="13">
        <v>147</v>
      </c>
      <c r="AD62" s="13">
        <f t="shared" si="5"/>
        <v>0.72413793103448276</v>
      </c>
      <c r="AE62" s="13"/>
      <c r="AF62" s="13"/>
      <c r="AG62" s="13">
        <v>14.4</v>
      </c>
      <c r="AH62" s="13">
        <v>10.5</v>
      </c>
      <c r="AI62" s="13">
        <v>22.5</v>
      </c>
      <c r="AJ62" s="13"/>
      <c r="AK62" s="13"/>
      <c r="AL62" s="13"/>
      <c r="AM62" s="13"/>
      <c r="AN62" s="13"/>
      <c r="AO62" s="13"/>
      <c r="AP62" s="13"/>
      <c r="AQ62" s="13">
        <v>30.1</v>
      </c>
      <c r="AR62" s="13">
        <v>17.399999999999999</v>
      </c>
      <c r="AS62" s="13">
        <v>47.7</v>
      </c>
      <c r="AT62" s="13">
        <v>93</v>
      </c>
      <c r="AU62" s="14" t="s">
        <v>2799</v>
      </c>
      <c r="AV62" s="13" t="s">
        <v>3688</v>
      </c>
      <c r="AW62" s="13">
        <v>203</v>
      </c>
      <c r="AX62" s="13">
        <v>1.05</v>
      </c>
      <c r="AY62" s="13">
        <v>0.87</v>
      </c>
      <c r="AZ62" s="13">
        <v>1.29</v>
      </c>
      <c r="BA62" s="16"/>
      <c r="BB62" s="13"/>
      <c r="BC62" s="13"/>
      <c r="BD62" s="13"/>
      <c r="BE62" s="16" t="s">
        <v>3694</v>
      </c>
      <c r="BF62" s="13">
        <v>203</v>
      </c>
      <c r="BG62" s="13">
        <v>1</v>
      </c>
      <c r="BH62" s="13">
        <v>0.81</v>
      </c>
      <c r="BI62" s="13">
        <v>1.24</v>
      </c>
      <c r="BJ62" s="16"/>
      <c r="BK62" s="13"/>
      <c r="BL62" s="13"/>
      <c r="BM62" s="13"/>
      <c r="BN62" s="16"/>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t="s">
        <v>3454</v>
      </c>
      <c r="CX62" s="13" t="s">
        <v>3455</v>
      </c>
      <c r="CY62" s="13">
        <v>2024</v>
      </c>
      <c r="CZ62" s="13" t="s">
        <v>32</v>
      </c>
      <c r="DA62" s="13" t="s">
        <v>1514</v>
      </c>
      <c r="DB62" s="13">
        <v>108</v>
      </c>
      <c r="DC62" s="13"/>
      <c r="DD62" s="13">
        <v>105323</v>
      </c>
      <c r="DE62" s="13" t="s">
        <v>3221</v>
      </c>
    </row>
    <row r="63" spans="1:109" ht="20">
      <c r="A63" s="13" t="s">
        <v>3366</v>
      </c>
      <c r="B63" s="13"/>
      <c r="C63" s="13" t="s">
        <v>3691</v>
      </c>
      <c r="D63" s="14" t="s">
        <v>2481</v>
      </c>
      <c r="E63" s="13" t="s">
        <v>673</v>
      </c>
      <c r="F63" s="13" t="s">
        <v>2378</v>
      </c>
      <c r="G63" s="13"/>
      <c r="H63" s="14" t="s">
        <v>584</v>
      </c>
      <c r="I63" s="13" t="s">
        <v>3687</v>
      </c>
      <c r="J63" s="14" t="s">
        <v>4035</v>
      </c>
      <c r="K63" s="13" t="s">
        <v>4034</v>
      </c>
      <c r="L63" s="13" t="s">
        <v>3704</v>
      </c>
      <c r="M63" s="13">
        <v>203</v>
      </c>
      <c r="N63" s="13"/>
      <c r="O63" s="15"/>
      <c r="P63" s="13">
        <v>24</v>
      </c>
      <c r="Q63" s="13">
        <v>57.1</v>
      </c>
      <c r="R63" s="13">
        <v>12</v>
      </c>
      <c r="S63" s="13"/>
      <c r="T63" s="13"/>
      <c r="U63" s="13"/>
      <c r="V63" s="13">
        <v>112</v>
      </c>
      <c r="W63" s="2">
        <f t="shared" si="4"/>
        <v>0.55172413793103448</v>
      </c>
      <c r="X63" s="13">
        <v>37.9</v>
      </c>
      <c r="Y63" s="13">
        <v>5.7</v>
      </c>
      <c r="Z63" s="13"/>
      <c r="AA63" s="13"/>
      <c r="AB63" s="13"/>
      <c r="AC63" s="13">
        <v>147</v>
      </c>
      <c r="AD63" s="13">
        <f t="shared" si="5"/>
        <v>0.72413793103448276</v>
      </c>
      <c r="AE63" s="13"/>
      <c r="AF63" s="13"/>
      <c r="AG63" s="13">
        <v>14.4</v>
      </c>
      <c r="AH63" s="13">
        <v>10.5</v>
      </c>
      <c r="AI63" s="13">
        <v>22.5</v>
      </c>
      <c r="AJ63" s="13"/>
      <c r="AK63" s="13"/>
      <c r="AL63" s="13"/>
      <c r="AM63" s="13"/>
      <c r="AN63" s="13"/>
      <c r="AO63" s="13"/>
      <c r="AP63" s="13"/>
      <c r="AQ63" s="13">
        <v>30.1</v>
      </c>
      <c r="AR63" s="13">
        <v>17.399999999999999</v>
      </c>
      <c r="AS63" s="13">
        <v>47.7</v>
      </c>
      <c r="AT63" s="13">
        <v>93</v>
      </c>
      <c r="AU63" s="14" t="s">
        <v>2799</v>
      </c>
      <c r="AV63" s="13" t="s">
        <v>3688</v>
      </c>
      <c r="AW63" s="13">
        <v>203</v>
      </c>
      <c r="AX63" s="13">
        <v>0.88</v>
      </c>
      <c r="AY63" s="13">
        <v>0.72</v>
      </c>
      <c r="AZ63" s="13">
        <v>1.07</v>
      </c>
      <c r="BA63" s="16"/>
      <c r="BB63" s="13"/>
      <c r="BC63" s="13"/>
      <c r="BD63" s="13"/>
      <c r="BE63" s="16" t="s">
        <v>3694</v>
      </c>
      <c r="BF63" s="13">
        <v>203</v>
      </c>
      <c r="BG63" s="13">
        <v>0.98</v>
      </c>
      <c r="BH63" s="13">
        <v>0.8</v>
      </c>
      <c r="BI63" s="13">
        <v>1.21</v>
      </c>
      <c r="BJ63" s="16"/>
      <c r="BK63" s="13"/>
      <c r="BL63" s="13"/>
      <c r="BM63" s="13"/>
      <c r="BN63" s="16"/>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t="s">
        <v>3454</v>
      </c>
      <c r="CX63" s="13" t="s">
        <v>3455</v>
      </c>
      <c r="CY63" s="13">
        <v>2024</v>
      </c>
      <c r="CZ63" s="13" t="s">
        <v>32</v>
      </c>
      <c r="DA63" s="13" t="s">
        <v>1514</v>
      </c>
      <c r="DB63" s="13">
        <v>108</v>
      </c>
      <c r="DC63" s="13"/>
      <c r="DD63" s="13">
        <v>105323</v>
      </c>
      <c r="DE63" s="13" t="s">
        <v>3221</v>
      </c>
    </row>
    <row r="64" spans="1:109" ht="20">
      <c r="A64" s="13" t="s">
        <v>3366</v>
      </c>
      <c r="B64" s="13"/>
      <c r="C64" s="13" t="s">
        <v>3691</v>
      </c>
      <c r="D64" s="14" t="s">
        <v>2481</v>
      </c>
      <c r="E64" s="13" t="s">
        <v>673</v>
      </c>
      <c r="F64" s="13" t="s">
        <v>2273</v>
      </c>
      <c r="G64" s="13"/>
      <c r="H64" s="14" t="s">
        <v>584</v>
      </c>
      <c r="I64" s="13" t="s">
        <v>3687</v>
      </c>
      <c r="J64" s="14" t="s">
        <v>4035</v>
      </c>
      <c r="K64" s="13" t="s">
        <v>4034</v>
      </c>
      <c r="L64" s="13" t="s">
        <v>2455</v>
      </c>
      <c r="M64" s="13">
        <v>203</v>
      </c>
      <c r="N64" s="13"/>
      <c r="O64" s="15"/>
      <c r="P64" s="13">
        <v>24</v>
      </c>
      <c r="Q64" s="13">
        <v>57.1</v>
      </c>
      <c r="R64" s="13">
        <v>12</v>
      </c>
      <c r="S64" s="13"/>
      <c r="T64" s="13"/>
      <c r="U64" s="13"/>
      <c r="V64" s="13">
        <v>112</v>
      </c>
      <c r="W64" s="2">
        <f t="shared" si="4"/>
        <v>0.55172413793103448</v>
      </c>
      <c r="X64" s="13">
        <v>37.9</v>
      </c>
      <c r="Y64" s="13">
        <v>5.7</v>
      </c>
      <c r="Z64" s="13"/>
      <c r="AA64" s="13"/>
      <c r="AB64" s="13"/>
      <c r="AC64" s="13">
        <v>147</v>
      </c>
      <c r="AD64" s="13">
        <f t="shared" si="5"/>
        <v>0.72413793103448276</v>
      </c>
      <c r="AE64" s="13"/>
      <c r="AF64" s="13"/>
      <c r="AG64" s="13">
        <v>14.4</v>
      </c>
      <c r="AH64" s="13">
        <v>10.5</v>
      </c>
      <c r="AI64" s="13">
        <v>22.5</v>
      </c>
      <c r="AJ64" s="13"/>
      <c r="AK64" s="13"/>
      <c r="AL64" s="13"/>
      <c r="AM64" s="13"/>
      <c r="AN64" s="13"/>
      <c r="AO64" s="13"/>
      <c r="AP64" s="13"/>
      <c r="AQ64" s="13">
        <v>30.1</v>
      </c>
      <c r="AR64" s="13">
        <v>17.399999999999999</v>
      </c>
      <c r="AS64" s="13">
        <v>47.7</v>
      </c>
      <c r="AT64" s="13">
        <v>93</v>
      </c>
      <c r="AU64" s="14" t="s">
        <v>2799</v>
      </c>
      <c r="AV64" s="13" t="s">
        <v>3688</v>
      </c>
      <c r="AW64" s="13">
        <v>203</v>
      </c>
      <c r="AX64" s="13">
        <v>0.94</v>
      </c>
      <c r="AY64" s="13">
        <v>0.74</v>
      </c>
      <c r="AZ64" s="13">
        <v>1.1599999999999999</v>
      </c>
      <c r="BA64" s="16"/>
      <c r="BB64" s="13"/>
      <c r="BC64" s="13"/>
      <c r="BD64" s="13"/>
      <c r="BE64" s="16" t="s">
        <v>3694</v>
      </c>
      <c r="BF64" s="13">
        <v>203</v>
      </c>
      <c r="BG64" s="13">
        <v>0.92</v>
      </c>
      <c r="BH64" s="13">
        <v>0.72</v>
      </c>
      <c r="BI64" s="13">
        <v>1.1499999999999999</v>
      </c>
      <c r="BJ64" s="16"/>
      <c r="BK64" s="13"/>
      <c r="BL64" s="13"/>
      <c r="BM64" s="13"/>
      <c r="BN64" s="16"/>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t="s">
        <v>3454</v>
      </c>
      <c r="CX64" s="13" t="s">
        <v>3455</v>
      </c>
      <c r="CY64" s="13">
        <v>2024</v>
      </c>
      <c r="CZ64" s="13" t="s">
        <v>32</v>
      </c>
      <c r="DA64" s="13" t="s">
        <v>1514</v>
      </c>
      <c r="DB64" s="13">
        <v>108</v>
      </c>
      <c r="DC64" s="13"/>
      <c r="DD64" s="13">
        <v>105323</v>
      </c>
      <c r="DE64" s="13" t="s">
        <v>3221</v>
      </c>
    </row>
    <row r="65" spans="1:109" ht="20">
      <c r="A65" s="13" t="s">
        <v>3366</v>
      </c>
      <c r="B65" s="13"/>
      <c r="C65" s="13" t="s">
        <v>3691</v>
      </c>
      <c r="D65" s="14" t="s">
        <v>2481</v>
      </c>
      <c r="E65" s="13" t="s">
        <v>674</v>
      </c>
      <c r="F65" s="13" t="s">
        <v>3690</v>
      </c>
      <c r="G65" s="13"/>
      <c r="H65" s="14" t="s">
        <v>584</v>
      </c>
      <c r="I65" s="13" t="s">
        <v>3687</v>
      </c>
      <c r="J65" s="14" t="s">
        <v>4037</v>
      </c>
      <c r="K65" s="13" t="s">
        <v>4036</v>
      </c>
      <c r="L65" s="13" t="s">
        <v>3705</v>
      </c>
      <c r="M65" s="13">
        <v>203</v>
      </c>
      <c r="N65" s="13"/>
      <c r="O65" s="15"/>
      <c r="P65" s="13">
        <v>24</v>
      </c>
      <c r="Q65" s="13">
        <v>57.1</v>
      </c>
      <c r="R65" s="13">
        <v>12</v>
      </c>
      <c r="S65" s="13"/>
      <c r="T65" s="13"/>
      <c r="U65" s="13"/>
      <c r="V65" s="13">
        <v>112</v>
      </c>
      <c r="W65" s="2">
        <f t="shared" si="4"/>
        <v>0.55172413793103448</v>
      </c>
      <c r="X65" s="13">
        <v>37.9</v>
      </c>
      <c r="Y65" s="13">
        <v>5.7</v>
      </c>
      <c r="Z65" s="13"/>
      <c r="AA65" s="13"/>
      <c r="AB65" s="13"/>
      <c r="AC65" s="13">
        <v>147</v>
      </c>
      <c r="AD65" s="13">
        <f t="shared" si="5"/>
        <v>0.72413793103448276</v>
      </c>
      <c r="AE65" s="13"/>
      <c r="AF65" s="13"/>
      <c r="AG65" s="13">
        <v>14.4</v>
      </c>
      <c r="AH65" s="13">
        <v>10.5</v>
      </c>
      <c r="AI65" s="13">
        <v>22.5</v>
      </c>
      <c r="AJ65" s="13"/>
      <c r="AK65" s="13"/>
      <c r="AL65" s="13"/>
      <c r="AM65" s="13"/>
      <c r="AN65" s="13"/>
      <c r="AO65" s="13"/>
      <c r="AP65" s="13"/>
      <c r="AQ65" s="13">
        <v>30.1</v>
      </c>
      <c r="AR65" s="13">
        <v>17.399999999999999</v>
      </c>
      <c r="AS65" s="13">
        <v>47.7</v>
      </c>
      <c r="AT65" s="13">
        <v>93</v>
      </c>
      <c r="AU65" s="14" t="s">
        <v>2799</v>
      </c>
      <c r="AV65" s="13" t="s">
        <v>3688</v>
      </c>
      <c r="AW65" s="13">
        <v>201</v>
      </c>
      <c r="AX65" s="13">
        <v>1.36</v>
      </c>
      <c r="AY65" s="13">
        <v>1.0900000000000001</v>
      </c>
      <c r="AZ65" s="13">
        <v>1.69</v>
      </c>
      <c r="BA65" s="16"/>
      <c r="BB65" s="13"/>
      <c r="BC65" s="13"/>
      <c r="BD65" s="13"/>
      <c r="BE65" s="16" t="s">
        <v>3694</v>
      </c>
      <c r="BF65" s="13">
        <v>201</v>
      </c>
      <c r="BG65" s="13">
        <v>1.32</v>
      </c>
      <c r="BH65" s="13">
        <v>1.06</v>
      </c>
      <c r="BI65" s="13">
        <v>1.64</v>
      </c>
      <c r="BJ65" s="16"/>
      <c r="BK65" s="13"/>
      <c r="BL65" s="13"/>
      <c r="BM65" s="13"/>
      <c r="BN65" s="16"/>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t="s">
        <v>3454</v>
      </c>
      <c r="CX65" s="13" t="s">
        <v>3455</v>
      </c>
      <c r="CY65" s="13">
        <v>2024</v>
      </c>
      <c r="CZ65" s="13" t="s">
        <v>32</v>
      </c>
      <c r="DA65" s="13" t="s">
        <v>1514</v>
      </c>
      <c r="DB65" s="13">
        <v>108</v>
      </c>
      <c r="DC65" s="13"/>
      <c r="DD65" s="13">
        <v>105323</v>
      </c>
      <c r="DE65" s="13" t="s">
        <v>3221</v>
      </c>
    </row>
    <row r="66" spans="1:109">
      <c r="A66" s="14" t="s">
        <v>1778</v>
      </c>
      <c r="B66" s="14" t="s">
        <v>1670</v>
      </c>
      <c r="C66" s="14" t="s">
        <v>70</v>
      </c>
      <c r="D66" s="14" t="s">
        <v>818</v>
      </c>
      <c r="E66" s="14" t="s">
        <v>674</v>
      </c>
      <c r="F66" s="14" t="s">
        <v>684</v>
      </c>
      <c r="G66" s="14" t="s">
        <v>667</v>
      </c>
      <c r="H66" s="14" t="s">
        <v>629</v>
      </c>
      <c r="I66" s="14" t="s">
        <v>3087</v>
      </c>
      <c r="J66" s="14" t="s">
        <v>3186</v>
      </c>
      <c r="K66" s="14" t="s">
        <v>3187</v>
      </c>
      <c r="M66" s="14">
        <v>134</v>
      </c>
      <c r="N66" s="14">
        <v>0</v>
      </c>
      <c r="O66" s="34">
        <v>0</v>
      </c>
      <c r="S66" s="14">
        <v>65.3</v>
      </c>
      <c r="T66" s="14">
        <v>57.75</v>
      </c>
      <c r="U66" s="14">
        <v>72.849999999999895</v>
      </c>
      <c r="V66" s="14">
        <v>81</v>
      </c>
      <c r="W66" s="14">
        <f t="shared" si="4"/>
        <v>0.60447761194029848</v>
      </c>
      <c r="Z66" s="14">
        <v>32</v>
      </c>
      <c r="CV66" s="14" t="s">
        <v>2293</v>
      </c>
      <c r="CW66" s="14" t="s">
        <v>65</v>
      </c>
      <c r="CX66" s="14" t="s">
        <v>66</v>
      </c>
      <c r="CY66" s="14">
        <v>2020</v>
      </c>
      <c r="CZ66" s="36">
        <v>45511</v>
      </c>
      <c r="DA66" s="14" t="s">
        <v>67</v>
      </c>
      <c r="DB66" s="14">
        <v>19</v>
      </c>
      <c r="DC66" s="14">
        <v>8</v>
      </c>
      <c r="DD66" s="14" t="s">
        <v>68</v>
      </c>
      <c r="DE66" s="14" t="s">
        <v>69</v>
      </c>
    </row>
    <row r="67" spans="1:109">
      <c r="A67" s="14" t="s">
        <v>1778</v>
      </c>
      <c r="B67" s="14" t="s">
        <v>1670</v>
      </c>
      <c r="C67" s="14" t="s">
        <v>2295</v>
      </c>
      <c r="D67" s="14" t="s">
        <v>818</v>
      </c>
      <c r="E67" s="14" t="s">
        <v>674</v>
      </c>
      <c r="F67" s="14" t="s">
        <v>2294</v>
      </c>
      <c r="H67" s="14" t="s">
        <v>629</v>
      </c>
      <c r="I67" s="14" t="s">
        <v>3087</v>
      </c>
      <c r="J67" s="14" t="s">
        <v>3186</v>
      </c>
      <c r="K67" s="14" t="s">
        <v>3187</v>
      </c>
      <c r="M67" s="14">
        <v>53</v>
      </c>
      <c r="N67" s="14">
        <v>0</v>
      </c>
      <c r="O67" s="34">
        <v>0</v>
      </c>
      <c r="S67" s="14">
        <v>65.3</v>
      </c>
      <c r="T67" s="14">
        <v>57.75</v>
      </c>
      <c r="U67" s="14">
        <v>72.849999999999895</v>
      </c>
      <c r="V67" s="14">
        <v>0</v>
      </c>
      <c r="W67" s="14">
        <f t="shared" si="4"/>
        <v>0</v>
      </c>
      <c r="Z67" s="14">
        <v>32</v>
      </c>
      <c r="BN67" s="14" t="s">
        <v>2552</v>
      </c>
      <c r="BO67" s="14" t="s">
        <v>2297</v>
      </c>
      <c r="BP67" s="14" t="s">
        <v>2297</v>
      </c>
      <c r="CC67" s="14">
        <v>2.9700000000000001E-2</v>
      </c>
      <c r="CG67" s="14" t="s">
        <v>769</v>
      </c>
      <c r="CV67" s="14" t="s">
        <v>2293</v>
      </c>
      <c r="CW67" s="14" t="s">
        <v>65</v>
      </c>
      <c r="CX67" s="14" t="s">
        <v>66</v>
      </c>
      <c r="CY67" s="14">
        <v>2020</v>
      </c>
      <c r="CZ67" s="36">
        <v>45511</v>
      </c>
      <c r="DA67" s="14" t="s">
        <v>67</v>
      </c>
      <c r="DB67" s="14">
        <v>19</v>
      </c>
      <c r="DC67" s="14">
        <v>8</v>
      </c>
      <c r="DD67" s="14" t="s">
        <v>68</v>
      </c>
      <c r="DE67" s="14" t="s">
        <v>69</v>
      </c>
    </row>
    <row r="68" spans="1:109">
      <c r="A68" s="14" t="s">
        <v>1778</v>
      </c>
      <c r="B68" s="14" t="s">
        <v>1670</v>
      </c>
      <c r="C68" s="14" t="s">
        <v>2295</v>
      </c>
      <c r="D68" s="14" t="s">
        <v>818</v>
      </c>
      <c r="E68" s="14" t="s">
        <v>674</v>
      </c>
      <c r="F68" s="14" t="s">
        <v>2337</v>
      </c>
      <c r="H68" s="14" t="s">
        <v>629</v>
      </c>
      <c r="I68" s="14" t="s">
        <v>3087</v>
      </c>
      <c r="J68" s="14" t="s">
        <v>3186</v>
      </c>
      <c r="K68" s="14" t="s">
        <v>3187</v>
      </c>
      <c r="M68" s="14">
        <v>53</v>
      </c>
      <c r="N68" s="14">
        <v>0</v>
      </c>
      <c r="O68" s="34">
        <v>0</v>
      </c>
      <c r="S68" s="14">
        <v>65.3</v>
      </c>
      <c r="T68" s="14">
        <v>57.75</v>
      </c>
      <c r="U68" s="14">
        <v>72.849999999999895</v>
      </c>
      <c r="V68" s="14">
        <v>0</v>
      </c>
      <c r="W68" s="14">
        <f t="shared" si="4"/>
        <v>0</v>
      </c>
      <c r="Z68" s="14">
        <v>32</v>
      </c>
      <c r="BN68" s="14" t="s">
        <v>2552</v>
      </c>
      <c r="BO68" s="14" t="s">
        <v>2297</v>
      </c>
      <c r="BP68" s="14" t="s">
        <v>2297</v>
      </c>
      <c r="CC68" s="14">
        <v>0.18099999999999999</v>
      </c>
      <c r="CG68" s="14" t="s">
        <v>769</v>
      </c>
      <c r="CV68" s="14" t="s">
        <v>2293</v>
      </c>
      <c r="CW68" s="14" t="s">
        <v>65</v>
      </c>
      <c r="CX68" s="14" t="s">
        <v>66</v>
      </c>
      <c r="CY68" s="14">
        <v>2020</v>
      </c>
      <c r="CZ68" s="36">
        <v>45511</v>
      </c>
      <c r="DA68" s="14" t="s">
        <v>67</v>
      </c>
      <c r="DB68" s="14">
        <v>19</v>
      </c>
      <c r="DC68" s="14">
        <v>8</v>
      </c>
      <c r="DD68" s="14" t="s">
        <v>68</v>
      </c>
      <c r="DE68" s="14" t="s">
        <v>69</v>
      </c>
    </row>
    <row r="69" spans="1:109">
      <c r="A69" s="14" t="s">
        <v>1778</v>
      </c>
      <c r="B69" s="14" t="s">
        <v>1670</v>
      </c>
      <c r="C69" s="14" t="s">
        <v>2295</v>
      </c>
      <c r="D69" s="14" t="s">
        <v>818</v>
      </c>
      <c r="E69" s="14" t="s">
        <v>674</v>
      </c>
      <c r="F69" s="14" t="s">
        <v>2298</v>
      </c>
      <c r="H69" s="14" t="s">
        <v>629</v>
      </c>
      <c r="I69" s="14" t="s">
        <v>3087</v>
      </c>
      <c r="J69" s="14" t="s">
        <v>3186</v>
      </c>
      <c r="K69" s="14" t="s">
        <v>3187</v>
      </c>
      <c r="M69" s="14">
        <v>53</v>
      </c>
      <c r="N69" s="14">
        <v>0</v>
      </c>
      <c r="O69" s="34">
        <v>0</v>
      </c>
      <c r="S69" s="14">
        <v>65.3</v>
      </c>
      <c r="T69" s="14">
        <v>57.75</v>
      </c>
      <c r="U69" s="14">
        <v>72.849999999999895</v>
      </c>
      <c r="V69" s="14">
        <v>0</v>
      </c>
      <c r="W69" s="14">
        <f t="shared" si="4"/>
        <v>0</v>
      </c>
      <c r="Z69" s="14">
        <v>32</v>
      </c>
      <c r="BN69" s="14" t="s">
        <v>2552</v>
      </c>
      <c r="BO69" s="14" t="s">
        <v>2297</v>
      </c>
      <c r="BP69" s="14" t="s">
        <v>2297</v>
      </c>
      <c r="CC69" s="14">
        <v>0.25</v>
      </c>
      <c r="CG69" s="14" t="s">
        <v>769</v>
      </c>
      <c r="CV69" s="14" t="s">
        <v>2293</v>
      </c>
      <c r="CW69" s="14" t="s">
        <v>65</v>
      </c>
      <c r="CX69" s="14" t="s">
        <v>66</v>
      </c>
      <c r="CY69" s="14">
        <v>2020</v>
      </c>
      <c r="CZ69" s="36">
        <v>45511</v>
      </c>
      <c r="DA69" s="14" t="s">
        <v>67</v>
      </c>
      <c r="DB69" s="14">
        <v>19</v>
      </c>
      <c r="DC69" s="14">
        <v>8</v>
      </c>
      <c r="DD69" s="14" t="s">
        <v>68</v>
      </c>
      <c r="DE69" s="14" t="s">
        <v>69</v>
      </c>
    </row>
    <row r="70" spans="1:109">
      <c r="A70" s="14" t="s">
        <v>1778</v>
      </c>
      <c r="B70" s="14" t="s">
        <v>1670</v>
      </c>
      <c r="C70" s="14" t="s">
        <v>3211</v>
      </c>
      <c r="D70" s="14" t="s">
        <v>818</v>
      </c>
      <c r="E70" s="14" t="s">
        <v>674</v>
      </c>
      <c r="F70" s="14" t="s">
        <v>2294</v>
      </c>
      <c r="H70" s="14" t="s">
        <v>629</v>
      </c>
      <c r="I70" s="14" t="s">
        <v>3087</v>
      </c>
      <c r="J70" s="14" t="s">
        <v>3186</v>
      </c>
      <c r="K70" s="14" t="s">
        <v>3187</v>
      </c>
      <c r="M70" s="14">
        <v>81</v>
      </c>
      <c r="N70" s="14">
        <v>0</v>
      </c>
      <c r="O70" s="34">
        <v>0</v>
      </c>
      <c r="S70" s="14">
        <v>65.3</v>
      </c>
      <c r="T70" s="14">
        <v>57.75</v>
      </c>
      <c r="U70" s="14">
        <v>72.849999999999895</v>
      </c>
      <c r="V70" s="14">
        <v>81</v>
      </c>
      <c r="W70" s="14">
        <f t="shared" si="4"/>
        <v>1</v>
      </c>
      <c r="Z70" s="14">
        <v>32</v>
      </c>
      <c r="BN70" s="14" t="s">
        <v>2552</v>
      </c>
      <c r="BO70" s="14" t="s">
        <v>2297</v>
      </c>
      <c r="BP70" s="14" t="s">
        <v>2297</v>
      </c>
      <c r="CC70" s="14">
        <v>0.13700000000000001</v>
      </c>
      <c r="CG70" s="14" t="s">
        <v>769</v>
      </c>
      <c r="CV70" s="14" t="s">
        <v>2293</v>
      </c>
      <c r="CW70" s="14" t="s">
        <v>65</v>
      </c>
      <c r="CX70" s="14" t="s">
        <v>66</v>
      </c>
      <c r="CY70" s="14">
        <v>2020</v>
      </c>
      <c r="CZ70" s="36">
        <v>45511</v>
      </c>
      <c r="DA70" s="14" t="s">
        <v>67</v>
      </c>
      <c r="DB70" s="14">
        <v>19</v>
      </c>
      <c r="DC70" s="14">
        <v>8</v>
      </c>
      <c r="DD70" s="14" t="s">
        <v>68</v>
      </c>
      <c r="DE70" s="14" t="s">
        <v>69</v>
      </c>
    </row>
    <row r="71" spans="1:109">
      <c r="A71" s="14" t="s">
        <v>1778</v>
      </c>
      <c r="B71" s="14" t="s">
        <v>1670</v>
      </c>
      <c r="C71" s="14" t="s">
        <v>3211</v>
      </c>
      <c r="D71" s="14" t="s">
        <v>818</v>
      </c>
      <c r="E71" s="14" t="s">
        <v>674</v>
      </c>
      <c r="F71" s="14" t="s">
        <v>2337</v>
      </c>
      <c r="H71" s="14" t="s">
        <v>629</v>
      </c>
      <c r="I71" s="14" t="s">
        <v>3087</v>
      </c>
      <c r="J71" s="14" t="s">
        <v>3186</v>
      </c>
      <c r="K71" s="14" t="s">
        <v>3187</v>
      </c>
      <c r="M71" s="14">
        <v>81</v>
      </c>
      <c r="N71" s="14">
        <v>0</v>
      </c>
      <c r="O71" s="34">
        <v>0</v>
      </c>
      <c r="S71" s="14">
        <v>65.3</v>
      </c>
      <c r="T71" s="14">
        <v>57.75</v>
      </c>
      <c r="U71" s="14">
        <v>72.849999999999895</v>
      </c>
      <c r="V71" s="14">
        <v>81</v>
      </c>
      <c r="W71" s="14">
        <f t="shared" si="4"/>
        <v>1</v>
      </c>
      <c r="Z71" s="14">
        <v>32</v>
      </c>
      <c r="BN71" s="14" t="s">
        <v>2552</v>
      </c>
      <c r="BO71" s="14" t="s">
        <v>2297</v>
      </c>
      <c r="BP71" s="14" t="s">
        <v>2297</v>
      </c>
      <c r="CC71" s="14">
        <v>3.15E-2</v>
      </c>
      <c r="CG71" s="14" t="s">
        <v>769</v>
      </c>
      <c r="CV71" s="14" t="s">
        <v>2293</v>
      </c>
      <c r="CW71" s="14" t="s">
        <v>65</v>
      </c>
      <c r="CX71" s="14" t="s">
        <v>66</v>
      </c>
      <c r="CY71" s="14">
        <v>2020</v>
      </c>
      <c r="CZ71" s="36">
        <v>45511</v>
      </c>
      <c r="DA71" s="14" t="s">
        <v>67</v>
      </c>
      <c r="DB71" s="14">
        <v>19</v>
      </c>
      <c r="DC71" s="14">
        <v>8</v>
      </c>
      <c r="DD71" s="14" t="s">
        <v>68</v>
      </c>
      <c r="DE71" s="14" t="s">
        <v>69</v>
      </c>
    </row>
    <row r="72" spans="1:109">
      <c r="A72" s="14" t="s">
        <v>1778</v>
      </c>
      <c r="B72" s="14" t="s">
        <v>1670</v>
      </c>
      <c r="C72" s="14" t="s">
        <v>3211</v>
      </c>
      <c r="D72" s="14" t="s">
        <v>818</v>
      </c>
      <c r="E72" s="14" t="s">
        <v>674</v>
      </c>
      <c r="F72" s="14" t="s">
        <v>2298</v>
      </c>
      <c r="H72" s="14" t="s">
        <v>629</v>
      </c>
      <c r="I72" s="14" t="s">
        <v>3087</v>
      </c>
      <c r="J72" s="14" t="s">
        <v>3186</v>
      </c>
      <c r="K72" s="14" t="s">
        <v>3187</v>
      </c>
      <c r="M72" s="14">
        <v>81</v>
      </c>
      <c r="N72" s="14">
        <v>0</v>
      </c>
      <c r="O72" s="34">
        <v>0</v>
      </c>
      <c r="S72" s="14">
        <v>65.3</v>
      </c>
      <c r="T72" s="14">
        <v>57.75</v>
      </c>
      <c r="U72" s="14">
        <v>72.849999999999895</v>
      </c>
      <c r="V72" s="14">
        <v>81</v>
      </c>
      <c r="W72" s="14">
        <f t="shared" si="4"/>
        <v>1</v>
      </c>
      <c r="Z72" s="14">
        <v>32</v>
      </c>
      <c r="BN72" s="14" t="s">
        <v>2552</v>
      </c>
      <c r="BO72" s="14" t="s">
        <v>2297</v>
      </c>
      <c r="BP72" s="14" t="s">
        <v>2297</v>
      </c>
      <c r="CC72" s="14">
        <v>0.11700000000000001</v>
      </c>
      <c r="CG72" s="14" t="s">
        <v>769</v>
      </c>
      <c r="CV72" s="14" t="s">
        <v>2293</v>
      </c>
      <c r="CW72" s="14" t="s">
        <v>65</v>
      </c>
      <c r="CX72" s="14" t="s">
        <v>66</v>
      </c>
      <c r="CY72" s="14">
        <v>2020</v>
      </c>
      <c r="CZ72" s="36">
        <v>45511</v>
      </c>
      <c r="DA72" s="14" t="s">
        <v>67</v>
      </c>
      <c r="DB72" s="14">
        <v>19</v>
      </c>
      <c r="DC72" s="14">
        <v>8</v>
      </c>
      <c r="DD72" s="14" t="s">
        <v>68</v>
      </c>
      <c r="DE72" s="14" t="s">
        <v>69</v>
      </c>
    </row>
    <row r="73" spans="1:109" ht="20">
      <c r="A73" s="13" t="s">
        <v>1671</v>
      </c>
      <c r="B73" s="13" t="s">
        <v>1671</v>
      </c>
      <c r="C73" s="13" t="s">
        <v>76</v>
      </c>
      <c r="D73" s="16" t="s">
        <v>818</v>
      </c>
      <c r="E73" s="14" t="s">
        <v>672</v>
      </c>
      <c r="F73" s="14" t="s">
        <v>3175</v>
      </c>
      <c r="H73" s="13" t="s">
        <v>669</v>
      </c>
      <c r="I73" s="14" t="s">
        <v>3100</v>
      </c>
      <c r="J73" s="13" t="s">
        <v>670</v>
      </c>
      <c r="K73" s="13"/>
      <c r="M73" s="14">
        <v>36</v>
      </c>
      <c r="N73" s="13"/>
      <c r="O73" s="15"/>
      <c r="P73" s="13"/>
      <c r="Q73" s="13">
        <v>66</v>
      </c>
      <c r="R73" s="13">
        <v>10</v>
      </c>
      <c r="S73" s="16"/>
      <c r="T73" s="16"/>
      <c r="U73" s="16"/>
      <c r="X73" s="14">
        <v>38</v>
      </c>
      <c r="Y73" s="14">
        <v>7</v>
      </c>
      <c r="AC73" s="14">
        <v>25</v>
      </c>
      <c r="AD73" s="34">
        <f>AC73/M73</f>
        <v>0.69444444444444442</v>
      </c>
      <c r="AE73" s="35">
        <v>18</v>
      </c>
      <c r="AF73" s="35">
        <v>16.8</v>
      </c>
      <c r="CV73" s="14" t="s">
        <v>3173</v>
      </c>
      <c r="CW73" s="13" t="s">
        <v>71</v>
      </c>
      <c r="CX73" s="13" t="s">
        <v>72</v>
      </c>
      <c r="CY73" s="13">
        <v>2021</v>
      </c>
      <c r="CZ73" s="13" t="s">
        <v>73</v>
      </c>
      <c r="DA73" s="13" t="s">
        <v>26</v>
      </c>
      <c r="DB73" s="13">
        <v>8</v>
      </c>
      <c r="DC73" s="13">
        <v>1</v>
      </c>
      <c r="DD73" s="13" t="s">
        <v>74</v>
      </c>
      <c r="DE73" s="13" t="s">
        <v>75</v>
      </c>
    </row>
    <row r="74" spans="1:109" ht="20">
      <c r="A74" s="13" t="s">
        <v>3367</v>
      </c>
      <c r="B74" s="13"/>
      <c r="C74" s="13" t="s">
        <v>3297</v>
      </c>
      <c r="D74" s="14" t="s">
        <v>898</v>
      </c>
      <c r="E74" s="13" t="s">
        <v>674</v>
      </c>
      <c r="F74" s="13" t="s">
        <v>675</v>
      </c>
      <c r="G74" s="13"/>
      <c r="H74" s="14" t="s">
        <v>584</v>
      </c>
      <c r="I74" s="13" t="s">
        <v>3693</v>
      </c>
      <c r="J74" s="14" t="s">
        <v>652</v>
      </c>
      <c r="K74" s="13"/>
      <c r="L74" s="13" t="s">
        <v>639</v>
      </c>
      <c r="M74" s="13">
        <v>89</v>
      </c>
      <c r="N74" s="13"/>
      <c r="O74" s="15"/>
      <c r="P74" s="13"/>
      <c r="Q74" s="13"/>
      <c r="R74" s="13"/>
      <c r="S74" s="13"/>
      <c r="T74" s="13"/>
      <c r="U74" s="13"/>
      <c r="V74" s="13">
        <v>60</v>
      </c>
      <c r="W74" s="2">
        <f>V74/M74</f>
        <v>0.6741573033707865</v>
      </c>
      <c r="X74" s="13"/>
      <c r="Y74" s="13"/>
      <c r="Z74" s="13"/>
      <c r="AA74" s="13"/>
      <c r="AB74" s="13"/>
      <c r="AC74" s="13">
        <f>89-22</f>
        <v>67</v>
      </c>
      <c r="AD74" s="13">
        <f>AC74/M74</f>
        <v>0.7528089887640449</v>
      </c>
      <c r="AE74" s="13"/>
      <c r="AF74" s="13"/>
      <c r="AG74" s="13"/>
      <c r="AH74" s="13"/>
      <c r="AI74" s="13"/>
      <c r="AJ74" s="13"/>
      <c r="AK74" s="13"/>
      <c r="AL74" s="13"/>
      <c r="AM74" s="13"/>
      <c r="AN74" s="13"/>
      <c r="AO74" s="13"/>
      <c r="AP74" s="13"/>
      <c r="AQ74" s="13"/>
      <c r="AR74" s="13"/>
      <c r="AS74" s="13"/>
      <c r="AT74" s="13"/>
      <c r="AV74" s="13"/>
      <c r="AW74" s="13"/>
      <c r="AX74" s="13"/>
      <c r="AY74" s="13"/>
      <c r="AZ74" s="13"/>
      <c r="BA74" s="16"/>
      <c r="BB74" s="13"/>
      <c r="BC74" s="13"/>
      <c r="BD74" s="13"/>
      <c r="BE74" s="16"/>
      <c r="BF74" s="13"/>
      <c r="BG74" s="13"/>
      <c r="BH74" s="13"/>
      <c r="BI74" s="13"/>
      <c r="BJ74" s="16"/>
      <c r="BK74" s="13"/>
      <c r="BL74" s="13"/>
      <c r="BM74" s="13"/>
      <c r="BN74" s="16" t="s">
        <v>2552</v>
      </c>
      <c r="BO74" s="13"/>
      <c r="BP74" s="13"/>
      <c r="BQ74" s="13"/>
      <c r="BR74" s="13"/>
      <c r="BS74" s="13"/>
      <c r="BT74" s="13"/>
      <c r="BU74" s="13"/>
      <c r="BV74" s="13"/>
      <c r="BW74" s="13"/>
      <c r="BX74" s="13"/>
      <c r="BY74" s="13"/>
      <c r="BZ74" s="13"/>
      <c r="CA74" s="13"/>
      <c r="CB74" s="13"/>
      <c r="CC74" s="13">
        <v>-0.53</v>
      </c>
      <c r="CD74" s="13"/>
      <c r="CE74" s="13"/>
      <c r="CF74" s="13"/>
      <c r="CG74" s="13" t="s">
        <v>635</v>
      </c>
      <c r="CH74" s="13"/>
      <c r="CI74" s="13"/>
      <c r="CJ74" s="13"/>
      <c r="CK74" s="13"/>
      <c r="CL74" s="13"/>
      <c r="CM74" s="13"/>
      <c r="CN74" s="13"/>
      <c r="CO74" s="13"/>
      <c r="CP74" s="13"/>
      <c r="CQ74" s="13"/>
      <c r="CR74" s="13"/>
      <c r="CS74" s="13"/>
      <c r="CT74" s="13"/>
      <c r="CU74" s="13"/>
      <c r="CV74" s="13"/>
      <c r="CW74" s="13" t="s">
        <v>3456</v>
      </c>
      <c r="CX74" s="13" t="s">
        <v>3457</v>
      </c>
      <c r="CY74" s="13">
        <v>2025</v>
      </c>
      <c r="CZ74" s="13" t="s">
        <v>73</v>
      </c>
      <c r="DA74" s="13" t="s">
        <v>300</v>
      </c>
      <c r="DB74" s="13">
        <v>71</v>
      </c>
      <c r="DC74" s="13">
        <v>1</v>
      </c>
      <c r="DD74" s="13" t="s">
        <v>3458</v>
      </c>
      <c r="DE74" s="13" t="s">
        <v>3222</v>
      </c>
    </row>
    <row r="75" spans="1:109">
      <c r="A75" s="14" t="s">
        <v>2119</v>
      </c>
      <c r="C75" s="14" t="s">
        <v>2058</v>
      </c>
      <c r="D75" s="14" t="s">
        <v>922</v>
      </c>
      <c r="E75" s="14" t="s">
        <v>674</v>
      </c>
      <c r="F75" s="14" t="s">
        <v>679</v>
      </c>
      <c r="H75" s="14" t="s">
        <v>703</v>
      </c>
      <c r="I75" s="14" t="s">
        <v>3088</v>
      </c>
      <c r="J75" s="14" t="s">
        <v>585</v>
      </c>
      <c r="K75" s="14" t="s">
        <v>2299</v>
      </c>
      <c r="M75" s="14">
        <v>44</v>
      </c>
      <c r="N75" s="14">
        <v>7</v>
      </c>
      <c r="O75" s="34">
        <f>N75/M75</f>
        <v>0.15909090909090909</v>
      </c>
      <c r="Q75" s="14">
        <v>63</v>
      </c>
      <c r="R75" s="14">
        <v>13</v>
      </c>
      <c r="V75" s="14">
        <v>20</v>
      </c>
      <c r="W75" s="14">
        <f>V75/M75</f>
        <v>0.45454545454545453</v>
      </c>
      <c r="X75" s="14">
        <v>39.5</v>
      </c>
      <c r="Y75" s="14">
        <v>4.8</v>
      </c>
      <c r="BN75" s="14" t="s">
        <v>2552</v>
      </c>
      <c r="CC75" s="29" t="s">
        <v>2268</v>
      </c>
      <c r="CD75" s="29"/>
      <c r="CE75" s="29"/>
      <c r="CF75" s="29"/>
      <c r="CG75" s="29" t="s">
        <v>761</v>
      </c>
      <c r="CW75" s="14" t="s">
        <v>2055</v>
      </c>
      <c r="CX75" s="14" t="s">
        <v>2056</v>
      </c>
      <c r="CY75" s="14">
        <v>2023</v>
      </c>
      <c r="CZ75" s="36">
        <v>45370</v>
      </c>
      <c r="DA75" s="14" t="s">
        <v>210</v>
      </c>
      <c r="DB75" s="14">
        <v>12</v>
      </c>
      <c r="DC75" s="14">
        <v>6</v>
      </c>
      <c r="DE75" s="14" t="s">
        <v>2057</v>
      </c>
    </row>
    <row r="76" spans="1:109">
      <c r="A76" s="14" t="s">
        <v>1998</v>
      </c>
      <c r="B76" s="14" t="s">
        <v>1672</v>
      </c>
      <c r="C76" s="14" t="s">
        <v>82</v>
      </c>
      <c r="D76" s="14" t="s">
        <v>4179</v>
      </c>
      <c r="E76" s="14" t="s">
        <v>672</v>
      </c>
      <c r="F76" s="14" t="s">
        <v>675</v>
      </c>
      <c r="CW76" s="14" t="s">
        <v>77</v>
      </c>
      <c r="CX76" s="14" t="s">
        <v>78</v>
      </c>
      <c r="CY76" s="14">
        <v>2019</v>
      </c>
      <c r="CZ76" s="36">
        <v>45536</v>
      </c>
      <c r="DA76" s="14" t="s">
        <v>79</v>
      </c>
      <c r="DB76" s="14">
        <v>76</v>
      </c>
      <c r="DC76" s="14">
        <v>9</v>
      </c>
      <c r="DD76" s="14" t="s">
        <v>80</v>
      </c>
      <c r="DE76" s="14" t="s">
        <v>81</v>
      </c>
    </row>
    <row r="77" spans="1:109">
      <c r="A77" s="14" t="s">
        <v>1779</v>
      </c>
      <c r="B77" s="14" t="s">
        <v>1673</v>
      </c>
      <c r="C77" s="14" t="s">
        <v>86</v>
      </c>
      <c r="D77" s="14" t="s">
        <v>825</v>
      </c>
      <c r="E77" s="14" t="s">
        <v>673</v>
      </c>
      <c r="F77" s="14" t="s">
        <v>675</v>
      </c>
      <c r="H77" s="14" t="s">
        <v>637</v>
      </c>
      <c r="I77" s="14" t="s">
        <v>3089</v>
      </c>
      <c r="J77" s="14" t="s">
        <v>695</v>
      </c>
      <c r="K77" s="14" t="s">
        <v>1992</v>
      </c>
      <c r="L77" s="14" t="s">
        <v>639</v>
      </c>
      <c r="M77" s="14">
        <v>60</v>
      </c>
      <c r="Q77" s="14">
        <v>66</v>
      </c>
      <c r="R77" s="14">
        <v>11</v>
      </c>
      <c r="V77" s="14">
        <v>38</v>
      </c>
      <c r="W77" s="14">
        <f>V77/M77</f>
        <v>0.6333333333333333</v>
      </c>
      <c r="AC77" s="14">
        <v>43</v>
      </c>
      <c r="AD77" s="34">
        <f>AC77/M77</f>
        <v>0.71666666666666667</v>
      </c>
      <c r="BN77" s="14" t="s">
        <v>2552</v>
      </c>
      <c r="CC77" s="14">
        <v>-0.02</v>
      </c>
      <c r="CG77" s="14" t="s">
        <v>769</v>
      </c>
      <c r="CJ77" s="14" t="s">
        <v>2300</v>
      </c>
      <c r="CK77" s="14">
        <v>0.6</v>
      </c>
      <c r="CN77" s="27" t="s">
        <v>769</v>
      </c>
      <c r="CW77" s="14" t="s">
        <v>83</v>
      </c>
      <c r="CX77" s="14" t="s">
        <v>84</v>
      </c>
      <c r="CY77" s="14">
        <v>2021</v>
      </c>
      <c r="CZ77" s="36">
        <v>45303</v>
      </c>
      <c r="DA77" s="14" t="s">
        <v>61</v>
      </c>
      <c r="DB77" s="14">
        <v>11</v>
      </c>
      <c r="DC77" s="14">
        <v>1</v>
      </c>
      <c r="DD77" s="14" t="s">
        <v>2201</v>
      </c>
      <c r="DE77" s="14" t="s">
        <v>85</v>
      </c>
    </row>
    <row r="78" spans="1:109">
      <c r="A78" s="14" t="s">
        <v>1779</v>
      </c>
      <c r="B78" s="14" t="s">
        <v>1673</v>
      </c>
      <c r="C78" s="14" t="s">
        <v>86</v>
      </c>
      <c r="D78" s="14" t="s">
        <v>825</v>
      </c>
      <c r="E78" s="14" t="s">
        <v>672</v>
      </c>
      <c r="F78" s="14" t="s">
        <v>675</v>
      </c>
      <c r="H78" s="14" t="s">
        <v>637</v>
      </c>
      <c r="I78" s="14" t="s">
        <v>3089</v>
      </c>
      <c r="J78" s="14" t="s">
        <v>695</v>
      </c>
      <c r="K78" s="14" t="s">
        <v>1992</v>
      </c>
      <c r="L78" s="14" t="s">
        <v>639</v>
      </c>
      <c r="M78" s="14">
        <v>20</v>
      </c>
      <c r="Q78" s="14">
        <v>66</v>
      </c>
      <c r="R78" s="14">
        <v>11</v>
      </c>
      <c r="V78" s="14">
        <v>17</v>
      </c>
      <c r="W78" s="14">
        <f>V78/M78</f>
        <v>0.85</v>
      </c>
      <c r="X78" s="14">
        <v>37</v>
      </c>
      <c r="Y78" s="14">
        <v>7.7</v>
      </c>
      <c r="AC78" s="14">
        <v>17</v>
      </c>
      <c r="AD78" s="34">
        <f>AC78/M78</f>
        <v>0.85</v>
      </c>
      <c r="BN78" s="14" t="s">
        <v>2552</v>
      </c>
      <c r="CC78" s="14">
        <v>-0.52</v>
      </c>
      <c r="CG78" s="14" t="s">
        <v>769</v>
      </c>
      <c r="CJ78" s="27" t="s">
        <v>2300</v>
      </c>
      <c r="CK78" s="14">
        <v>0.82</v>
      </c>
      <c r="CN78" s="27" t="s">
        <v>769</v>
      </c>
      <c r="CW78" s="14" t="s">
        <v>83</v>
      </c>
      <c r="CX78" s="14" t="s">
        <v>84</v>
      </c>
      <c r="CY78" s="14">
        <v>2021</v>
      </c>
      <c r="CZ78" s="36">
        <v>45303</v>
      </c>
      <c r="DA78" s="14" t="s">
        <v>61</v>
      </c>
      <c r="DB78" s="14">
        <v>11</v>
      </c>
      <c r="DC78" s="14">
        <v>1</v>
      </c>
      <c r="DD78" s="14" t="s">
        <v>2201</v>
      </c>
      <c r="DE78" s="14" t="s">
        <v>85</v>
      </c>
    </row>
    <row r="79" spans="1:109">
      <c r="A79" s="14" t="s">
        <v>1780</v>
      </c>
      <c r="B79" s="14" t="s">
        <v>1674</v>
      </c>
      <c r="C79" s="14" t="s">
        <v>91</v>
      </c>
      <c r="D79" s="14" t="s">
        <v>2302</v>
      </c>
      <c r="E79" s="14" t="s">
        <v>673</v>
      </c>
      <c r="F79" s="14" t="s">
        <v>675</v>
      </c>
      <c r="H79" s="14" t="s">
        <v>637</v>
      </c>
      <c r="I79" s="14" t="s">
        <v>3090</v>
      </c>
      <c r="J79" s="14" t="s">
        <v>652</v>
      </c>
      <c r="L79" s="14" t="s">
        <v>639</v>
      </c>
      <c r="M79" s="14">
        <v>349</v>
      </c>
      <c r="N79" s="14">
        <v>51</v>
      </c>
      <c r="O79" s="34">
        <v>0.146131805157593</v>
      </c>
      <c r="Q79" s="14">
        <v>66.5</v>
      </c>
      <c r="R79" s="14">
        <v>11</v>
      </c>
      <c r="V79" s="14">
        <v>61</v>
      </c>
      <c r="W79" s="14">
        <f>V79/M79</f>
        <v>0.17478510028653296</v>
      </c>
      <c r="X79" s="14">
        <v>39.4</v>
      </c>
      <c r="Y79" s="14">
        <v>5.8</v>
      </c>
      <c r="AD79" s="34">
        <v>0.68799999999999994</v>
      </c>
      <c r="AE79" s="35">
        <v>21.3</v>
      </c>
      <c r="AF79" s="35">
        <v>23.9</v>
      </c>
      <c r="AJ79" s="35">
        <v>36.9</v>
      </c>
      <c r="AK79" s="35">
        <v>22.5</v>
      </c>
      <c r="AT79" s="35">
        <v>203</v>
      </c>
      <c r="AU79" s="14" t="s">
        <v>2447</v>
      </c>
      <c r="BE79" s="29" t="s">
        <v>2303</v>
      </c>
      <c r="BG79" s="14">
        <v>4.5599999999999996</v>
      </c>
      <c r="BH79" s="14">
        <v>3.51</v>
      </c>
      <c r="BI79" s="14">
        <v>6.16</v>
      </c>
      <c r="CW79" s="14" t="s">
        <v>87</v>
      </c>
      <c r="CX79" s="14" t="s">
        <v>88</v>
      </c>
      <c r="CY79" s="14">
        <v>2023</v>
      </c>
      <c r="CZ79" s="36" t="s">
        <v>53</v>
      </c>
      <c r="DA79" s="14" t="s">
        <v>19</v>
      </c>
      <c r="DB79" s="14">
        <v>30</v>
      </c>
      <c r="DC79" s="14">
        <v>7</v>
      </c>
      <c r="DD79" s="14" t="s">
        <v>89</v>
      </c>
      <c r="DE79" s="14" t="s">
        <v>90</v>
      </c>
    </row>
    <row r="80" spans="1:109">
      <c r="A80" s="14" t="s">
        <v>1780</v>
      </c>
      <c r="B80" s="14" t="s">
        <v>1674</v>
      </c>
      <c r="C80" s="14" t="s">
        <v>91</v>
      </c>
      <c r="D80" s="14" t="s">
        <v>2302</v>
      </c>
      <c r="E80" s="14" t="s">
        <v>673</v>
      </c>
      <c r="F80" s="14" t="s">
        <v>675</v>
      </c>
      <c r="H80" s="14" t="s">
        <v>637</v>
      </c>
      <c r="I80" s="14" t="s">
        <v>3090</v>
      </c>
      <c r="J80" s="14" t="s">
        <v>808</v>
      </c>
      <c r="L80" s="14" t="s">
        <v>639</v>
      </c>
      <c r="M80" s="14">
        <v>349</v>
      </c>
      <c r="N80" s="14">
        <v>51</v>
      </c>
      <c r="O80" s="34">
        <v>0.146131805157593</v>
      </c>
      <c r="Q80" s="14">
        <v>66.5</v>
      </c>
      <c r="R80" s="14">
        <v>11</v>
      </c>
      <c r="V80" s="14">
        <v>61</v>
      </c>
      <c r="W80" s="14">
        <f>V80/M80</f>
        <v>0.17478510028653296</v>
      </c>
      <c r="X80" s="14">
        <v>39.4</v>
      </c>
      <c r="Y80" s="14">
        <v>5.8</v>
      </c>
      <c r="AD80" s="34">
        <v>0.68799999999999994</v>
      </c>
      <c r="AE80" s="35">
        <v>21.3</v>
      </c>
      <c r="AF80" s="35">
        <v>23.9</v>
      </c>
      <c r="AJ80" s="35">
        <v>36.9</v>
      </c>
      <c r="AK80" s="35">
        <v>22.5</v>
      </c>
      <c r="AT80" s="35">
        <v>203</v>
      </c>
      <c r="AU80" s="14" t="s">
        <v>2447</v>
      </c>
      <c r="BE80" s="29" t="s">
        <v>2303</v>
      </c>
      <c r="BG80" s="14">
        <v>4.5</v>
      </c>
      <c r="BH80" s="14">
        <v>3.42</v>
      </c>
      <c r="BI80" s="14">
        <v>5.99</v>
      </c>
      <c r="CW80" s="14" t="s">
        <v>87</v>
      </c>
      <c r="CX80" s="14" t="s">
        <v>88</v>
      </c>
      <c r="CY80" s="14">
        <v>2023</v>
      </c>
      <c r="CZ80" s="36" t="s">
        <v>53</v>
      </c>
      <c r="DA80" s="14" t="s">
        <v>19</v>
      </c>
      <c r="DB80" s="14">
        <v>30</v>
      </c>
      <c r="DC80" s="14">
        <v>7</v>
      </c>
      <c r="DD80" s="14" t="s">
        <v>89</v>
      </c>
      <c r="DE80" s="14" t="s">
        <v>90</v>
      </c>
    </row>
    <row r="81" spans="1:109" ht="20">
      <c r="A81" s="13" t="s">
        <v>1675</v>
      </c>
      <c r="B81" s="13" t="s">
        <v>1675</v>
      </c>
      <c r="C81" s="13" t="s">
        <v>96</v>
      </c>
      <c r="D81" s="16" t="s">
        <v>826</v>
      </c>
      <c r="E81" s="14" t="s">
        <v>702</v>
      </c>
      <c r="F81" s="14" t="s">
        <v>3176</v>
      </c>
      <c r="H81" s="13" t="s">
        <v>703</v>
      </c>
      <c r="I81" s="14" t="s">
        <v>3174</v>
      </c>
      <c r="J81" s="13" t="s">
        <v>1984</v>
      </c>
      <c r="K81" s="13" t="s">
        <v>704</v>
      </c>
      <c r="M81" s="14">
        <v>24</v>
      </c>
      <c r="N81" s="13"/>
      <c r="O81" s="15"/>
      <c r="P81" s="13">
        <v>0</v>
      </c>
      <c r="Q81" s="13">
        <v>66.099999999999994</v>
      </c>
      <c r="R81" s="13">
        <v>6</v>
      </c>
      <c r="S81" s="16"/>
      <c r="T81" s="16"/>
      <c r="U81" s="16"/>
      <c r="X81" s="14">
        <v>36</v>
      </c>
      <c r="Y81" s="14">
        <v>5.0999999999999996</v>
      </c>
      <c r="AC81" s="14">
        <v>19</v>
      </c>
      <c r="AD81" s="34">
        <f>AC81/M81</f>
        <v>0.79166666666666663</v>
      </c>
      <c r="AE81" s="35">
        <v>55.2</v>
      </c>
      <c r="AF81" s="35">
        <v>49.2</v>
      </c>
      <c r="CW81" s="13" t="s">
        <v>92</v>
      </c>
      <c r="CX81" s="13" t="s">
        <v>93</v>
      </c>
      <c r="CY81" s="13">
        <v>2020</v>
      </c>
      <c r="CZ81" s="13" t="s">
        <v>2218</v>
      </c>
      <c r="DA81" s="13" t="s">
        <v>94</v>
      </c>
      <c r="DB81" s="13">
        <v>9</v>
      </c>
      <c r="DC81" s="13">
        <v>1</v>
      </c>
      <c r="DD81" s="13"/>
      <c r="DE81" s="13" t="s">
        <v>95</v>
      </c>
    </row>
    <row r="82" spans="1:109" ht="20">
      <c r="A82" s="13" t="s">
        <v>3368</v>
      </c>
      <c r="B82" s="13"/>
      <c r="C82" s="13" t="s">
        <v>3298</v>
      </c>
      <c r="D82" s="14" t="s">
        <v>818</v>
      </c>
      <c r="E82" s="13" t="s">
        <v>672</v>
      </c>
      <c r="F82" s="13" t="s">
        <v>675</v>
      </c>
      <c r="G82" s="13"/>
      <c r="H82" s="14" t="s">
        <v>703</v>
      </c>
      <c r="I82" s="13" t="s">
        <v>3695</v>
      </c>
      <c r="J82" s="14" t="s">
        <v>585</v>
      </c>
      <c r="K82" s="13"/>
      <c r="L82" s="13" t="s">
        <v>639</v>
      </c>
      <c r="M82" s="13">
        <v>79</v>
      </c>
      <c r="N82" s="13"/>
      <c r="O82" s="15"/>
      <c r="P82" s="13"/>
      <c r="Q82" s="13"/>
      <c r="R82" s="13"/>
      <c r="S82" s="13">
        <v>63</v>
      </c>
      <c r="T82" s="13"/>
      <c r="U82" s="13"/>
      <c r="V82" s="13">
        <v>44</v>
      </c>
      <c r="W82" s="2">
        <f>V82/M82</f>
        <v>0.55696202531645567</v>
      </c>
      <c r="X82" s="13"/>
      <c r="Y82" s="13"/>
      <c r="Z82" s="13">
        <v>42</v>
      </c>
      <c r="AA82" s="13"/>
      <c r="AB82" s="13"/>
      <c r="AC82" s="13"/>
      <c r="AD82" s="13"/>
      <c r="AE82" s="13"/>
      <c r="AF82" s="13"/>
      <c r="AG82" s="13">
        <v>14</v>
      </c>
      <c r="AH82" s="13"/>
      <c r="AI82" s="13"/>
      <c r="AJ82" s="13"/>
      <c r="AK82" s="13"/>
      <c r="AL82" s="13"/>
      <c r="AM82" s="13"/>
      <c r="AN82" s="13"/>
      <c r="AO82" s="13"/>
      <c r="AP82" s="13"/>
      <c r="AQ82" s="13"/>
      <c r="AR82" s="13"/>
      <c r="AS82" s="13"/>
      <c r="AT82" s="13"/>
      <c r="AV82" s="13"/>
      <c r="AW82" s="13"/>
      <c r="AX82" s="13"/>
      <c r="AY82" s="13"/>
      <c r="AZ82" s="13"/>
      <c r="BA82" s="16"/>
      <c r="BB82" s="13"/>
      <c r="BC82" s="13"/>
      <c r="BD82" s="13"/>
      <c r="BE82" s="16"/>
      <c r="BF82" s="13"/>
      <c r="BG82" s="13"/>
      <c r="BH82" s="13"/>
      <c r="BI82" s="13"/>
      <c r="BJ82" s="16"/>
      <c r="BK82" s="13"/>
      <c r="BL82" s="13"/>
      <c r="BM82" s="13"/>
      <c r="BN82" s="16" t="s">
        <v>2231</v>
      </c>
      <c r="BO82" s="13" t="s">
        <v>2380</v>
      </c>
      <c r="BP82" s="13"/>
      <c r="BQ82" s="13"/>
      <c r="BR82" s="13"/>
      <c r="BS82" s="13"/>
      <c r="BT82" s="13"/>
      <c r="BU82" s="13"/>
      <c r="BV82" s="13"/>
      <c r="BW82" s="13"/>
      <c r="BX82" s="13"/>
      <c r="BY82" s="13"/>
      <c r="BZ82" s="13"/>
      <c r="CA82" s="13"/>
      <c r="CB82" s="13"/>
      <c r="CC82" s="13">
        <v>-0.30599999999999999</v>
      </c>
      <c r="CD82" s="13"/>
      <c r="CE82" s="13"/>
      <c r="CF82" s="13"/>
      <c r="CG82" s="13">
        <v>8.5000000000000006E-3</v>
      </c>
      <c r="CH82" s="13"/>
      <c r="CI82" s="13"/>
      <c r="CJ82" s="13"/>
      <c r="CK82" s="13"/>
      <c r="CL82" s="13"/>
      <c r="CM82" s="13"/>
      <c r="CN82" s="13"/>
      <c r="CO82" s="13"/>
      <c r="CP82" s="13"/>
      <c r="CQ82" s="13"/>
      <c r="CR82" s="13"/>
      <c r="CS82" s="13"/>
      <c r="CT82" s="13"/>
      <c r="CU82" s="13"/>
      <c r="CV82" s="13"/>
      <c r="CW82" s="13" t="s">
        <v>3459</v>
      </c>
      <c r="CX82" s="13" t="s">
        <v>3460</v>
      </c>
      <c r="CY82" s="13">
        <v>2025</v>
      </c>
      <c r="CZ82" s="13"/>
      <c r="DA82" s="13" t="s">
        <v>349</v>
      </c>
      <c r="DB82" s="13">
        <v>32</v>
      </c>
      <c r="DC82" s="13">
        <v>2</v>
      </c>
      <c r="DD82" s="13"/>
      <c r="DE82" s="13" t="s">
        <v>3223</v>
      </c>
    </row>
    <row r="83" spans="1:109">
      <c r="A83" s="14" t="s">
        <v>1781</v>
      </c>
      <c r="C83" s="14" t="s">
        <v>2312</v>
      </c>
      <c r="D83" s="14" t="s">
        <v>818</v>
      </c>
      <c r="E83" s="14" t="s">
        <v>725</v>
      </c>
      <c r="F83" s="14" t="s">
        <v>2304</v>
      </c>
      <c r="H83" s="14" t="s">
        <v>2305</v>
      </c>
      <c r="I83" s="14" t="s">
        <v>4058</v>
      </c>
      <c r="J83" s="14" t="s">
        <v>2314</v>
      </c>
      <c r="K83" s="14" t="s">
        <v>2313</v>
      </c>
      <c r="M83" s="14">
        <v>59</v>
      </c>
      <c r="N83" s="14">
        <v>18</v>
      </c>
      <c r="P83" s="14">
        <v>18</v>
      </c>
      <c r="Q83" s="14">
        <v>62.1</v>
      </c>
      <c r="R83" s="14">
        <v>14</v>
      </c>
      <c r="V83" s="14">
        <v>34</v>
      </c>
      <c r="W83" s="14">
        <f>V83/M83</f>
        <v>0.57627118644067798</v>
      </c>
      <c r="X83" s="14">
        <v>34.47</v>
      </c>
      <c r="Y83" s="14">
        <v>7.82</v>
      </c>
      <c r="AC83" s="14">
        <v>44</v>
      </c>
      <c r="AD83" s="34">
        <f>AC83/M83</f>
        <v>0.74576271186440679</v>
      </c>
      <c r="AE83" s="35">
        <v>14.53</v>
      </c>
      <c r="AF83" s="35">
        <v>14.66</v>
      </c>
      <c r="AU83" s="14" t="s">
        <v>2447</v>
      </c>
      <c r="BE83" s="29" t="s">
        <v>2317</v>
      </c>
      <c r="BJ83" s="29" t="s">
        <v>2676</v>
      </c>
      <c r="BK83" s="14">
        <v>2.1139999999999999</v>
      </c>
      <c r="BL83" s="14">
        <v>1.1339999999999999</v>
      </c>
      <c r="BM83" s="14">
        <v>3.9409999999999998</v>
      </c>
      <c r="BN83" s="14" t="s">
        <v>2231</v>
      </c>
      <c r="CC83" s="14">
        <v>-0.34899999999999998</v>
      </c>
      <c r="CG83" s="14" t="s">
        <v>769</v>
      </c>
      <c r="CV83" s="14" t="s">
        <v>2318</v>
      </c>
      <c r="CW83" s="14" t="s">
        <v>1100</v>
      </c>
      <c r="CX83" s="14" t="s">
        <v>1101</v>
      </c>
      <c r="CY83" s="14">
        <v>2019</v>
      </c>
      <c r="CZ83" s="36" t="s">
        <v>188</v>
      </c>
      <c r="DA83" s="14" t="s">
        <v>1102</v>
      </c>
      <c r="DB83" s="14">
        <v>10</v>
      </c>
      <c r="DC83" s="14">
        <v>2</v>
      </c>
      <c r="DD83" s="14" t="s">
        <v>1103</v>
      </c>
      <c r="DE83" s="14" t="s">
        <v>1104</v>
      </c>
    </row>
    <row r="84" spans="1:109">
      <c r="A84" s="14" t="s">
        <v>1782</v>
      </c>
      <c r="C84" s="14" t="s">
        <v>1109</v>
      </c>
      <c r="D84" s="14" t="s">
        <v>818</v>
      </c>
      <c r="E84" s="14" t="s">
        <v>672</v>
      </c>
      <c r="F84" s="14" t="s">
        <v>2320</v>
      </c>
      <c r="H84" s="14" t="s">
        <v>2319</v>
      </c>
      <c r="I84" s="14" t="s">
        <v>3091</v>
      </c>
      <c r="J84" s="14" t="s">
        <v>2322</v>
      </c>
      <c r="K84" s="14" t="s">
        <v>2321</v>
      </c>
      <c r="L84" s="14" t="s">
        <v>641</v>
      </c>
      <c r="M84" s="14">
        <v>128</v>
      </c>
      <c r="N84" s="14">
        <v>110</v>
      </c>
      <c r="P84" s="14">
        <v>116</v>
      </c>
      <c r="Q84" s="14">
        <v>57.9</v>
      </c>
      <c r="R84" s="14">
        <v>8.3000000000000007</v>
      </c>
      <c r="W84" s="14">
        <v>45.7</v>
      </c>
      <c r="AC84" s="14">
        <v>63</v>
      </c>
      <c r="AD84" s="34">
        <f>AC84/M84</f>
        <v>0.4921875</v>
      </c>
      <c r="AL84" s="35">
        <v>36.9</v>
      </c>
      <c r="BN84" s="14" t="s">
        <v>2553</v>
      </c>
      <c r="BQ84" s="14" t="s">
        <v>2268</v>
      </c>
      <c r="BU84" s="14" t="s">
        <v>761</v>
      </c>
      <c r="CJ84" s="14" t="s">
        <v>2323</v>
      </c>
      <c r="CK84" s="14" t="s">
        <v>2268</v>
      </c>
      <c r="CN84" s="14" t="s">
        <v>761</v>
      </c>
      <c r="CW84" s="14" t="s">
        <v>1105</v>
      </c>
      <c r="CX84" s="14" t="s">
        <v>1106</v>
      </c>
      <c r="CY84" s="14">
        <v>2019</v>
      </c>
      <c r="DA84" s="14" t="s">
        <v>1096</v>
      </c>
      <c r="DB84" s="14">
        <v>93</v>
      </c>
      <c r="DC84" s="14">
        <v>17</v>
      </c>
      <c r="DD84" s="14" t="s">
        <v>1107</v>
      </c>
      <c r="DE84" s="14" t="s">
        <v>1108</v>
      </c>
    </row>
    <row r="85" spans="1:109">
      <c r="A85" s="14" t="s">
        <v>1783</v>
      </c>
      <c r="C85" s="14" t="s">
        <v>1114</v>
      </c>
      <c r="D85" s="14" t="s">
        <v>830</v>
      </c>
      <c r="E85" s="14" t="s">
        <v>673</v>
      </c>
      <c r="F85" s="14" t="s">
        <v>2325</v>
      </c>
      <c r="H85" s="14" t="s">
        <v>584</v>
      </c>
      <c r="I85" s="14" t="s">
        <v>3092</v>
      </c>
      <c r="J85" s="14" t="s">
        <v>1972</v>
      </c>
      <c r="K85" s="14" t="s">
        <v>2324</v>
      </c>
      <c r="M85" s="14">
        <v>41</v>
      </c>
      <c r="Q85" s="14">
        <v>58.39</v>
      </c>
      <c r="R85" s="14">
        <v>10.61</v>
      </c>
      <c r="W85" s="14">
        <v>0.51200000000000001</v>
      </c>
      <c r="X85" s="14">
        <v>37.49</v>
      </c>
      <c r="Y85" s="14">
        <v>7.57</v>
      </c>
      <c r="AE85" s="35">
        <f>2.09*12</f>
        <v>25.08</v>
      </c>
      <c r="AF85" s="35">
        <f>0.93*12</f>
        <v>11.16</v>
      </c>
      <c r="CW85" s="14" t="s">
        <v>1110</v>
      </c>
      <c r="CX85" s="14" t="s">
        <v>1111</v>
      </c>
      <c r="CY85" s="14">
        <v>2021</v>
      </c>
      <c r="CZ85" s="36" t="s">
        <v>73</v>
      </c>
      <c r="DA85" s="14" t="s">
        <v>300</v>
      </c>
      <c r="DB85" s="14">
        <v>63</v>
      </c>
      <c r="DC85" s="14">
        <v>1</v>
      </c>
      <c r="DD85" s="14" t="s">
        <v>1112</v>
      </c>
      <c r="DE85" s="14" t="s">
        <v>1113</v>
      </c>
    </row>
    <row r="86" spans="1:109">
      <c r="A86" s="14" t="s">
        <v>1783</v>
      </c>
      <c r="C86" s="14" t="s">
        <v>1114</v>
      </c>
      <c r="D86" s="14" t="s">
        <v>830</v>
      </c>
      <c r="E86" s="14" t="s">
        <v>673</v>
      </c>
      <c r="F86" s="14" t="s">
        <v>2326</v>
      </c>
      <c r="H86" s="14" t="s">
        <v>584</v>
      </c>
      <c r="I86" s="14" t="s">
        <v>3092</v>
      </c>
      <c r="J86" s="14" t="s">
        <v>1972</v>
      </c>
      <c r="K86" s="14" t="s">
        <v>2324</v>
      </c>
      <c r="M86" s="14">
        <v>41</v>
      </c>
      <c r="Q86" s="14">
        <v>58.39</v>
      </c>
      <c r="R86" s="14">
        <v>10.61</v>
      </c>
      <c r="W86" s="14">
        <v>0.51200000000000001</v>
      </c>
      <c r="X86" s="14">
        <v>37.49</v>
      </c>
      <c r="Y86" s="14">
        <v>7.57</v>
      </c>
      <c r="AE86" s="35">
        <f>2.09*12</f>
        <v>25.08</v>
      </c>
      <c r="AF86" s="35">
        <f>0.93*12</f>
        <v>11.16</v>
      </c>
      <c r="CW86" s="14" t="s">
        <v>1110</v>
      </c>
      <c r="CX86" s="14" t="s">
        <v>1111</v>
      </c>
      <c r="CY86" s="14">
        <v>2021</v>
      </c>
      <c r="CZ86" s="36" t="s">
        <v>73</v>
      </c>
      <c r="DA86" s="14" t="s">
        <v>300</v>
      </c>
      <c r="DB86" s="14">
        <v>63</v>
      </c>
      <c r="DC86" s="14">
        <v>1</v>
      </c>
      <c r="DD86" s="14" t="s">
        <v>1112</v>
      </c>
      <c r="DE86" s="14" t="s">
        <v>1113</v>
      </c>
    </row>
    <row r="87" spans="1:109">
      <c r="A87" s="14" t="s">
        <v>1783</v>
      </c>
      <c r="C87" s="14" t="s">
        <v>1114</v>
      </c>
      <c r="D87" s="14" t="s">
        <v>830</v>
      </c>
      <c r="E87" s="14" t="s">
        <v>673</v>
      </c>
      <c r="F87" s="14" t="s">
        <v>2327</v>
      </c>
      <c r="H87" s="14" t="s">
        <v>584</v>
      </c>
      <c r="I87" s="14" t="s">
        <v>3092</v>
      </c>
      <c r="J87" s="14" t="s">
        <v>1972</v>
      </c>
      <c r="K87" s="14" t="s">
        <v>2324</v>
      </c>
      <c r="M87" s="14">
        <v>41</v>
      </c>
      <c r="Q87" s="14">
        <v>58.39</v>
      </c>
      <c r="R87" s="14">
        <v>10.61</v>
      </c>
      <c r="W87" s="14">
        <v>0.51200000000000001</v>
      </c>
      <c r="X87" s="14">
        <v>37.49</v>
      </c>
      <c r="Y87" s="14">
        <v>7.57</v>
      </c>
      <c r="AE87" s="35">
        <f>2.09*12</f>
        <v>25.08</v>
      </c>
      <c r="AF87" s="35">
        <f>0.93*12</f>
        <v>11.16</v>
      </c>
      <c r="CW87" s="14" t="s">
        <v>1110</v>
      </c>
      <c r="CX87" s="14" t="s">
        <v>1111</v>
      </c>
      <c r="CY87" s="14">
        <v>2021</v>
      </c>
      <c r="CZ87" s="36" t="s">
        <v>73</v>
      </c>
      <c r="DA87" s="14" t="s">
        <v>300</v>
      </c>
      <c r="DB87" s="14">
        <v>63</v>
      </c>
      <c r="DC87" s="14">
        <v>1</v>
      </c>
      <c r="DD87" s="14" t="s">
        <v>1112</v>
      </c>
      <c r="DE87" s="14" t="s">
        <v>1113</v>
      </c>
    </row>
    <row r="88" spans="1:109">
      <c r="A88" s="14" t="s">
        <v>1783</v>
      </c>
      <c r="C88" s="14" t="s">
        <v>1114</v>
      </c>
      <c r="D88" s="14" t="s">
        <v>830</v>
      </c>
      <c r="E88" s="14" t="s">
        <v>673</v>
      </c>
      <c r="F88" s="14" t="s">
        <v>2328</v>
      </c>
      <c r="H88" s="14" t="s">
        <v>584</v>
      </c>
      <c r="I88" s="14" t="s">
        <v>3092</v>
      </c>
      <c r="J88" s="14" t="s">
        <v>1972</v>
      </c>
      <c r="K88" s="14" t="s">
        <v>2324</v>
      </c>
      <c r="M88" s="14">
        <v>41</v>
      </c>
      <c r="Q88" s="14">
        <v>58.39</v>
      </c>
      <c r="R88" s="14">
        <v>10.61</v>
      </c>
      <c r="W88" s="14">
        <v>0.51200000000000001</v>
      </c>
      <c r="X88" s="14">
        <v>37.49</v>
      </c>
      <c r="Y88" s="14">
        <v>7.57</v>
      </c>
      <c r="AE88" s="35">
        <f>2.09*12</f>
        <v>25.08</v>
      </c>
      <c r="AF88" s="35">
        <f>0.93*12</f>
        <v>11.16</v>
      </c>
      <c r="CW88" s="14" t="s">
        <v>1110</v>
      </c>
      <c r="CX88" s="14" t="s">
        <v>1111</v>
      </c>
      <c r="CY88" s="14">
        <v>2021</v>
      </c>
      <c r="CZ88" s="36" t="s">
        <v>73</v>
      </c>
      <c r="DA88" s="14" t="s">
        <v>300</v>
      </c>
      <c r="DB88" s="14">
        <v>63</v>
      </c>
      <c r="DC88" s="14">
        <v>1</v>
      </c>
      <c r="DD88" s="14" t="s">
        <v>1112</v>
      </c>
      <c r="DE88" s="14" t="s">
        <v>1113</v>
      </c>
    </row>
    <row r="89" spans="1:109">
      <c r="A89" s="14" t="s">
        <v>1783</v>
      </c>
      <c r="C89" s="14" t="s">
        <v>1114</v>
      </c>
      <c r="D89" s="14" t="s">
        <v>830</v>
      </c>
      <c r="E89" s="14" t="s">
        <v>673</v>
      </c>
      <c r="F89" s="14" t="s">
        <v>2329</v>
      </c>
      <c r="H89" s="14" t="s">
        <v>584</v>
      </c>
      <c r="I89" s="14" t="s">
        <v>3092</v>
      </c>
      <c r="J89" s="14" t="s">
        <v>1972</v>
      </c>
      <c r="K89" s="14" t="s">
        <v>2324</v>
      </c>
      <c r="M89" s="14">
        <v>41</v>
      </c>
      <c r="Q89" s="14">
        <v>58.39</v>
      </c>
      <c r="R89" s="14">
        <v>10.61</v>
      </c>
      <c r="W89" s="14">
        <v>0.51200000000000001</v>
      </c>
      <c r="X89" s="14">
        <v>37.49</v>
      </c>
      <c r="Y89" s="14">
        <v>7.57</v>
      </c>
      <c r="AE89" s="35">
        <f>2.09*12</f>
        <v>25.08</v>
      </c>
      <c r="AF89" s="35">
        <f>0.93*12</f>
        <v>11.16</v>
      </c>
      <c r="CW89" s="14" t="s">
        <v>1110</v>
      </c>
      <c r="CX89" s="14" t="s">
        <v>1111</v>
      </c>
      <c r="CY89" s="14">
        <v>2021</v>
      </c>
      <c r="CZ89" s="36" t="s">
        <v>73</v>
      </c>
      <c r="DA89" s="14" t="s">
        <v>300</v>
      </c>
      <c r="DB89" s="14">
        <v>63</v>
      </c>
      <c r="DC89" s="14">
        <v>1</v>
      </c>
      <c r="DD89" s="14" t="s">
        <v>1112</v>
      </c>
      <c r="DE89" s="14" t="s">
        <v>1113</v>
      </c>
    </row>
    <row r="90" spans="1:109">
      <c r="A90" s="14" t="s">
        <v>1784</v>
      </c>
      <c r="B90" s="14" t="s">
        <v>1676</v>
      </c>
      <c r="C90" s="14" t="s">
        <v>102</v>
      </c>
      <c r="D90" s="14" t="s">
        <v>4179</v>
      </c>
      <c r="F90" s="14" t="s">
        <v>742</v>
      </c>
      <c r="O90" s="14"/>
      <c r="AD90" s="14"/>
      <c r="AE90" s="14"/>
      <c r="AF90" s="14"/>
      <c r="AG90" s="14"/>
      <c r="AH90" s="14"/>
      <c r="AI90" s="14"/>
      <c r="AJ90" s="14"/>
      <c r="AK90" s="14"/>
      <c r="AL90" s="14"/>
      <c r="AM90" s="14"/>
      <c r="AN90" s="14"/>
      <c r="AO90" s="14"/>
      <c r="AP90" s="14"/>
      <c r="AQ90" s="14"/>
      <c r="AR90" s="14"/>
      <c r="AS90" s="14"/>
      <c r="AT90" s="14"/>
      <c r="BE90" s="14"/>
      <c r="BF90" s="14"/>
      <c r="BJ90" s="14"/>
      <c r="CW90" s="14" t="s">
        <v>97</v>
      </c>
      <c r="CX90" s="14" t="s">
        <v>98</v>
      </c>
      <c r="CY90" s="14">
        <v>2024</v>
      </c>
      <c r="CZ90" s="36" t="s">
        <v>12</v>
      </c>
      <c r="DA90" s="14" t="s">
        <v>99</v>
      </c>
      <c r="DB90" s="14">
        <v>9</v>
      </c>
      <c r="DC90" s="14">
        <v>2</v>
      </c>
      <c r="DD90" s="14" t="s">
        <v>100</v>
      </c>
      <c r="DE90" s="14" t="s">
        <v>101</v>
      </c>
    </row>
    <row r="91" spans="1:109" ht="15" customHeight="1">
      <c r="A91" s="13" t="s">
        <v>3369</v>
      </c>
      <c r="B91" s="13"/>
      <c r="C91" s="13" t="s">
        <v>3299</v>
      </c>
      <c r="D91" s="14" t="s">
        <v>818</v>
      </c>
      <c r="E91" s="13" t="s">
        <v>673</v>
      </c>
      <c r="F91" s="13" t="s">
        <v>858</v>
      </c>
      <c r="G91" s="13"/>
      <c r="H91" s="14" t="s">
        <v>703</v>
      </c>
      <c r="I91" s="13" t="s">
        <v>2927</v>
      </c>
      <c r="J91" s="14" t="s">
        <v>652</v>
      </c>
      <c r="K91" s="14" t="s">
        <v>3697</v>
      </c>
      <c r="L91" s="13" t="s">
        <v>639</v>
      </c>
      <c r="M91" s="13">
        <v>61</v>
      </c>
      <c r="N91" s="13">
        <v>6</v>
      </c>
      <c r="O91" s="15">
        <v>8.6999999999999994E-2</v>
      </c>
      <c r="P91" s="13"/>
      <c r="Q91" s="13">
        <v>64.5</v>
      </c>
      <c r="R91" s="13">
        <v>8.6999999999999993</v>
      </c>
      <c r="S91" s="13"/>
      <c r="T91" s="13"/>
      <c r="U91" s="13"/>
      <c r="V91" s="13">
        <v>34</v>
      </c>
      <c r="W91" s="2">
        <v>0.49299999999999999</v>
      </c>
      <c r="X91" s="13"/>
      <c r="Y91" s="13"/>
      <c r="Z91" s="13"/>
      <c r="AA91" s="13"/>
      <c r="AB91" s="13"/>
      <c r="AC91" s="13">
        <v>49</v>
      </c>
      <c r="AD91" s="13">
        <v>0.71</v>
      </c>
      <c r="AE91" s="13"/>
      <c r="AF91" s="13"/>
      <c r="AG91" s="13"/>
      <c r="AH91" s="13"/>
      <c r="AI91" s="13"/>
      <c r="AJ91" s="13"/>
      <c r="AK91" s="13"/>
      <c r="AL91" s="13"/>
      <c r="AM91" s="13"/>
      <c r="AN91" s="13"/>
      <c r="AO91" s="13"/>
      <c r="AP91" s="13"/>
      <c r="AQ91" s="13"/>
      <c r="AR91" s="13"/>
      <c r="AS91" s="13"/>
      <c r="AT91" s="13"/>
      <c r="AV91" s="13"/>
      <c r="AW91" s="13"/>
      <c r="AX91" s="13"/>
      <c r="AY91" s="13"/>
      <c r="AZ91" s="13"/>
      <c r="BA91" s="16"/>
      <c r="BB91" s="13"/>
      <c r="BC91" s="13"/>
      <c r="BD91" s="13"/>
      <c r="BE91" s="16"/>
      <c r="BF91" s="13"/>
      <c r="BG91" s="13"/>
      <c r="BH91" s="13"/>
      <c r="BI91" s="13"/>
      <c r="BJ91" s="16"/>
      <c r="BK91" s="13"/>
      <c r="BL91" s="13"/>
      <c r="BM91" s="13"/>
      <c r="BN91" s="16"/>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t="s">
        <v>3461</v>
      </c>
      <c r="CX91" s="13" t="s">
        <v>3462</v>
      </c>
      <c r="CY91" s="13">
        <v>2024</v>
      </c>
      <c r="CZ91" s="21">
        <v>45976</v>
      </c>
      <c r="DA91" s="13" t="s">
        <v>1132</v>
      </c>
      <c r="DB91" s="13">
        <v>466</v>
      </c>
      <c r="DC91" s="13"/>
      <c r="DD91" s="13">
        <v>123210</v>
      </c>
      <c r="DE91" s="13" t="s">
        <v>3224</v>
      </c>
    </row>
    <row r="92" spans="1:109" ht="20">
      <c r="A92" s="13" t="s">
        <v>3369</v>
      </c>
      <c r="B92" s="13"/>
      <c r="C92" s="13" t="s">
        <v>3299</v>
      </c>
      <c r="D92" s="14" t="s">
        <v>818</v>
      </c>
      <c r="E92" s="13" t="s">
        <v>673</v>
      </c>
      <c r="F92" s="13" t="s">
        <v>675</v>
      </c>
      <c r="G92" s="13"/>
      <c r="H92" s="14" t="s">
        <v>703</v>
      </c>
      <c r="I92" s="13" t="s">
        <v>2927</v>
      </c>
      <c r="J92" s="14" t="s">
        <v>652</v>
      </c>
      <c r="K92" s="14" t="s">
        <v>3697</v>
      </c>
      <c r="L92" s="13" t="s">
        <v>639</v>
      </c>
      <c r="M92" s="13">
        <v>63</v>
      </c>
      <c r="N92" s="13">
        <v>6</v>
      </c>
      <c r="O92" s="15">
        <v>8.6999999999999994E-2</v>
      </c>
      <c r="P92" s="13"/>
      <c r="Q92" s="13">
        <v>64.5</v>
      </c>
      <c r="R92" s="13">
        <v>8.6999999999999993</v>
      </c>
      <c r="S92" s="13"/>
      <c r="T92" s="13"/>
      <c r="U92" s="13"/>
      <c r="V92" s="13">
        <v>34</v>
      </c>
      <c r="W92" s="2">
        <v>0.49299999999999999</v>
      </c>
      <c r="X92" s="13"/>
      <c r="Y92" s="13"/>
      <c r="Z92" s="13"/>
      <c r="AA92" s="13"/>
      <c r="AB92" s="13"/>
      <c r="AC92" s="13">
        <v>49</v>
      </c>
      <c r="AD92" s="13">
        <v>0.71</v>
      </c>
      <c r="AE92" s="13"/>
      <c r="AF92" s="13"/>
      <c r="AG92" s="13"/>
      <c r="AH92" s="13"/>
      <c r="AI92" s="13"/>
      <c r="AJ92" s="13"/>
      <c r="AK92" s="13"/>
      <c r="AL92" s="13"/>
      <c r="AM92" s="13"/>
      <c r="AN92" s="13"/>
      <c r="AO92" s="13"/>
      <c r="AP92" s="13"/>
      <c r="AQ92" s="13"/>
      <c r="AR92" s="13"/>
      <c r="AS92" s="13"/>
      <c r="AT92" s="13"/>
      <c r="AV92" s="13"/>
      <c r="AW92" s="13"/>
      <c r="AX92" s="13"/>
      <c r="AY92" s="13"/>
      <c r="AZ92" s="13"/>
      <c r="BA92" s="16"/>
      <c r="BB92" s="13"/>
      <c r="BC92" s="13"/>
      <c r="BD92" s="13"/>
      <c r="BE92" s="16"/>
      <c r="BF92" s="13"/>
      <c r="BG92" s="13"/>
      <c r="BH92" s="13"/>
      <c r="BI92" s="13"/>
      <c r="BJ92" s="16"/>
      <c r="BK92" s="13"/>
      <c r="BL92" s="13"/>
      <c r="BM92" s="13"/>
      <c r="BN92" s="16"/>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t="s">
        <v>3461</v>
      </c>
      <c r="CX92" s="13" t="s">
        <v>3462</v>
      </c>
      <c r="CY92" s="13">
        <v>2024</v>
      </c>
      <c r="CZ92" s="21">
        <v>45976</v>
      </c>
      <c r="DA92" s="13" t="s">
        <v>1132</v>
      </c>
      <c r="DB92" s="13">
        <v>466</v>
      </c>
      <c r="DC92" s="13"/>
      <c r="DD92" s="13">
        <v>123210</v>
      </c>
      <c r="DE92" s="13" t="s">
        <v>3224</v>
      </c>
    </row>
    <row r="93" spans="1:109" ht="20">
      <c r="A93" s="14" t="s">
        <v>1785</v>
      </c>
      <c r="B93" s="14" t="s">
        <v>1677</v>
      </c>
      <c r="C93" s="14" t="s">
        <v>107</v>
      </c>
      <c r="D93" s="14" t="s">
        <v>826</v>
      </c>
      <c r="E93" s="14" t="s">
        <v>673</v>
      </c>
      <c r="F93" s="14" t="s">
        <v>2330</v>
      </c>
      <c r="H93" s="14" t="s">
        <v>669</v>
      </c>
      <c r="I93" s="14" t="s">
        <v>3093</v>
      </c>
      <c r="M93" s="14">
        <v>109</v>
      </c>
      <c r="Q93" s="14">
        <v>64.400000000000006</v>
      </c>
      <c r="R93" s="14">
        <v>11.6</v>
      </c>
      <c r="V93" s="14">
        <v>52</v>
      </c>
      <c r="W93" s="14">
        <v>0.56999999999999995</v>
      </c>
      <c r="X93" s="14">
        <v>31.4</v>
      </c>
      <c r="Y93" s="14">
        <v>8.4</v>
      </c>
      <c r="BN93" s="14" t="s">
        <v>2231</v>
      </c>
      <c r="CC93" s="14">
        <v>-0.43090000000000001</v>
      </c>
      <c r="CG93" s="14" t="s">
        <v>769</v>
      </c>
      <c r="CJ93" s="14" t="s">
        <v>2331</v>
      </c>
      <c r="CK93" s="14" t="s">
        <v>2268</v>
      </c>
      <c r="CN93" s="14" t="s">
        <v>761</v>
      </c>
      <c r="CW93" s="13" t="s">
        <v>1115</v>
      </c>
      <c r="CX93" s="13" t="s">
        <v>1116</v>
      </c>
      <c r="CY93" s="13">
        <v>2021</v>
      </c>
      <c r="CZ93" s="13"/>
      <c r="DA93" s="13" t="s">
        <v>135</v>
      </c>
      <c r="DB93" s="13">
        <v>3</v>
      </c>
      <c r="DC93" s="13">
        <v>4</v>
      </c>
      <c r="DD93" s="13" t="s">
        <v>1117</v>
      </c>
      <c r="DE93" s="13" t="s">
        <v>106</v>
      </c>
    </row>
    <row r="94" spans="1:109" ht="20">
      <c r="A94" s="14" t="s">
        <v>1786</v>
      </c>
      <c r="C94" s="14" t="s">
        <v>1121</v>
      </c>
      <c r="D94" s="14" t="s">
        <v>820</v>
      </c>
      <c r="E94" s="14" t="s">
        <v>674</v>
      </c>
      <c r="F94" s="14" t="s">
        <v>2332</v>
      </c>
      <c r="H94" s="14" t="s">
        <v>2333</v>
      </c>
      <c r="I94" s="14" t="s">
        <v>4059</v>
      </c>
      <c r="J94" s="14" t="s">
        <v>1972</v>
      </c>
      <c r="K94" s="14" t="s">
        <v>2334</v>
      </c>
      <c r="L94" s="14" t="s">
        <v>2335</v>
      </c>
      <c r="M94" s="14">
        <v>36</v>
      </c>
      <c r="N94" s="14">
        <v>1</v>
      </c>
      <c r="P94" s="14">
        <v>1</v>
      </c>
      <c r="Q94" s="14">
        <v>57.31</v>
      </c>
      <c r="R94" s="14">
        <v>9.86</v>
      </c>
      <c r="V94" s="14">
        <v>21</v>
      </c>
      <c r="W94" s="14">
        <v>0.57999999999999996</v>
      </c>
      <c r="X94" s="14">
        <v>27.14</v>
      </c>
      <c r="Y94" s="14">
        <v>13.93</v>
      </c>
      <c r="AC94" s="14">
        <v>33</v>
      </c>
      <c r="AD94" s="34">
        <v>0.91669999999999996</v>
      </c>
      <c r="BN94" s="27" t="s">
        <v>2552</v>
      </c>
      <c r="CC94" s="14">
        <v>-0.42</v>
      </c>
      <c r="CG94" s="14" t="s">
        <v>769</v>
      </c>
      <c r="CW94" s="13" t="s">
        <v>1118</v>
      </c>
      <c r="CX94" s="13" t="s">
        <v>1119</v>
      </c>
      <c r="CY94" s="13">
        <v>2021</v>
      </c>
      <c r="CZ94" s="21">
        <v>45644</v>
      </c>
      <c r="DA94" s="13" t="s">
        <v>411</v>
      </c>
      <c r="DB94" s="13">
        <v>9</v>
      </c>
      <c r="DC94" s="13">
        <v>12</v>
      </c>
      <c r="DD94" s="13"/>
      <c r="DE94" s="13" t="s">
        <v>1120</v>
      </c>
    </row>
    <row r="95" spans="1:109" ht="20">
      <c r="A95" s="14" t="s">
        <v>1786</v>
      </c>
      <c r="C95" s="14" t="s">
        <v>1121</v>
      </c>
      <c r="D95" s="14" t="s">
        <v>820</v>
      </c>
      <c r="E95" s="14" t="s">
        <v>674</v>
      </c>
      <c r="F95" s="14" t="s">
        <v>2337</v>
      </c>
      <c r="H95" s="14" t="s">
        <v>2333</v>
      </c>
      <c r="I95" s="14" t="s">
        <v>3094</v>
      </c>
      <c r="J95" s="14" t="s">
        <v>1972</v>
      </c>
      <c r="K95" s="14" t="s">
        <v>2334</v>
      </c>
      <c r="L95" s="14" t="s">
        <v>2335</v>
      </c>
      <c r="M95" s="14">
        <v>36</v>
      </c>
      <c r="N95" s="14">
        <v>1</v>
      </c>
      <c r="P95" s="14">
        <v>1</v>
      </c>
      <c r="Q95" s="14">
        <v>57.31</v>
      </c>
      <c r="R95" s="14">
        <v>9.86</v>
      </c>
      <c r="V95" s="14">
        <v>21</v>
      </c>
      <c r="W95" s="14">
        <v>0.57999999999999996</v>
      </c>
      <c r="X95" s="14">
        <v>27.14</v>
      </c>
      <c r="Y95" s="14">
        <v>13.93</v>
      </c>
      <c r="AC95" s="14">
        <v>33</v>
      </c>
      <c r="AD95" s="34">
        <v>0.91669999999999996</v>
      </c>
      <c r="BN95" s="27" t="s">
        <v>2552</v>
      </c>
      <c r="CC95" s="14">
        <v>0.61</v>
      </c>
      <c r="CG95" s="14" t="s">
        <v>769</v>
      </c>
      <c r="CW95" s="13" t="s">
        <v>1118</v>
      </c>
      <c r="CX95" s="13" t="s">
        <v>1119</v>
      </c>
      <c r="CY95" s="13">
        <v>2021</v>
      </c>
      <c r="CZ95" s="21">
        <v>45644</v>
      </c>
      <c r="DA95" s="13" t="s">
        <v>411</v>
      </c>
      <c r="DB95" s="13">
        <v>9</v>
      </c>
      <c r="DC95" s="13">
        <v>12</v>
      </c>
      <c r="DD95" s="13"/>
      <c r="DE95" s="13" t="s">
        <v>1120</v>
      </c>
    </row>
    <row r="96" spans="1:109" ht="20">
      <c r="A96" s="14" t="s">
        <v>1786</v>
      </c>
      <c r="C96" s="14" t="s">
        <v>1121</v>
      </c>
      <c r="D96" s="14" t="s">
        <v>820</v>
      </c>
      <c r="E96" s="14" t="s">
        <v>674</v>
      </c>
      <c r="F96" s="14" t="s">
        <v>2338</v>
      </c>
      <c r="H96" s="14" t="s">
        <v>2333</v>
      </c>
      <c r="I96" s="14" t="s">
        <v>3094</v>
      </c>
      <c r="J96" s="14" t="s">
        <v>1972</v>
      </c>
      <c r="K96" s="14" t="s">
        <v>2334</v>
      </c>
      <c r="L96" s="14" t="s">
        <v>2335</v>
      </c>
      <c r="M96" s="14">
        <v>36</v>
      </c>
      <c r="N96" s="14">
        <v>1</v>
      </c>
      <c r="P96" s="14">
        <v>1</v>
      </c>
      <c r="Q96" s="14">
        <v>57.31</v>
      </c>
      <c r="R96" s="14">
        <v>9.86</v>
      </c>
      <c r="V96" s="14">
        <v>21</v>
      </c>
      <c r="W96" s="14">
        <v>0.57999999999999996</v>
      </c>
      <c r="X96" s="14">
        <v>27.14</v>
      </c>
      <c r="Y96" s="14">
        <v>13.93</v>
      </c>
      <c r="AC96" s="14">
        <v>33</v>
      </c>
      <c r="AD96" s="34">
        <v>0.91669999999999996</v>
      </c>
      <c r="BN96" s="27" t="s">
        <v>2552</v>
      </c>
      <c r="CC96" s="14">
        <v>0.47</v>
      </c>
      <c r="CG96" s="14" t="s">
        <v>769</v>
      </c>
      <c r="CW96" s="13" t="s">
        <v>1118</v>
      </c>
      <c r="CX96" s="13" t="s">
        <v>1119</v>
      </c>
      <c r="CY96" s="13">
        <v>2021</v>
      </c>
      <c r="CZ96" s="21">
        <v>45644</v>
      </c>
      <c r="DA96" s="13" t="s">
        <v>411</v>
      </c>
      <c r="DB96" s="13">
        <v>9</v>
      </c>
      <c r="DC96" s="13">
        <v>12</v>
      </c>
      <c r="DD96" s="13"/>
      <c r="DE96" s="13" t="s">
        <v>1120</v>
      </c>
    </row>
    <row r="97" spans="1:109" ht="20">
      <c r="A97" s="14" t="s">
        <v>1786</v>
      </c>
      <c r="C97" s="14" t="s">
        <v>1121</v>
      </c>
      <c r="D97" s="14" t="s">
        <v>820</v>
      </c>
      <c r="E97" s="14" t="s">
        <v>674</v>
      </c>
      <c r="F97" s="14" t="s">
        <v>2341</v>
      </c>
      <c r="H97" s="14" t="s">
        <v>2333</v>
      </c>
      <c r="I97" s="14" t="s">
        <v>3094</v>
      </c>
      <c r="J97" s="14" t="s">
        <v>1972</v>
      </c>
      <c r="K97" s="14" t="s">
        <v>2334</v>
      </c>
      <c r="L97" s="14" t="s">
        <v>2335</v>
      </c>
      <c r="M97" s="14">
        <v>36</v>
      </c>
      <c r="N97" s="14">
        <v>1</v>
      </c>
      <c r="P97" s="14">
        <v>1</v>
      </c>
      <c r="Q97" s="14">
        <v>57.31</v>
      </c>
      <c r="R97" s="14">
        <v>9.86</v>
      </c>
      <c r="V97" s="14">
        <v>21</v>
      </c>
      <c r="W97" s="14">
        <v>0.57999999999999996</v>
      </c>
      <c r="X97" s="14">
        <v>27.14</v>
      </c>
      <c r="Y97" s="14">
        <v>13.93</v>
      </c>
      <c r="AC97" s="14">
        <v>33</v>
      </c>
      <c r="AD97" s="34">
        <v>0.91669999999999996</v>
      </c>
      <c r="BN97" s="27" t="s">
        <v>2552</v>
      </c>
      <c r="CC97" s="14">
        <v>0.55000000000000004</v>
      </c>
      <c r="CG97" s="27" t="s">
        <v>769</v>
      </c>
      <c r="CW97" s="13" t="s">
        <v>1118</v>
      </c>
      <c r="CX97" s="13" t="s">
        <v>1119</v>
      </c>
      <c r="CY97" s="13">
        <v>2021</v>
      </c>
      <c r="CZ97" s="21">
        <v>45644</v>
      </c>
      <c r="DA97" s="13" t="s">
        <v>411</v>
      </c>
      <c r="DB97" s="13">
        <v>9</v>
      </c>
      <c r="DC97" s="13">
        <v>12</v>
      </c>
      <c r="DD97" s="13"/>
      <c r="DE97" s="13" t="s">
        <v>1120</v>
      </c>
    </row>
    <row r="98" spans="1:109">
      <c r="A98" s="14" t="s">
        <v>1787</v>
      </c>
      <c r="C98" s="14" t="s">
        <v>2344</v>
      </c>
      <c r="D98" s="14" t="s">
        <v>820</v>
      </c>
      <c r="E98" s="14" t="s">
        <v>674</v>
      </c>
      <c r="F98" s="14" t="s">
        <v>858</v>
      </c>
      <c r="H98" s="14" t="s">
        <v>669</v>
      </c>
      <c r="I98" s="14" t="s">
        <v>4060</v>
      </c>
      <c r="J98" s="14" t="s">
        <v>652</v>
      </c>
      <c r="L98" s="14" t="s">
        <v>639</v>
      </c>
      <c r="M98" s="14">
        <v>165</v>
      </c>
      <c r="P98" s="14">
        <v>11</v>
      </c>
      <c r="Q98" s="14">
        <v>61</v>
      </c>
      <c r="R98" s="14">
        <v>3</v>
      </c>
      <c r="V98" s="14">
        <v>97</v>
      </c>
      <c r="W98" s="14">
        <f t="shared" ref="W98:W111" si="6">V98/M98</f>
        <v>0.58787878787878789</v>
      </c>
      <c r="X98" s="14">
        <v>18.63</v>
      </c>
      <c r="Y98" s="14">
        <v>4.3</v>
      </c>
      <c r="AG98" s="35">
        <f>2*12</f>
        <v>24</v>
      </c>
      <c r="AH98" s="35">
        <f>1*12</f>
        <v>12</v>
      </c>
      <c r="AI98" s="35">
        <f>3.5*12</f>
        <v>42</v>
      </c>
      <c r="BN98" s="14" t="s">
        <v>2231</v>
      </c>
      <c r="CC98" s="14">
        <v>0.1</v>
      </c>
      <c r="CG98" s="27" t="s">
        <v>769</v>
      </c>
      <c r="CW98" s="14" t="s">
        <v>1122</v>
      </c>
      <c r="CX98" s="14" t="s">
        <v>1123</v>
      </c>
      <c r="CY98" s="14">
        <v>2024</v>
      </c>
      <c r="CZ98" s="36" t="s">
        <v>12</v>
      </c>
      <c r="DA98" s="14" t="s">
        <v>254</v>
      </c>
      <c r="DB98" s="14">
        <v>30</v>
      </c>
      <c r="DC98" s="14">
        <v>6</v>
      </c>
      <c r="DD98" s="14" t="s">
        <v>1124</v>
      </c>
      <c r="DE98" s="14" t="s">
        <v>1125</v>
      </c>
    </row>
    <row r="99" spans="1:109">
      <c r="A99" s="14" t="s">
        <v>1787</v>
      </c>
      <c r="C99" s="14" t="s">
        <v>2344</v>
      </c>
      <c r="D99" s="14" t="s">
        <v>820</v>
      </c>
      <c r="E99" s="14" t="s">
        <v>674</v>
      </c>
      <c r="F99" s="14" t="s">
        <v>2343</v>
      </c>
      <c r="H99" s="14" t="s">
        <v>669</v>
      </c>
      <c r="I99" s="14" t="s">
        <v>3095</v>
      </c>
      <c r="J99" s="14" t="s">
        <v>652</v>
      </c>
      <c r="L99" s="14" t="s">
        <v>639</v>
      </c>
      <c r="M99" s="14">
        <v>165</v>
      </c>
      <c r="P99" s="14">
        <v>11</v>
      </c>
      <c r="Q99" s="14">
        <v>61</v>
      </c>
      <c r="R99" s="14">
        <v>3</v>
      </c>
      <c r="V99" s="14">
        <v>97</v>
      </c>
      <c r="W99" s="14">
        <f t="shared" si="6"/>
        <v>0.58787878787878789</v>
      </c>
      <c r="X99" s="14">
        <v>18.63</v>
      </c>
      <c r="Y99" s="14">
        <v>4.3</v>
      </c>
      <c r="AG99" s="35">
        <f>2*12</f>
        <v>24</v>
      </c>
      <c r="AH99" s="35">
        <f>1*12</f>
        <v>12</v>
      </c>
      <c r="AI99" s="35">
        <f>3.5*12</f>
        <v>42</v>
      </c>
      <c r="BN99" s="14" t="s">
        <v>2231</v>
      </c>
      <c r="CC99" s="14">
        <v>-0.4</v>
      </c>
      <c r="CG99" s="27" t="s">
        <v>769</v>
      </c>
      <c r="CW99" s="14" t="s">
        <v>1122</v>
      </c>
      <c r="CX99" s="14" t="s">
        <v>1123</v>
      </c>
      <c r="CY99" s="14">
        <v>2024</v>
      </c>
      <c r="CZ99" s="36" t="s">
        <v>12</v>
      </c>
      <c r="DA99" s="14" t="s">
        <v>254</v>
      </c>
      <c r="DB99" s="14">
        <v>30</v>
      </c>
      <c r="DC99" s="14">
        <v>6</v>
      </c>
      <c r="DD99" s="14" t="s">
        <v>1124</v>
      </c>
      <c r="DE99" s="14" t="s">
        <v>1125</v>
      </c>
    </row>
    <row r="100" spans="1:109">
      <c r="A100" s="14" t="s">
        <v>1787</v>
      </c>
      <c r="C100" s="14" t="s">
        <v>2344</v>
      </c>
      <c r="D100" s="14" t="s">
        <v>820</v>
      </c>
      <c r="E100" s="14" t="s">
        <v>674</v>
      </c>
      <c r="F100" s="14" t="s">
        <v>675</v>
      </c>
      <c r="H100" s="14" t="s">
        <v>669</v>
      </c>
      <c r="I100" s="14" t="s">
        <v>3095</v>
      </c>
      <c r="J100" s="14" t="s">
        <v>652</v>
      </c>
      <c r="L100" s="14" t="s">
        <v>639</v>
      </c>
      <c r="M100" s="14">
        <v>165</v>
      </c>
      <c r="P100" s="14">
        <v>11</v>
      </c>
      <c r="Q100" s="14">
        <v>61</v>
      </c>
      <c r="R100" s="14">
        <v>3</v>
      </c>
      <c r="V100" s="14">
        <v>97</v>
      </c>
      <c r="W100" s="14">
        <f t="shared" si="6"/>
        <v>0.58787878787878789</v>
      </c>
      <c r="X100" s="14">
        <v>18.63</v>
      </c>
      <c r="Y100" s="14">
        <v>4.3</v>
      </c>
      <c r="AG100" s="35">
        <f>2*12</f>
        <v>24</v>
      </c>
      <c r="AH100" s="35">
        <f>1*12</f>
        <v>12</v>
      </c>
      <c r="AI100" s="35">
        <f>3.5*12</f>
        <v>42</v>
      </c>
      <c r="BN100" s="14" t="s">
        <v>2231</v>
      </c>
      <c r="CC100" s="14">
        <v>-0.28999999999999998</v>
      </c>
      <c r="CG100" s="27" t="s">
        <v>769</v>
      </c>
      <c r="CW100" s="14" t="s">
        <v>1122</v>
      </c>
      <c r="CX100" s="14" t="s">
        <v>1123</v>
      </c>
      <c r="CY100" s="14">
        <v>2024</v>
      </c>
      <c r="CZ100" s="36" t="s">
        <v>12</v>
      </c>
      <c r="DA100" s="14" t="s">
        <v>254</v>
      </c>
      <c r="DB100" s="14">
        <v>30</v>
      </c>
      <c r="DC100" s="14">
        <v>6</v>
      </c>
      <c r="DD100" s="14" t="s">
        <v>1124</v>
      </c>
      <c r="DE100" s="14" t="s">
        <v>1125</v>
      </c>
    </row>
    <row r="101" spans="1:109">
      <c r="A101" s="14" t="s">
        <v>1787</v>
      </c>
      <c r="C101" s="14" t="s">
        <v>2354</v>
      </c>
      <c r="D101" s="14" t="s">
        <v>831</v>
      </c>
      <c r="E101" s="14" t="s">
        <v>674</v>
      </c>
      <c r="F101" s="14" t="s">
        <v>2343</v>
      </c>
      <c r="H101" s="14" t="s">
        <v>647</v>
      </c>
      <c r="I101" s="14" t="s">
        <v>3096</v>
      </c>
      <c r="J101" s="14" t="s">
        <v>652</v>
      </c>
      <c r="L101" s="14" t="s">
        <v>639</v>
      </c>
      <c r="M101" s="14">
        <v>58</v>
      </c>
      <c r="P101" s="14">
        <v>7</v>
      </c>
      <c r="Q101" s="14">
        <v>67</v>
      </c>
      <c r="R101" s="14">
        <v>9</v>
      </c>
      <c r="V101" s="14">
        <v>39</v>
      </c>
      <c r="W101" s="14">
        <f t="shared" si="6"/>
        <v>0.67241379310344829</v>
      </c>
      <c r="X101" s="14">
        <v>31.81</v>
      </c>
      <c r="Y101" s="14">
        <v>9.09</v>
      </c>
      <c r="AG101" s="35">
        <v>23</v>
      </c>
      <c r="BN101" s="14" t="s">
        <v>2231</v>
      </c>
      <c r="CC101" s="14">
        <v>-0.7</v>
      </c>
      <c r="CG101" s="27" t="s">
        <v>769</v>
      </c>
      <c r="CW101" s="14" t="s">
        <v>1122</v>
      </c>
      <c r="CX101" s="14" t="s">
        <v>1123</v>
      </c>
      <c r="CY101" s="14">
        <v>2024</v>
      </c>
      <c r="CZ101" s="36" t="s">
        <v>12</v>
      </c>
      <c r="DA101" s="14" t="s">
        <v>254</v>
      </c>
      <c r="DB101" s="14">
        <v>30</v>
      </c>
      <c r="DC101" s="14">
        <v>6</v>
      </c>
      <c r="DD101" s="14" t="s">
        <v>1124</v>
      </c>
      <c r="DE101" s="14" t="s">
        <v>1125</v>
      </c>
    </row>
    <row r="102" spans="1:109">
      <c r="A102" s="14" t="s">
        <v>1787</v>
      </c>
      <c r="C102" s="14" t="s">
        <v>2353</v>
      </c>
      <c r="D102" s="14" t="s">
        <v>831</v>
      </c>
      <c r="E102" s="14" t="s">
        <v>674</v>
      </c>
      <c r="F102" s="14" t="s">
        <v>2343</v>
      </c>
      <c r="H102" s="14" t="s">
        <v>647</v>
      </c>
      <c r="I102" s="14" t="s">
        <v>4061</v>
      </c>
      <c r="J102" s="14" t="s">
        <v>652</v>
      </c>
      <c r="L102" s="14" t="s">
        <v>639</v>
      </c>
      <c r="M102" s="14">
        <v>65</v>
      </c>
      <c r="P102" s="14">
        <v>7</v>
      </c>
      <c r="Q102" s="14">
        <v>63</v>
      </c>
      <c r="R102" s="14">
        <v>14</v>
      </c>
      <c r="V102" s="14">
        <v>36</v>
      </c>
      <c r="W102" s="14">
        <f t="shared" si="6"/>
        <v>0.55384615384615388</v>
      </c>
      <c r="X102" s="14">
        <v>32.83</v>
      </c>
      <c r="Y102" s="14">
        <v>9.64</v>
      </c>
      <c r="AG102" s="35">
        <v>16.5</v>
      </c>
      <c r="BN102" s="14" t="s">
        <v>2231</v>
      </c>
      <c r="CC102" s="14">
        <v>-0.21</v>
      </c>
      <c r="CG102" s="27" t="s">
        <v>769</v>
      </c>
      <c r="CW102" s="14" t="s">
        <v>1122</v>
      </c>
      <c r="CX102" s="14" t="s">
        <v>1123</v>
      </c>
      <c r="CY102" s="14">
        <v>2024</v>
      </c>
      <c r="CZ102" s="36" t="s">
        <v>12</v>
      </c>
      <c r="DA102" s="14" t="s">
        <v>254</v>
      </c>
      <c r="DB102" s="14">
        <v>30</v>
      </c>
      <c r="DC102" s="14">
        <v>6</v>
      </c>
      <c r="DD102" s="14" t="s">
        <v>1124</v>
      </c>
      <c r="DE102" s="14" t="s">
        <v>1125</v>
      </c>
    </row>
    <row r="103" spans="1:109">
      <c r="A103" s="14" t="s">
        <v>1788</v>
      </c>
      <c r="C103" s="14" t="s">
        <v>1129</v>
      </c>
      <c r="D103" s="14" t="s">
        <v>2264</v>
      </c>
      <c r="F103" s="14" t="s">
        <v>2355</v>
      </c>
      <c r="H103" s="14" t="s">
        <v>2356</v>
      </c>
      <c r="I103" s="14" t="s">
        <v>3097</v>
      </c>
      <c r="L103" s="14" t="s">
        <v>639</v>
      </c>
      <c r="M103" s="14">
        <v>30</v>
      </c>
      <c r="N103" s="14">
        <v>6</v>
      </c>
      <c r="P103" s="14">
        <v>7</v>
      </c>
      <c r="S103" s="14">
        <v>55.5</v>
      </c>
      <c r="T103" s="14">
        <v>48</v>
      </c>
      <c r="U103" s="14">
        <v>65</v>
      </c>
      <c r="V103" s="14">
        <v>16</v>
      </c>
      <c r="W103" s="14">
        <f t="shared" si="6"/>
        <v>0.53333333333333333</v>
      </c>
      <c r="Z103" s="14">
        <v>39</v>
      </c>
      <c r="AA103" s="14">
        <v>35</v>
      </c>
      <c r="AB103" s="14">
        <v>43</v>
      </c>
      <c r="AC103" s="14">
        <v>27</v>
      </c>
      <c r="AD103" s="34">
        <f>AC103/M103</f>
        <v>0.9</v>
      </c>
      <c r="AG103" s="35">
        <v>24</v>
      </c>
      <c r="AH103" s="35">
        <v>13</v>
      </c>
      <c r="AI103" s="35">
        <v>48</v>
      </c>
      <c r="BN103" s="14" t="s">
        <v>2231</v>
      </c>
      <c r="CC103" s="14" t="s">
        <v>2268</v>
      </c>
      <c r="CG103" s="14" t="s">
        <v>761</v>
      </c>
      <c r="CW103" s="14" t="s">
        <v>1126</v>
      </c>
      <c r="CX103" s="14" t="s">
        <v>1127</v>
      </c>
      <c r="CY103" s="14">
        <v>2020</v>
      </c>
      <c r="DA103" s="14" t="s">
        <v>349</v>
      </c>
      <c r="DB103" s="14">
        <v>27</v>
      </c>
      <c r="DD103" s="14" t="s">
        <v>2200</v>
      </c>
      <c r="DE103" s="14" t="s">
        <v>1128</v>
      </c>
    </row>
    <row r="104" spans="1:109">
      <c r="A104" s="14" t="s">
        <v>1791</v>
      </c>
      <c r="C104" s="14" t="s">
        <v>115</v>
      </c>
      <c r="D104" s="14" t="s">
        <v>2371</v>
      </c>
      <c r="E104" s="14" t="s">
        <v>673</v>
      </c>
      <c r="F104" s="14" t="s">
        <v>2337</v>
      </c>
      <c r="H104" s="14" t="s">
        <v>712</v>
      </c>
      <c r="I104" s="14" t="s">
        <v>2968</v>
      </c>
      <c r="J104" s="14" t="s">
        <v>2373</v>
      </c>
      <c r="K104" s="14" t="s">
        <v>2372</v>
      </c>
      <c r="M104" s="14">
        <v>571</v>
      </c>
      <c r="Q104" s="14">
        <v>53.17</v>
      </c>
      <c r="R104" s="14">
        <v>11.72</v>
      </c>
      <c r="V104" s="14">
        <v>323</v>
      </c>
      <c r="W104" s="14">
        <f t="shared" si="6"/>
        <v>0.56567425569176888</v>
      </c>
      <c r="X104" s="14">
        <v>38.26</v>
      </c>
      <c r="Y104" s="14">
        <v>6.51</v>
      </c>
      <c r="AD104" s="34">
        <v>0.76880000000000004</v>
      </c>
      <c r="AE104" s="35">
        <v>14.69</v>
      </c>
      <c r="AF104" s="35">
        <v>11.83</v>
      </c>
      <c r="BN104" s="14" t="s">
        <v>2231</v>
      </c>
      <c r="CW104" s="14" t="s">
        <v>1139</v>
      </c>
      <c r="CX104" s="14" t="s">
        <v>1140</v>
      </c>
      <c r="CY104" s="14">
        <v>2019</v>
      </c>
      <c r="CZ104" s="36" t="s">
        <v>73</v>
      </c>
      <c r="DA104" s="14" t="s">
        <v>114</v>
      </c>
      <c r="DB104" s="14">
        <v>20</v>
      </c>
      <c r="DC104" s="14">
        <v>45293</v>
      </c>
      <c r="DD104" s="14" t="s">
        <v>1141</v>
      </c>
      <c r="DE104" s="14" t="s">
        <v>1142</v>
      </c>
    </row>
    <row r="105" spans="1:109">
      <c r="A105" s="14" t="s">
        <v>1793</v>
      </c>
      <c r="C105" s="14" t="s">
        <v>2381</v>
      </c>
      <c r="D105" s="14" t="s">
        <v>818</v>
      </c>
      <c r="E105" s="14" t="s">
        <v>674</v>
      </c>
      <c r="F105" s="14" t="s">
        <v>2382</v>
      </c>
      <c r="H105" s="14" t="s">
        <v>712</v>
      </c>
      <c r="I105" s="14" t="s">
        <v>4062</v>
      </c>
      <c r="J105" s="14" t="s">
        <v>585</v>
      </c>
      <c r="L105" s="14" t="s">
        <v>639</v>
      </c>
      <c r="M105" s="14">
        <v>40</v>
      </c>
      <c r="Q105" s="14">
        <v>54.35</v>
      </c>
      <c r="R105" s="14">
        <v>2.02</v>
      </c>
      <c r="V105" s="14">
        <v>26</v>
      </c>
      <c r="W105" s="14">
        <f t="shared" si="6"/>
        <v>0.65</v>
      </c>
      <c r="X105" s="14">
        <v>39.83</v>
      </c>
      <c r="Y105" s="14">
        <v>1.08</v>
      </c>
      <c r="AC105" s="14">
        <v>28</v>
      </c>
      <c r="AD105" s="34">
        <f>AC105/M105</f>
        <v>0.7</v>
      </c>
      <c r="AG105" s="35">
        <v>9.23</v>
      </c>
      <c r="BN105" s="27" t="s">
        <v>2552</v>
      </c>
      <c r="BQ105" s="14">
        <v>0.46960000000000002</v>
      </c>
      <c r="BU105" s="14">
        <v>2E-3</v>
      </c>
      <c r="CC105" s="14">
        <v>-0.2021</v>
      </c>
      <c r="CG105" s="14">
        <v>0.21099999999999999</v>
      </c>
      <c r="CW105" s="14" t="s">
        <v>1143</v>
      </c>
      <c r="CX105" s="14" t="s">
        <v>1144</v>
      </c>
      <c r="CY105" s="14">
        <v>2019</v>
      </c>
      <c r="CZ105" s="36" t="s">
        <v>12</v>
      </c>
      <c r="DA105" s="14" t="s">
        <v>1145</v>
      </c>
      <c r="DB105" s="14">
        <v>13</v>
      </c>
      <c r="DE105" s="14" t="s">
        <v>1146</v>
      </c>
    </row>
    <row r="106" spans="1:109">
      <c r="A106" s="14" t="s">
        <v>1789</v>
      </c>
      <c r="C106" s="14" t="s">
        <v>1134</v>
      </c>
      <c r="D106" s="14" t="s">
        <v>831</v>
      </c>
      <c r="E106" s="14" t="s">
        <v>674</v>
      </c>
      <c r="F106" s="14" t="s">
        <v>675</v>
      </c>
      <c r="H106" s="14" t="s">
        <v>2333</v>
      </c>
      <c r="I106" s="14" t="s">
        <v>3098</v>
      </c>
      <c r="J106" s="14" t="s">
        <v>585</v>
      </c>
      <c r="L106" s="14" t="s">
        <v>639</v>
      </c>
      <c r="M106" s="14">
        <v>18</v>
      </c>
      <c r="N106" s="14">
        <v>0</v>
      </c>
      <c r="O106" s="34">
        <v>0</v>
      </c>
      <c r="P106" s="14">
        <v>0</v>
      </c>
      <c r="Q106" s="14">
        <v>51.6</v>
      </c>
      <c r="R106" s="14">
        <v>10.16</v>
      </c>
      <c r="S106" s="14">
        <v>53</v>
      </c>
      <c r="T106" s="14">
        <v>44</v>
      </c>
      <c r="U106" s="14">
        <v>60</v>
      </c>
      <c r="V106" s="14">
        <v>11</v>
      </c>
      <c r="W106" s="14">
        <f t="shared" si="6"/>
        <v>0.61111111111111116</v>
      </c>
      <c r="AC106" s="14">
        <v>17</v>
      </c>
      <c r="AD106" s="34">
        <f>AC106/M106</f>
        <v>0.94444444444444442</v>
      </c>
      <c r="CV106" s="14" t="s">
        <v>2360</v>
      </c>
      <c r="CW106" s="14" t="s">
        <v>1130</v>
      </c>
      <c r="CX106" s="14" t="s">
        <v>1131</v>
      </c>
      <c r="CY106" s="14">
        <v>2020</v>
      </c>
      <c r="CZ106" s="36">
        <v>45611</v>
      </c>
      <c r="DA106" s="14" t="s">
        <v>1132</v>
      </c>
      <c r="DB106" s="14">
        <v>418</v>
      </c>
      <c r="DD106" s="14" t="s">
        <v>2199</v>
      </c>
      <c r="DE106" s="14" t="s">
        <v>1133</v>
      </c>
    </row>
    <row r="107" spans="1:109">
      <c r="A107" s="14" t="s">
        <v>1789</v>
      </c>
      <c r="C107" s="14" t="s">
        <v>1134</v>
      </c>
      <c r="D107" s="14" t="s">
        <v>831</v>
      </c>
      <c r="E107" s="14" t="s">
        <v>674</v>
      </c>
      <c r="F107" s="14" t="s">
        <v>2361</v>
      </c>
      <c r="H107" s="14" t="s">
        <v>2333</v>
      </c>
      <c r="I107" s="14" t="s">
        <v>3098</v>
      </c>
      <c r="J107" s="14" t="s">
        <v>2362</v>
      </c>
      <c r="L107" s="14" t="s">
        <v>639</v>
      </c>
      <c r="M107" s="14">
        <v>18</v>
      </c>
      <c r="N107" s="14">
        <v>0</v>
      </c>
      <c r="O107" s="34">
        <v>0</v>
      </c>
      <c r="P107" s="14">
        <v>0</v>
      </c>
      <c r="Q107" s="14">
        <v>51.6</v>
      </c>
      <c r="R107" s="14">
        <v>10.16</v>
      </c>
      <c r="S107" s="14">
        <v>53</v>
      </c>
      <c r="T107" s="14">
        <v>44</v>
      </c>
      <c r="U107" s="14">
        <v>60</v>
      </c>
      <c r="V107" s="14">
        <v>11</v>
      </c>
      <c r="W107" s="14">
        <f t="shared" si="6"/>
        <v>0.61111111111111116</v>
      </c>
      <c r="AC107" s="14">
        <v>17</v>
      </c>
      <c r="AD107" s="34">
        <f>AC107/M107</f>
        <v>0.94444444444444442</v>
      </c>
      <c r="CV107" s="14" t="s">
        <v>2360</v>
      </c>
      <c r="CW107" s="14" t="s">
        <v>1130</v>
      </c>
      <c r="CX107" s="14" t="s">
        <v>1131</v>
      </c>
      <c r="CY107" s="14">
        <v>2020</v>
      </c>
      <c r="CZ107" s="36">
        <v>45611</v>
      </c>
      <c r="DA107" s="14" t="s">
        <v>1132</v>
      </c>
      <c r="DB107" s="14">
        <v>418</v>
      </c>
      <c r="DD107" s="14" t="s">
        <v>2199</v>
      </c>
      <c r="DE107" s="14" t="s">
        <v>1133</v>
      </c>
    </row>
    <row r="108" spans="1:109">
      <c r="A108" s="14" t="s">
        <v>1792</v>
      </c>
      <c r="B108" s="14" t="s">
        <v>1678</v>
      </c>
      <c r="C108" s="14" t="s">
        <v>113</v>
      </c>
      <c r="D108" s="14" t="s">
        <v>827</v>
      </c>
      <c r="E108" s="14" t="s">
        <v>673</v>
      </c>
      <c r="F108" s="14" t="s">
        <v>2198</v>
      </c>
      <c r="H108" s="14" t="s">
        <v>712</v>
      </c>
      <c r="I108" s="14" t="s">
        <v>2968</v>
      </c>
      <c r="J108" s="14" t="s">
        <v>1960</v>
      </c>
      <c r="K108" s="14" t="s">
        <v>713</v>
      </c>
      <c r="L108" s="14" t="s">
        <v>714</v>
      </c>
      <c r="M108" s="14">
        <v>582</v>
      </c>
      <c r="P108" s="14">
        <v>0</v>
      </c>
      <c r="Q108" s="14">
        <v>53.23</v>
      </c>
      <c r="R108" s="14">
        <v>11.69</v>
      </c>
      <c r="V108" s="14">
        <v>331</v>
      </c>
      <c r="W108" s="14">
        <f t="shared" si="6"/>
        <v>0.56872852233676974</v>
      </c>
      <c r="X108" s="14">
        <v>38.14</v>
      </c>
      <c r="Y108" s="14">
        <v>6.58</v>
      </c>
      <c r="AC108" s="14">
        <v>449</v>
      </c>
      <c r="AD108" s="34">
        <f>AC108/M108</f>
        <v>0.77147766323024058</v>
      </c>
      <c r="AE108" s="35">
        <v>16.36</v>
      </c>
      <c r="AF108" s="35">
        <v>14.55</v>
      </c>
      <c r="AU108" s="14" t="s">
        <v>2447</v>
      </c>
      <c r="AV108" s="14" t="s">
        <v>2380</v>
      </c>
      <c r="BE108" s="29" t="s">
        <v>2379</v>
      </c>
      <c r="BG108" s="14">
        <v>0.623</v>
      </c>
      <c r="BH108" s="14">
        <v>0.442</v>
      </c>
      <c r="BI108" s="14">
        <v>0.879</v>
      </c>
      <c r="BN108" s="14" t="s">
        <v>2231</v>
      </c>
      <c r="BQ108" s="14" t="s">
        <v>2268</v>
      </c>
      <c r="BU108" s="14" t="s">
        <v>761</v>
      </c>
      <c r="CC108" s="14" t="s">
        <v>2268</v>
      </c>
      <c r="CG108" s="14" t="s">
        <v>761</v>
      </c>
      <c r="CW108" s="14" t="s">
        <v>108</v>
      </c>
      <c r="CX108" s="14" t="s">
        <v>109</v>
      </c>
      <c r="CY108" s="14">
        <v>2021</v>
      </c>
      <c r="CZ108" s="36" t="s">
        <v>25</v>
      </c>
      <c r="DA108" s="14" t="s">
        <v>110</v>
      </c>
      <c r="DB108" s="14">
        <v>16</v>
      </c>
      <c r="DC108" s="14">
        <v>3</v>
      </c>
      <c r="DD108" s="14" t="s">
        <v>111</v>
      </c>
      <c r="DE108" s="14" t="s">
        <v>112</v>
      </c>
    </row>
    <row r="109" spans="1:109">
      <c r="A109" s="14" t="s">
        <v>1790</v>
      </c>
      <c r="C109" s="14" t="s">
        <v>2366</v>
      </c>
      <c r="D109" s="14" t="s">
        <v>818</v>
      </c>
      <c r="E109" s="14" t="s">
        <v>725</v>
      </c>
      <c r="F109" s="14" t="s">
        <v>2363</v>
      </c>
      <c r="H109" s="14" t="s">
        <v>712</v>
      </c>
      <c r="I109" s="14" t="s">
        <v>3099</v>
      </c>
      <c r="J109" s="14" t="s">
        <v>2362</v>
      </c>
      <c r="L109" s="14" t="s">
        <v>2364</v>
      </c>
      <c r="M109" s="14">
        <v>85</v>
      </c>
      <c r="Q109" s="14">
        <v>57.1</v>
      </c>
      <c r="R109" s="14">
        <v>12.1</v>
      </c>
      <c r="V109" s="14">
        <v>52</v>
      </c>
      <c r="W109" s="14">
        <f t="shared" si="6"/>
        <v>0.61176470588235299</v>
      </c>
      <c r="Z109" s="14">
        <v>41</v>
      </c>
      <c r="AA109" s="14">
        <v>34</v>
      </c>
      <c r="AB109" s="14">
        <v>43</v>
      </c>
      <c r="AD109" s="34">
        <v>0.82299999999999995</v>
      </c>
      <c r="AG109" s="35">
        <v>12</v>
      </c>
      <c r="AH109" s="35">
        <v>8</v>
      </c>
      <c r="AI109" s="35">
        <v>18</v>
      </c>
      <c r="CJ109" s="14" t="s">
        <v>2331</v>
      </c>
      <c r="CW109" s="14" t="s">
        <v>1135</v>
      </c>
      <c r="CX109" s="14" t="s">
        <v>1136</v>
      </c>
      <c r="CY109" s="14">
        <v>2024</v>
      </c>
      <c r="CZ109" s="36" t="s">
        <v>188</v>
      </c>
      <c r="DA109" s="14" t="s">
        <v>151</v>
      </c>
      <c r="DB109" s="14">
        <v>30</v>
      </c>
      <c r="DC109" s="14">
        <v>4</v>
      </c>
      <c r="DD109" s="14" t="s">
        <v>1137</v>
      </c>
      <c r="DE109" s="14" t="s">
        <v>1138</v>
      </c>
    </row>
    <row r="110" spans="1:109">
      <c r="A110" s="14" t="s">
        <v>1790</v>
      </c>
      <c r="C110" s="14" t="s">
        <v>2366</v>
      </c>
      <c r="D110" s="14" t="s">
        <v>818</v>
      </c>
      <c r="E110" s="14" t="s">
        <v>673</v>
      </c>
      <c r="F110" s="14" t="s">
        <v>675</v>
      </c>
      <c r="H110" s="14" t="s">
        <v>712</v>
      </c>
      <c r="I110" s="14" t="s">
        <v>3099</v>
      </c>
      <c r="J110" s="14" t="s">
        <v>652</v>
      </c>
      <c r="M110" s="14">
        <v>85</v>
      </c>
      <c r="Q110" s="14">
        <v>57.1</v>
      </c>
      <c r="R110" s="14">
        <v>12.1</v>
      </c>
      <c r="V110" s="14">
        <v>52</v>
      </c>
      <c r="W110" s="14">
        <f t="shared" si="6"/>
        <v>0.61176470588235299</v>
      </c>
      <c r="Z110" s="14">
        <v>41</v>
      </c>
      <c r="AA110" s="14">
        <v>34</v>
      </c>
      <c r="AB110" s="14">
        <v>43</v>
      </c>
      <c r="AD110" s="34">
        <v>0.82299999999999995</v>
      </c>
      <c r="AG110" s="35">
        <v>12</v>
      </c>
      <c r="AH110" s="35">
        <v>8</v>
      </c>
      <c r="AI110" s="35">
        <v>18</v>
      </c>
      <c r="BN110" s="14" t="s">
        <v>2231</v>
      </c>
      <c r="CJ110" s="14" t="s">
        <v>2331</v>
      </c>
      <c r="CK110" s="14">
        <v>0.49399999999999999</v>
      </c>
      <c r="CN110" s="27" t="s">
        <v>769</v>
      </c>
      <c r="CW110" s="14" t="s">
        <v>1135</v>
      </c>
      <c r="CX110" s="14" t="s">
        <v>1136</v>
      </c>
      <c r="CY110" s="14">
        <v>2024</v>
      </c>
      <c r="CZ110" s="36" t="s">
        <v>188</v>
      </c>
      <c r="DA110" s="14" t="s">
        <v>151</v>
      </c>
      <c r="DB110" s="14">
        <v>30</v>
      </c>
      <c r="DC110" s="14">
        <v>4</v>
      </c>
      <c r="DD110" s="14" t="s">
        <v>1137</v>
      </c>
      <c r="DE110" s="14" t="s">
        <v>1138</v>
      </c>
    </row>
    <row r="111" spans="1:109">
      <c r="A111" s="14" t="s">
        <v>1790</v>
      </c>
      <c r="C111" s="14" t="s">
        <v>2367</v>
      </c>
      <c r="D111" s="14" t="s">
        <v>818</v>
      </c>
      <c r="E111" s="14" t="s">
        <v>725</v>
      </c>
      <c r="F111" s="14" t="s">
        <v>2363</v>
      </c>
      <c r="H111" s="14" t="s">
        <v>712</v>
      </c>
      <c r="I111" s="14" t="s">
        <v>3099</v>
      </c>
      <c r="J111" s="14" t="s">
        <v>2362</v>
      </c>
      <c r="L111" s="14" t="s">
        <v>2364</v>
      </c>
      <c r="M111" s="14">
        <v>63</v>
      </c>
      <c r="Q111" s="14">
        <v>56.5</v>
      </c>
      <c r="R111" s="14">
        <v>9</v>
      </c>
      <c r="V111" s="14">
        <v>33</v>
      </c>
      <c r="W111" s="14">
        <f t="shared" si="6"/>
        <v>0.52380952380952384</v>
      </c>
      <c r="Z111" s="14">
        <v>40</v>
      </c>
      <c r="AA111" s="14">
        <v>37</v>
      </c>
      <c r="AB111" s="14">
        <v>43</v>
      </c>
      <c r="AD111" s="34">
        <v>0.61899999999999999</v>
      </c>
      <c r="AG111" s="35">
        <v>11</v>
      </c>
      <c r="AH111" s="35">
        <v>6</v>
      </c>
      <c r="AI111" s="35">
        <v>19</v>
      </c>
      <c r="AU111" s="14" t="s">
        <v>2447</v>
      </c>
      <c r="BE111" s="29" t="s">
        <v>2365</v>
      </c>
      <c r="BG111" s="14">
        <v>1.04</v>
      </c>
      <c r="BH111" s="14">
        <v>0.95</v>
      </c>
      <c r="BI111" s="14">
        <v>1.1399999999999999</v>
      </c>
      <c r="CJ111" s="14" t="s">
        <v>2331</v>
      </c>
      <c r="CW111" s="14" t="s">
        <v>1135</v>
      </c>
      <c r="CX111" s="14" t="s">
        <v>1136</v>
      </c>
      <c r="CY111" s="14">
        <v>2024</v>
      </c>
      <c r="CZ111" s="36" t="s">
        <v>188</v>
      </c>
      <c r="DA111" s="14" t="s">
        <v>151</v>
      </c>
      <c r="DB111" s="14">
        <v>30</v>
      </c>
      <c r="DC111" s="14">
        <v>4</v>
      </c>
      <c r="DD111" s="14" t="s">
        <v>1137</v>
      </c>
      <c r="DE111" s="14" t="s">
        <v>1138</v>
      </c>
    </row>
    <row r="112" spans="1:109">
      <c r="A112" s="14" t="s">
        <v>1794</v>
      </c>
      <c r="C112" s="14" t="s">
        <v>1151</v>
      </c>
      <c r="D112" s="14" t="s">
        <v>4179</v>
      </c>
      <c r="E112" s="14" t="s">
        <v>725</v>
      </c>
      <c r="F112" s="14" t="s">
        <v>2386</v>
      </c>
      <c r="H112" s="14" t="s">
        <v>712</v>
      </c>
      <c r="CW112" s="14" t="s">
        <v>1147</v>
      </c>
      <c r="CX112" s="14" t="s">
        <v>1148</v>
      </c>
      <c r="CY112" s="14">
        <v>2021</v>
      </c>
      <c r="CZ112" s="36">
        <v>45299</v>
      </c>
      <c r="DA112" s="14" t="s">
        <v>1149</v>
      </c>
      <c r="DB112" s="14">
        <v>10</v>
      </c>
      <c r="DC112" s="14">
        <v>1</v>
      </c>
      <c r="DD112" s="14" t="s">
        <v>2145</v>
      </c>
      <c r="DE112" s="14" t="s">
        <v>1150</v>
      </c>
    </row>
    <row r="113" spans="1:109" ht="20">
      <c r="A113" s="13" t="s">
        <v>3370</v>
      </c>
      <c r="B113" s="13"/>
      <c r="C113" s="13" t="s">
        <v>3300</v>
      </c>
      <c r="D113" s="14" t="s">
        <v>830</v>
      </c>
      <c r="E113" s="13" t="s">
        <v>673</v>
      </c>
      <c r="F113" s="13" t="s">
        <v>3698</v>
      </c>
      <c r="G113" s="13"/>
      <c r="H113" s="14" t="s">
        <v>3699</v>
      </c>
      <c r="I113" s="13" t="s">
        <v>3700</v>
      </c>
      <c r="J113" s="14" t="s">
        <v>585</v>
      </c>
      <c r="K113" s="13"/>
      <c r="L113" s="13" t="s">
        <v>639</v>
      </c>
      <c r="M113" s="13">
        <v>69</v>
      </c>
      <c r="N113" s="13">
        <v>0</v>
      </c>
      <c r="O113" s="15">
        <v>0</v>
      </c>
      <c r="P113" s="13">
        <v>0</v>
      </c>
      <c r="Q113" s="13"/>
      <c r="R113" s="13"/>
      <c r="S113" s="13">
        <v>48</v>
      </c>
      <c r="T113" s="13"/>
      <c r="U113" s="13"/>
      <c r="V113" s="13">
        <v>43</v>
      </c>
      <c r="W113" s="2">
        <f>V113/M113</f>
        <v>0.62318840579710144</v>
      </c>
      <c r="X113" s="13"/>
      <c r="Y113" s="13"/>
      <c r="Z113" s="13"/>
      <c r="AA113" s="13"/>
      <c r="AB113" s="13"/>
      <c r="AC113" s="13"/>
      <c r="AD113" s="13"/>
      <c r="AE113" s="13"/>
      <c r="AF113" s="13"/>
      <c r="AG113" s="13"/>
      <c r="AH113" s="13"/>
      <c r="AI113" s="13"/>
      <c r="AJ113" s="13"/>
      <c r="AK113" s="13"/>
      <c r="AL113" s="13"/>
      <c r="AM113" s="13"/>
      <c r="AN113" s="13"/>
      <c r="AO113" s="13"/>
      <c r="AP113" s="13"/>
      <c r="AQ113" s="13">
        <f>4.75*12</f>
        <v>57</v>
      </c>
      <c r="AR113" s="13"/>
      <c r="AS113" s="13"/>
      <c r="AT113" s="13"/>
      <c r="AU113" s="14" t="s">
        <v>2447</v>
      </c>
      <c r="AV113" s="13" t="s">
        <v>3701</v>
      </c>
      <c r="AW113" s="13"/>
      <c r="AX113" s="13">
        <v>1.24</v>
      </c>
      <c r="AY113" s="13">
        <v>1.08</v>
      </c>
      <c r="AZ113" s="13">
        <v>1.44</v>
      </c>
      <c r="BA113" s="16"/>
      <c r="BB113" s="13"/>
      <c r="BC113" s="13"/>
      <c r="BD113" s="13"/>
      <c r="BE113" s="16" t="s">
        <v>3702</v>
      </c>
      <c r="BF113" s="13"/>
      <c r="BG113" s="13">
        <v>1.32</v>
      </c>
      <c r="BH113" s="13">
        <v>1.1100000000000001</v>
      </c>
      <c r="BI113" s="13">
        <v>1.56</v>
      </c>
      <c r="BJ113" s="16"/>
      <c r="BK113" s="13"/>
      <c r="BL113" s="13"/>
      <c r="BM113" s="13"/>
      <c r="BN113" s="16"/>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t="s">
        <v>3463</v>
      </c>
      <c r="CX113" s="13" t="s">
        <v>3464</v>
      </c>
      <c r="CY113" s="13">
        <v>2025</v>
      </c>
      <c r="CZ113" s="13" t="s">
        <v>25</v>
      </c>
      <c r="DA113" s="13" t="s">
        <v>19</v>
      </c>
      <c r="DB113" s="13">
        <v>32</v>
      </c>
      <c r="DC113" s="13">
        <v>3</v>
      </c>
      <c r="DD113" s="13" t="s">
        <v>3465</v>
      </c>
      <c r="DE113" s="13" t="s">
        <v>3225</v>
      </c>
    </row>
    <row r="114" spans="1:109" ht="20">
      <c r="A114" s="13" t="s">
        <v>3370</v>
      </c>
      <c r="B114" s="13"/>
      <c r="C114" s="13" t="s">
        <v>3300</v>
      </c>
      <c r="D114" s="14" t="s">
        <v>830</v>
      </c>
      <c r="E114" s="13" t="s">
        <v>673</v>
      </c>
      <c r="F114" s="13" t="s">
        <v>3703</v>
      </c>
      <c r="G114" s="13"/>
      <c r="H114" s="14" t="s">
        <v>3699</v>
      </c>
      <c r="I114" s="13" t="s">
        <v>3700</v>
      </c>
      <c r="J114" s="14" t="s">
        <v>585</v>
      </c>
      <c r="K114" s="13"/>
      <c r="L114" s="13" t="s">
        <v>639</v>
      </c>
      <c r="M114" s="13">
        <v>69</v>
      </c>
      <c r="N114" s="13">
        <v>0</v>
      </c>
      <c r="O114" s="15">
        <v>0</v>
      </c>
      <c r="P114" s="13">
        <v>0</v>
      </c>
      <c r="Q114" s="13"/>
      <c r="R114" s="13"/>
      <c r="S114" s="13">
        <v>48</v>
      </c>
      <c r="T114" s="13"/>
      <c r="U114" s="13"/>
      <c r="V114" s="13">
        <v>43</v>
      </c>
      <c r="W114" s="2">
        <f>V114/M114</f>
        <v>0.62318840579710144</v>
      </c>
      <c r="X114" s="13"/>
      <c r="Y114" s="13"/>
      <c r="Z114" s="13"/>
      <c r="AA114" s="13"/>
      <c r="AB114" s="13"/>
      <c r="AC114" s="13"/>
      <c r="AD114" s="13"/>
      <c r="AE114" s="13"/>
      <c r="AF114" s="13"/>
      <c r="AG114" s="13"/>
      <c r="AH114" s="13"/>
      <c r="AI114" s="13"/>
      <c r="AJ114" s="13"/>
      <c r="AK114" s="13"/>
      <c r="AL114" s="13"/>
      <c r="AM114" s="13"/>
      <c r="AN114" s="13"/>
      <c r="AO114" s="13"/>
      <c r="AP114" s="13"/>
      <c r="AQ114" s="13">
        <f>4.75*12</f>
        <v>57</v>
      </c>
      <c r="AR114" s="13"/>
      <c r="AS114" s="13"/>
      <c r="AT114" s="13"/>
      <c r="AU114" s="14" t="s">
        <v>2447</v>
      </c>
      <c r="AV114" s="13" t="s">
        <v>3701</v>
      </c>
      <c r="AW114" s="13"/>
      <c r="AX114" s="13">
        <v>1.24</v>
      </c>
      <c r="AY114" s="13">
        <v>1.08</v>
      </c>
      <c r="AZ114" s="13">
        <v>1.44</v>
      </c>
      <c r="BA114" s="16"/>
      <c r="BB114" s="13"/>
      <c r="BC114" s="13"/>
      <c r="BD114" s="13"/>
      <c r="BE114" s="16" t="s">
        <v>3702</v>
      </c>
      <c r="BF114" s="13"/>
      <c r="BG114" s="13">
        <v>1.02</v>
      </c>
      <c r="BH114" s="13">
        <v>0.99</v>
      </c>
      <c r="BI114" s="13">
        <v>1.03</v>
      </c>
      <c r="BJ114" s="16"/>
      <c r="BK114" s="13"/>
      <c r="BL114" s="13"/>
      <c r="BM114" s="13"/>
      <c r="BN114" s="16"/>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t="s">
        <v>3463</v>
      </c>
      <c r="CX114" s="13" t="s">
        <v>3464</v>
      </c>
      <c r="CY114" s="13">
        <v>2025</v>
      </c>
      <c r="CZ114" s="13" t="s">
        <v>25</v>
      </c>
      <c r="DA114" s="13" t="s">
        <v>19</v>
      </c>
      <c r="DB114" s="13">
        <v>32</v>
      </c>
      <c r="DC114" s="13">
        <v>3</v>
      </c>
      <c r="DD114" s="13" t="s">
        <v>3465</v>
      </c>
      <c r="DE114" s="13" t="s">
        <v>3225</v>
      </c>
    </row>
    <row r="115" spans="1:109">
      <c r="A115" s="14" t="s">
        <v>1795</v>
      </c>
      <c r="C115" s="14" t="s">
        <v>1155</v>
      </c>
      <c r="D115" s="14" t="s">
        <v>817</v>
      </c>
      <c r="E115" s="14" t="s">
        <v>672</v>
      </c>
      <c r="F115" s="14" t="s">
        <v>2387</v>
      </c>
      <c r="H115" s="14" t="s">
        <v>703</v>
      </c>
      <c r="I115" s="14" t="s">
        <v>3081</v>
      </c>
      <c r="J115" s="14" t="s">
        <v>2207</v>
      </c>
      <c r="M115" s="14">
        <v>93</v>
      </c>
      <c r="O115" s="34">
        <v>3.2000000000000001E-2</v>
      </c>
      <c r="P115" s="14">
        <v>0</v>
      </c>
      <c r="S115" s="14">
        <v>67</v>
      </c>
      <c r="T115" s="14">
        <v>63</v>
      </c>
      <c r="U115" s="14">
        <v>72</v>
      </c>
      <c r="V115" s="14">
        <f>ROUND(M115*1.11/2.11,0)</f>
        <v>49</v>
      </c>
      <c r="W115" s="14">
        <f>V115/M115</f>
        <v>0.5268817204301075</v>
      </c>
      <c r="AD115" s="34">
        <v>0.70299999999999996</v>
      </c>
      <c r="AG115" s="35">
        <v>12</v>
      </c>
      <c r="AH115" s="35">
        <v>9</v>
      </c>
      <c r="AI115" s="35">
        <v>20</v>
      </c>
      <c r="AQ115" s="35">
        <v>30</v>
      </c>
      <c r="AR115" s="35">
        <v>20</v>
      </c>
      <c r="AS115" s="35">
        <v>46</v>
      </c>
      <c r="AU115" s="14" t="s">
        <v>2447</v>
      </c>
      <c r="AX115" s="14">
        <f>1.33*10^(-8)</f>
        <v>1.3300000000000002E-8</v>
      </c>
      <c r="AY115" s="14">
        <v>0</v>
      </c>
      <c r="AZ115" s="14">
        <v>0.11799999999999999</v>
      </c>
      <c r="BE115" s="29" t="s">
        <v>2389</v>
      </c>
      <c r="BG115" s="14">
        <f>1.6*10^(-9)</f>
        <v>1.6000000000000003E-9</v>
      </c>
      <c r="BH115" s="14">
        <v>0</v>
      </c>
      <c r="BI115" s="14">
        <v>1.7999999999999999E-2</v>
      </c>
      <c r="BN115" s="27" t="s">
        <v>2552</v>
      </c>
      <c r="BQ115" s="14">
        <v>-8.5999999999999993E-2</v>
      </c>
      <c r="BU115" s="14">
        <v>0.432</v>
      </c>
      <c r="CV115" s="14" t="s">
        <v>2388</v>
      </c>
      <c r="CW115" s="14" t="s">
        <v>1152</v>
      </c>
      <c r="CX115" s="14" t="s">
        <v>1153</v>
      </c>
      <c r="CY115" s="14">
        <v>2021</v>
      </c>
      <c r="CZ115" s="36">
        <v>45349</v>
      </c>
      <c r="DA115" s="14" t="s">
        <v>551</v>
      </c>
      <c r="DB115" s="14">
        <v>11</v>
      </c>
      <c r="DC115" s="14">
        <v>3</v>
      </c>
      <c r="DE115" s="14" t="s">
        <v>1154</v>
      </c>
    </row>
    <row r="116" spans="1:109" ht="20">
      <c r="A116" s="13" t="s">
        <v>3371</v>
      </c>
      <c r="B116" s="13"/>
      <c r="C116" s="13" t="s">
        <v>3301</v>
      </c>
      <c r="D116" s="14" t="s">
        <v>2772</v>
      </c>
      <c r="E116" s="13" t="s">
        <v>673</v>
      </c>
      <c r="F116" s="13" t="s">
        <v>2198</v>
      </c>
      <c r="G116" s="13"/>
      <c r="H116" s="14" t="s">
        <v>716</v>
      </c>
      <c r="I116" s="13" t="s">
        <v>2788</v>
      </c>
      <c r="K116" s="13"/>
      <c r="L116" s="13" t="s">
        <v>714</v>
      </c>
      <c r="M116" s="13">
        <v>319</v>
      </c>
      <c r="N116" s="13"/>
      <c r="O116" s="15"/>
      <c r="P116" s="13"/>
      <c r="Q116" s="13">
        <v>61.4</v>
      </c>
      <c r="R116" s="13">
        <v>13</v>
      </c>
      <c r="S116" s="13"/>
      <c r="T116" s="13"/>
      <c r="U116" s="13"/>
      <c r="V116" s="13">
        <v>189</v>
      </c>
      <c r="W116" s="2">
        <v>0.59099999999999997</v>
      </c>
      <c r="X116" s="13"/>
      <c r="Y116" s="13"/>
      <c r="Z116" s="13"/>
      <c r="AA116" s="13"/>
      <c r="AB116" s="13"/>
      <c r="AC116" s="13"/>
      <c r="AD116" s="13">
        <v>0.75</v>
      </c>
      <c r="AE116" s="13">
        <v>16.7</v>
      </c>
      <c r="AF116" s="13">
        <v>17.899999999999999</v>
      </c>
      <c r="AG116" s="13"/>
      <c r="AH116" s="13"/>
      <c r="AI116" s="13"/>
      <c r="AJ116" s="13"/>
      <c r="AK116" s="13"/>
      <c r="AL116" s="13"/>
      <c r="AM116" s="13"/>
      <c r="AN116" s="13"/>
      <c r="AO116" s="13"/>
      <c r="AP116" s="13"/>
      <c r="AQ116" s="13">
        <v>50.27</v>
      </c>
      <c r="AR116" s="13">
        <v>42.7</v>
      </c>
      <c r="AS116" s="13">
        <v>57.83</v>
      </c>
      <c r="AT116" s="13"/>
      <c r="AU116" s="14" t="s">
        <v>2447</v>
      </c>
      <c r="AV116" s="13" t="s">
        <v>2490</v>
      </c>
      <c r="AW116" s="13">
        <v>269</v>
      </c>
      <c r="AX116" s="13">
        <v>1</v>
      </c>
      <c r="AY116" s="13">
        <v>1</v>
      </c>
      <c r="AZ116" s="13">
        <v>1.0009999999999999</v>
      </c>
      <c r="BA116" s="16"/>
      <c r="BB116" s="13"/>
      <c r="BC116" s="13"/>
      <c r="BD116" s="13"/>
      <c r="BE116" s="16" t="s">
        <v>3706</v>
      </c>
      <c r="BF116" s="13"/>
      <c r="BG116" s="13"/>
      <c r="BH116" s="13"/>
      <c r="BI116" s="13"/>
      <c r="BJ116" s="16"/>
      <c r="BK116" s="13"/>
      <c r="BL116" s="13"/>
      <c r="BM116" s="13"/>
      <c r="BN116" s="16" t="s">
        <v>2231</v>
      </c>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t="s">
        <v>3466</v>
      </c>
      <c r="CX116" s="13" t="s">
        <v>3467</v>
      </c>
      <c r="CY116" s="13">
        <v>2024</v>
      </c>
      <c r="CZ116" s="13"/>
      <c r="DA116" s="13" t="s">
        <v>421</v>
      </c>
      <c r="DB116" s="13">
        <v>14</v>
      </c>
      <c r="DC116" s="13">
        <v>7</v>
      </c>
      <c r="DD116" s="13"/>
      <c r="DE116" s="13" t="s">
        <v>3226</v>
      </c>
    </row>
    <row r="117" spans="1:109" ht="20">
      <c r="A117" s="13" t="s">
        <v>1679</v>
      </c>
      <c r="B117" s="13" t="s">
        <v>1679</v>
      </c>
      <c r="C117" s="14" t="s">
        <v>116</v>
      </c>
      <c r="E117" s="14" t="s">
        <v>672</v>
      </c>
      <c r="F117" s="14" t="s">
        <v>686</v>
      </c>
      <c r="H117" s="13" t="s">
        <v>716</v>
      </c>
      <c r="I117" s="27" t="s">
        <v>3178</v>
      </c>
      <c r="J117" s="13" t="s">
        <v>585</v>
      </c>
      <c r="K117" s="13" t="s">
        <v>585</v>
      </c>
      <c r="M117" s="14">
        <v>26</v>
      </c>
      <c r="N117" s="13"/>
      <c r="O117" s="15"/>
      <c r="P117" s="15"/>
      <c r="Q117" s="13"/>
      <c r="R117" s="13"/>
      <c r="S117" s="13">
        <v>64.599999999999994</v>
      </c>
      <c r="T117" s="13">
        <v>55.7</v>
      </c>
      <c r="U117" s="13">
        <v>72.3</v>
      </c>
      <c r="Z117" s="14">
        <v>37</v>
      </c>
      <c r="AA117" s="14">
        <v>34</v>
      </c>
      <c r="AB117" s="14">
        <v>38</v>
      </c>
      <c r="AC117" s="14">
        <v>25</v>
      </c>
      <c r="AD117" s="34">
        <f t="shared" ref="AD117:AD122" si="7">AC117/M117</f>
        <v>0.96153846153846156</v>
      </c>
      <c r="AG117" s="35">
        <f>0.9*12</f>
        <v>10.8</v>
      </c>
      <c r="AH117" s="35">
        <f>0.6*12</f>
        <v>7.1999999999999993</v>
      </c>
      <c r="AI117" s="35">
        <f>1.8*12</f>
        <v>21.6</v>
      </c>
      <c r="BN117" s="14" t="s">
        <v>2231</v>
      </c>
      <c r="BQ117" s="14">
        <v>0.74099999999999999</v>
      </c>
      <c r="BU117" s="14" t="s">
        <v>701</v>
      </c>
      <c r="CW117" s="13" t="s">
        <v>117</v>
      </c>
      <c r="CX117" s="13" t="s">
        <v>118</v>
      </c>
      <c r="CY117" s="13">
        <v>2019</v>
      </c>
      <c r="CZ117" s="13" t="s">
        <v>119</v>
      </c>
      <c r="DA117" s="13" t="s">
        <v>120</v>
      </c>
      <c r="DB117" s="13">
        <v>56</v>
      </c>
      <c r="DC117" s="13">
        <v>8</v>
      </c>
      <c r="DD117" s="13" t="s">
        <v>121</v>
      </c>
      <c r="DE117" s="13" t="s">
        <v>122</v>
      </c>
    </row>
    <row r="118" spans="1:109" ht="20">
      <c r="A118" s="13" t="s">
        <v>1679</v>
      </c>
      <c r="B118" s="13" t="s">
        <v>1679</v>
      </c>
      <c r="C118" s="14" t="s">
        <v>116</v>
      </c>
      <c r="E118" s="14" t="s">
        <v>672</v>
      </c>
      <c r="F118" s="14" t="s">
        <v>719</v>
      </c>
      <c r="H118" s="13" t="s">
        <v>716</v>
      </c>
      <c r="I118" s="27" t="s">
        <v>3178</v>
      </c>
      <c r="J118" s="13" t="s">
        <v>1961</v>
      </c>
      <c r="K118" s="13" t="s">
        <v>717</v>
      </c>
      <c r="M118" s="14">
        <v>26</v>
      </c>
      <c r="N118" s="13"/>
      <c r="O118" s="15"/>
      <c r="P118" s="13"/>
      <c r="Q118" s="13"/>
      <c r="R118" s="13"/>
      <c r="S118" s="13">
        <v>64.599999999999994</v>
      </c>
      <c r="T118" s="13">
        <v>55.7</v>
      </c>
      <c r="U118" s="13">
        <v>72.3</v>
      </c>
      <c r="Z118" s="14">
        <v>37</v>
      </c>
      <c r="AA118" s="14">
        <v>34</v>
      </c>
      <c r="AB118" s="14">
        <v>38</v>
      </c>
      <c r="AC118" s="14">
        <v>25</v>
      </c>
      <c r="AD118" s="34">
        <f t="shared" si="7"/>
        <v>0.96153846153846156</v>
      </c>
      <c r="AG118" s="35">
        <f>0.9*12</f>
        <v>10.8</v>
      </c>
      <c r="AH118" s="35">
        <f>0.6*12</f>
        <v>7.1999999999999993</v>
      </c>
      <c r="AI118" s="35">
        <f>1.8*12</f>
        <v>21.6</v>
      </c>
      <c r="BN118" s="14" t="s">
        <v>2231</v>
      </c>
      <c r="BQ118" s="14">
        <v>0.26800000000000002</v>
      </c>
      <c r="BU118" s="14">
        <v>0.19500000000000001</v>
      </c>
      <c r="CW118" s="13" t="s">
        <v>117</v>
      </c>
      <c r="CX118" s="13" t="s">
        <v>118</v>
      </c>
      <c r="CY118" s="13">
        <v>2019</v>
      </c>
      <c r="CZ118" s="13" t="s">
        <v>119</v>
      </c>
      <c r="DA118" s="13" t="s">
        <v>120</v>
      </c>
      <c r="DB118" s="13">
        <v>56</v>
      </c>
      <c r="DC118" s="13">
        <v>8</v>
      </c>
      <c r="DD118" s="13" t="s">
        <v>121</v>
      </c>
      <c r="DE118" s="13" t="s">
        <v>122</v>
      </c>
    </row>
    <row r="119" spans="1:109">
      <c r="A119" s="14" t="s">
        <v>1796</v>
      </c>
      <c r="C119" s="14" t="s">
        <v>1160</v>
      </c>
      <c r="D119" s="14" t="s">
        <v>827</v>
      </c>
      <c r="E119" s="14" t="s">
        <v>672</v>
      </c>
      <c r="F119" s="14" t="s">
        <v>680</v>
      </c>
      <c r="H119" s="14" t="s">
        <v>716</v>
      </c>
      <c r="I119" s="14" t="s">
        <v>3100</v>
      </c>
      <c r="J119" s="14" t="s">
        <v>585</v>
      </c>
      <c r="K119" s="14" t="s">
        <v>2391</v>
      </c>
      <c r="L119" s="14" t="s">
        <v>639</v>
      </c>
      <c r="M119" s="14">
        <v>34</v>
      </c>
      <c r="S119" s="14">
        <v>56.7</v>
      </c>
      <c r="T119" s="14">
        <v>47.4</v>
      </c>
      <c r="U119" s="14">
        <v>66.3</v>
      </c>
      <c r="V119" s="14">
        <v>25</v>
      </c>
      <c r="W119" s="14">
        <f>V119/M119</f>
        <v>0.73529411764705888</v>
      </c>
      <c r="AC119" s="14">
        <v>33</v>
      </c>
      <c r="AD119" s="34">
        <f t="shared" si="7"/>
        <v>0.97058823529411764</v>
      </c>
      <c r="AU119" s="14" t="s">
        <v>2447</v>
      </c>
      <c r="BE119" s="29" t="s">
        <v>2392</v>
      </c>
      <c r="BG119" s="14">
        <v>0.46</v>
      </c>
      <c r="BH119" s="14">
        <v>0.159</v>
      </c>
      <c r="BI119" s="14">
        <v>1.3280000000000001</v>
      </c>
      <c r="BN119" s="14" t="s">
        <v>2231</v>
      </c>
      <c r="BQ119" s="14">
        <v>0.56000000000000005</v>
      </c>
      <c r="BU119" s="14">
        <v>6.9999999999999994E-5</v>
      </c>
      <c r="CC119" s="14">
        <v>-0.37</v>
      </c>
      <c r="CG119" s="14">
        <v>3.5999999999999997E-2</v>
      </c>
      <c r="CW119" s="14" t="s">
        <v>1156</v>
      </c>
      <c r="CX119" s="14" t="s">
        <v>1157</v>
      </c>
      <c r="CY119" s="14">
        <v>2021</v>
      </c>
      <c r="CZ119" s="36">
        <v>45478</v>
      </c>
      <c r="DA119" s="14" t="s">
        <v>1158</v>
      </c>
      <c r="DB119" s="14">
        <v>11</v>
      </c>
      <c r="DC119" s="14">
        <v>7</v>
      </c>
      <c r="DE119" s="14" t="s">
        <v>1159</v>
      </c>
    </row>
    <row r="120" spans="1:109">
      <c r="A120" s="14" t="s">
        <v>1796</v>
      </c>
      <c r="C120" s="14" t="s">
        <v>1160</v>
      </c>
      <c r="D120" s="14" t="s">
        <v>827</v>
      </c>
      <c r="E120" s="14" t="s">
        <v>672</v>
      </c>
      <c r="F120" s="14" t="s">
        <v>679</v>
      </c>
      <c r="H120" s="14" t="s">
        <v>716</v>
      </c>
      <c r="I120" s="14" t="s">
        <v>3100</v>
      </c>
      <c r="J120" s="14" t="s">
        <v>585</v>
      </c>
      <c r="L120" s="14" t="s">
        <v>641</v>
      </c>
      <c r="M120" s="14">
        <v>30</v>
      </c>
      <c r="S120" s="14">
        <v>58</v>
      </c>
      <c r="T120" s="14">
        <v>49.7</v>
      </c>
      <c r="U120" s="14">
        <v>66.400000000000006</v>
      </c>
      <c r="V120" s="14">
        <v>24</v>
      </c>
      <c r="W120" s="14">
        <f>V120/M120</f>
        <v>0.8</v>
      </c>
      <c r="AC120" s="14">
        <v>33</v>
      </c>
      <c r="AD120" s="34">
        <f t="shared" si="7"/>
        <v>1.1000000000000001</v>
      </c>
      <c r="AU120" s="14" t="s">
        <v>2447</v>
      </c>
      <c r="BE120" s="29" t="s">
        <v>2392</v>
      </c>
      <c r="BG120" s="14">
        <v>0.67200000000000004</v>
      </c>
      <c r="BH120" s="14">
        <v>0.23699999999999999</v>
      </c>
      <c r="BI120" s="14">
        <v>1.9019999999999999</v>
      </c>
      <c r="BN120" s="14" t="s">
        <v>2231</v>
      </c>
      <c r="BQ120" s="14">
        <v>0.43</v>
      </c>
      <c r="BU120" s="14">
        <v>1.4999999999999999E-2</v>
      </c>
      <c r="CC120" s="14">
        <v>-0.38</v>
      </c>
      <c r="CG120" s="14">
        <v>3.4000000000000002E-2</v>
      </c>
      <c r="CW120" s="14" t="s">
        <v>1156</v>
      </c>
      <c r="CX120" s="14" t="s">
        <v>1157</v>
      </c>
      <c r="CY120" s="14">
        <v>2021</v>
      </c>
      <c r="CZ120" s="36">
        <v>45478</v>
      </c>
      <c r="DA120" s="14" t="s">
        <v>1158</v>
      </c>
      <c r="DB120" s="14">
        <v>11</v>
      </c>
      <c r="DC120" s="14">
        <v>7</v>
      </c>
      <c r="DE120" s="14" t="s">
        <v>1159</v>
      </c>
    </row>
    <row r="121" spans="1:109">
      <c r="A121" s="14" t="s">
        <v>1796</v>
      </c>
      <c r="C121" s="14" t="s">
        <v>1160</v>
      </c>
      <c r="D121" s="14" t="s">
        <v>827</v>
      </c>
      <c r="E121" s="14" t="s">
        <v>672</v>
      </c>
      <c r="F121" s="14" t="s">
        <v>1004</v>
      </c>
      <c r="H121" s="14" t="s">
        <v>716</v>
      </c>
      <c r="I121" s="14" t="s">
        <v>3100</v>
      </c>
      <c r="J121" s="14" t="s">
        <v>585</v>
      </c>
      <c r="L121" s="14" t="s">
        <v>641</v>
      </c>
      <c r="M121" s="14">
        <v>32</v>
      </c>
      <c r="S121" s="14">
        <v>59.4</v>
      </c>
      <c r="T121" s="14">
        <v>49.8</v>
      </c>
      <c r="U121" s="14">
        <v>66.599999999999994</v>
      </c>
      <c r="V121" s="14">
        <v>22</v>
      </c>
      <c r="W121" s="14">
        <f>V121/M121</f>
        <v>0.6875</v>
      </c>
      <c r="AC121" s="14">
        <v>33</v>
      </c>
      <c r="AD121" s="34">
        <f t="shared" si="7"/>
        <v>1.03125</v>
      </c>
      <c r="AU121" s="14" t="s">
        <v>2447</v>
      </c>
      <c r="BE121" s="29" t="s">
        <v>2392</v>
      </c>
      <c r="BG121" s="14">
        <v>0.20100000000000001</v>
      </c>
      <c r="BH121" s="14">
        <v>5.2999999999999999E-2</v>
      </c>
      <c r="BI121" s="14">
        <v>0.77100000000000002</v>
      </c>
      <c r="BN121" s="14" t="s">
        <v>2231</v>
      </c>
      <c r="BQ121" s="14">
        <v>0.54</v>
      </c>
      <c r="BU121" s="14">
        <v>2E-3</v>
      </c>
      <c r="CW121" s="14" t="s">
        <v>1156</v>
      </c>
      <c r="CX121" s="14" t="s">
        <v>1157</v>
      </c>
      <c r="CY121" s="14">
        <v>2021</v>
      </c>
      <c r="CZ121" s="36">
        <v>45478</v>
      </c>
      <c r="DA121" s="14" t="s">
        <v>1158</v>
      </c>
      <c r="DB121" s="14">
        <v>11</v>
      </c>
      <c r="DC121" s="14">
        <v>7</v>
      </c>
      <c r="DE121" s="14" t="s">
        <v>1159</v>
      </c>
    </row>
    <row r="122" spans="1:109">
      <c r="A122" s="14" t="s">
        <v>1796</v>
      </c>
      <c r="C122" s="14" t="s">
        <v>1160</v>
      </c>
      <c r="D122" s="14" t="s">
        <v>827</v>
      </c>
      <c r="E122" s="14" t="s">
        <v>672</v>
      </c>
      <c r="F122" s="14" t="s">
        <v>686</v>
      </c>
      <c r="H122" s="14" t="s">
        <v>716</v>
      </c>
      <c r="I122" s="14" t="s">
        <v>3100</v>
      </c>
      <c r="J122" s="14" t="s">
        <v>585</v>
      </c>
      <c r="L122" s="14" t="s">
        <v>639</v>
      </c>
      <c r="M122" s="14">
        <v>36</v>
      </c>
      <c r="S122" s="14">
        <v>56</v>
      </c>
      <c r="T122" s="14">
        <v>48</v>
      </c>
      <c r="U122" s="14">
        <v>66.400000000000006</v>
      </c>
      <c r="V122" s="14">
        <v>26</v>
      </c>
      <c r="W122" s="14">
        <f>V122/M122</f>
        <v>0.72222222222222221</v>
      </c>
      <c r="AC122" s="14">
        <v>33</v>
      </c>
      <c r="AD122" s="34">
        <f t="shared" si="7"/>
        <v>0.91666666666666663</v>
      </c>
      <c r="AU122" s="14" t="s">
        <v>2447</v>
      </c>
      <c r="BE122" s="29" t="s">
        <v>2392</v>
      </c>
      <c r="BG122" s="14">
        <v>0.41099999999999998</v>
      </c>
      <c r="BH122" s="14">
        <v>0.14299999999999999</v>
      </c>
      <c r="BI122" s="14">
        <v>1.1779999999999999</v>
      </c>
      <c r="BN122" s="14" t="s">
        <v>2231</v>
      </c>
      <c r="BQ122" s="14">
        <v>0.72</v>
      </c>
      <c r="BU122" s="14" t="s">
        <v>701</v>
      </c>
      <c r="CW122" s="14" t="s">
        <v>1156</v>
      </c>
      <c r="CX122" s="14" t="s">
        <v>1157</v>
      </c>
      <c r="CY122" s="14">
        <v>2021</v>
      </c>
      <c r="CZ122" s="36">
        <v>45478</v>
      </c>
      <c r="DA122" s="14" t="s">
        <v>1158</v>
      </c>
      <c r="DB122" s="14">
        <v>11</v>
      </c>
      <c r="DC122" s="14">
        <v>7</v>
      </c>
      <c r="DE122" s="14" t="s">
        <v>1159</v>
      </c>
    </row>
    <row r="123" spans="1:109" ht="20">
      <c r="A123" s="14" t="s">
        <v>1797</v>
      </c>
      <c r="C123" s="14" t="s">
        <v>1164</v>
      </c>
      <c r="D123" s="14" t="s">
        <v>818</v>
      </c>
      <c r="E123" s="14" t="s">
        <v>725</v>
      </c>
      <c r="F123" s="14" t="s">
        <v>2595</v>
      </c>
      <c r="H123" s="14" t="s">
        <v>637</v>
      </c>
      <c r="I123" s="14" t="s">
        <v>3083</v>
      </c>
      <c r="J123" s="14" t="s">
        <v>2362</v>
      </c>
      <c r="K123" s="13" t="s">
        <v>2395</v>
      </c>
      <c r="M123" s="14">
        <v>359</v>
      </c>
      <c r="Q123" s="14">
        <v>67.5</v>
      </c>
      <c r="R123" s="14">
        <v>11.3</v>
      </c>
      <c r="V123" s="14">
        <v>185</v>
      </c>
      <c r="W123" s="14">
        <v>0.51500000000000001</v>
      </c>
      <c r="X123" s="14">
        <v>34.5</v>
      </c>
      <c r="Y123" s="14">
        <v>7.1</v>
      </c>
      <c r="AD123" s="34">
        <v>0.66600000000000004</v>
      </c>
      <c r="AU123" s="14" t="s">
        <v>2447</v>
      </c>
      <c r="AX123" s="14">
        <v>1.0660000000000001</v>
      </c>
      <c r="AY123" s="14">
        <v>1.0129999999999999</v>
      </c>
      <c r="AZ123" s="14">
        <v>1.111</v>
      </c>
      <c r="BE123" s="29" t="s">
        <v>2396</v>
      </c>
      <c r="BG123" s="14">
        <v>1.0569999999999999</v>
      </c>
      <c r="BH123" s="14">
        <v>0.95399999999999996</v>
      </c>
      <c r="BI123" s="14">
        <v>1.159</v>
      </c>
      <c r="BN123" s="14" t="s">
        <v>2553</v>
      </c>
      <c r="CC123" s="14">
        <v>-0.22600000000000001</v>
      </c>
      <c r="CG123" s="14" t="s">
        <v>701</v>
      </c>
      <c r="CW123" s="14" t="s">
        <v>1161</v>
      </c>
      <c r="CX123" s="14" t="s">
        <v>1162</v>
      </c>
      <c r="CY123" s="14">
        <v>2023</v>
      </c>
      <c r="CZ123" s="36">
        <v>45619</v>
      </c>
      <c r="DA123" s="14" t="s">
        <v>1080</v>
      </c>
      <c r="DB123" s="14">
        <v>13</v>
      </c>
      <c r="DC123" s="14">
        <v>12</v>
      </c>
      <c r="DE123" s="14" t="s">
        <v>1163</v>
      </c>
    </row>
    <row r="124" spans="1:109">
      <c r="A124" s="14" t="s">
        <v>1997</v>
      </c>
      <c r="B124" s="14" t="s">
        <v>1680</v>
      </c>
      <c r="C124" s="14" t="s">
        <v>128</v>
      </c>
      <c r="D124" s="14" t="s">
        <v>818</v>
      </c>
      <c r="E124" s="14" t="s">
        <v>674</v>
      </c>
      <c r="F124" s="29" t="s">
        <v>721</v>
      </c>
      <c r="H124" s="14" t="s">
        <v>584</v>
      </c>
      <c r="I124" s="14" t="s">
        <v>3101</v>
      </c>
      <c r="J124" s="14" t="s">
        <v>652</v>
      </c>
      <c r="L124" s="14" t="s">
        <v>639</v>
      </c>
      <c r="M124" s="14">
        <v>130</v>
      </c>
      <c r="P124" s="14">
        <v>37</v>
      </c>
      <c r="S124" s="14">
        <v>60</v>
      </c>
      <c r="T124" s="14">
        <v>53</v>
      </c>
      <c r="U124" s="14">
        <v>67</v>
      </c>
      <c r="W124" s="14">
        <f>V124/M124</f>
        <v>0</v>
      </c>
      <c r="BN124" s="14" t="s">
        <v>2231</v>
      </c>
      <c r="BQ124" s="14">
        <v>-3.3000000000000002E-2</v>
      </c>
      <c r="BU124" s="14">
        <v>0.72</v>
      </c>
      <c r="BV124" s="14" t="s">
        <v>2402</v>
      </c>
      <c r="BY124" s="14">
        <v>0.16</v>
      </c>
      <c r="BZ124" s="14">
        <f>BY124-0.071*1.96</f>
        <v>2.0840000000000025E-2</v>
      </c>
      <c r="CA124" s="14">
        <f>BY124+0.071*1.96</f>
        <v>0.29915999999999998</v>
      </c>
      <c r="CC124" s="14">
        <v>-0.26</v>
      </c>
      <c r="CG124" s="14">
        <v>5.1000000000000004E-3</v>
      </c>
      <c r="CW124" s="14" t="s">
        <v>123</v>
      </c>
      <c r="CX124" s="14" t="s">
        <v>124</v>
      </c>
      <c r="CY124" s="14">
        <v>2022</v>
      </c>
      <c r="CZ124" s="36" t="s">
        <v>44</v>
      </c>
      <c r="DA124" s="14" t="s">
        <v>125</v>
      </c>
      <c r="DB124" s="14">
        <v>92</v>
      </c>
      <c r="DC124" s="14">
        <v>5</v>
      </c>
      <c r="DD124" s="14" t="s">
        <v>126</v>
      </c>
      <c r="DE124" s="14" t="s">
        <v>127</v>
      </c>
    </row>
    <row r="125" spans="1:109">
      <c r="A125" s="14" t="s">
        <v>1997</v>
      </c>
      <c r="B125" s="14" t="s">
        <v>1680</v>
      </c>
      <c r="C125" s="14" t="s">
        <v>128</v>
      </c>
      <c r="D125" s="14" t="s">
        <v>818</v>
      </c>
      <c r="E125" s="14" t="s">
        <v>674</v>
      </c>
      <c r="F125" s="14" t="s">
        <v>675</v>
      </c>
      <c r="H125" s="14" t="s">
        <v>584</v>
      </c>
      <c r="I125" s="14" t="s">
        <v>3101</v>
      </c>
      <c r="J125" s="14" t="s">
        <v>652</v>
      </c>
      <c r="L125" s="14" t="s">
        <v>639</v>
      </c>
      <c r="M125" s="14">
        <v>120</v>
      </c>
      <c r="P125" s="14">
        <v>37</v>
      </c>
      <c r="S125" s="14">
        <v>60</v>
      </c>
      <c r="T125" s="14">
        <v>53</v>
      </c>
      <c r="U125" s="14">
        <v>67</v>
      </c>
      <c r="W125" s="14">
        <f>V125/M125</f>
        <v>0</v>
      </c>
      <c r="CW125" s="14" t="s">
        <v>123</v>
      </c>
      <c r="CX125" s="14" t="s">
        <v>124</v>
      </c>
      <c r="CY125" s="14">
        <v>2022</v>
      </c>
      <c r="CZ125" s="36" t="s">
        <v>44</v>
      </c>
      <c r="DA125" s="14" t="s">
        <v>125</v>
      </c>
      <c r="DB125" s="14">
        <v>92</v>
      </c>
      <c r="DC125" s="14">
        <v>5</v>
      </c>
      <c r="DD125" s="14" t="s">
        <v>126</v>
      </c>
      <c r="DE125" s="14" t="s">
        <v>127</v>
      </c>
    </row>
    <row r="126" spans="1:109">
      <c r="A126" s="14" t="s">
        <v>1997</v>
      </c>
      <c r="B126" s="14" t="s">
        <v>1680</v>
      </c>
      <c r="C126" s="14" t="s">
        <v>128</v>
      </c>
      <c r="D126" s="14" t="s">
        <v>818</v>
      </c>
      <c r="E126" s="14" t="s">
        <v>672</v>
      </c>
      <c r="F126" s="29" t="s">
        <v>721</v>
      </c>
      <c r="H126" s="14" t="s">
        <v>584</v>
      </c>
      <c r="I126" s="14" t="s">
        <v>3101</v>
      </c>
      <c r="J126" s="14" t="s">
        <v>2195</v>
      </c>
      <c r="L126" s="14" t="s">
        <v>639</v>
      </c>
      <c r="M126" s="14">
        <v>47</v>
      </c>
      <c r="P126" s="14">
        <v>37</v>
      </c>
      <c r="S126" s="14">
        <v>60</v>
      </c>
      <c r="T126" s="14">
        <v>53</v>
      </c>
      <c r="U126" s="14">
        <v>67</v>
      </c>
      <c r="W126" s="14">
        <f>V126/M126</f>
        <v>0</v>
      </c>
      <c r="CW126" s="14" t="s">
        <v>123</v>
      </c>
      <c r="CX126" s="14" t="s">
        <v>124</v>
      </c>
      <c r="CY126" s="14">
        <v>2022</v>
      </c>
      <c r="CZ126" s="36" t="s">
        <v>44</v>
      </c>
      <c r="DA126" s="14" t="s">
        <v>125</v>
      </c>
      <c r="DB126" s="14">
        <v>92</v>
      </c>
      <c r="DC126" s="14">
        <v>5</v>
      </c>
      <c r="DD126" s="14" t="s">
        <v>126</v>
      </c>
      <c r="DE126" s="14" t="s">
        <v>127</v>
      </c>
    </row>
    <row r="127" spans="1:109">
      <c r="A127" s="14" t="s">
        <v>1997</v>
      </c>
      <c r="B127" s="14" t="s">
        <v>1680</v>
      </c>
      <c r="C127" s="14" t="s">
        <v>128</v>
      </c>
      <c r="D127" s="14" t="s">
        <v>818</v>
      </c>
      <c r="E127" s="14" t="s">
        <v>672</v>
      </c>
      <c r="F127" s="14" t="s">
        <v>823</v>
      </c>
      <c r="H127" s="14" t="s">
        <v>584</v>
      </c>
      <c r="I127" s="14" t="s">
        <v>3101</v>
      </c>
      <c r="J127" s="14" t="s">
        <v>2195</v>
      </c>
      <c r="L127" s="14" t="s">
        <v>639</v>
      </c>
      <c r="M127" s="14">
        <v>50</v>
      </c>
      <c r="P127" s="14">
        <v>37</v>
      </c>
      <c r="S127" s="14">
        <v>60</v>
      </c>
      <c r="T127" s="14">
        <v>53</v>
      </c>
      <c r="U127" s="14">
        <v>67</v>
      </c>
      <c r="W127" s="14">
        <f>V127/M127</f>
        <v>0</v>
      </c>
      <c r="CW127" s="14" t="s">
        <v>123</v>
      </c>
      <c r="CX127" s="14" t="s">
        <v>124</v>
      </c>
      <c r="CY127" s="14">
        <v>2022</v>
      </c>
      <c r="CZ127" s="36" t="s">
        <v>44</v>
      </c>
      <c r="DA127" s="14" t="s">
        <v>125</v>
      </c>
      <c r="DB127" s="14">
        <v>92</v>
      </c>
      <c r="DC127" s="14">
        <v>5</v>
      </c>
      <c r="DD127" s="14" t="s">
        <v>126</v>
      </c>
      <c r="DE127" s="14" t="s">
        <v>127</v>
      </c>
    </row>
    <row r="128" spans="1:109">
      <c r="A128" s="14" t="s">
        <v>1997</v>
      </c>
      <c r="B128" s="14" t="s">
        <v>1680</v>
      </c>
      <c r="C128" s="14" t="s">
        <v>128</v>
      </c>
      <c r="D128" s="14" t="s">
        <v>818</v>
      </c>
      <c r="E128" s="14" t="s">
        <v>672</v>
      </c>
      <c r="F128" s="14" t="s">
        <v>675</v>
      </c>
      <c r="H128" s="14" t="s">
        <v>584</v>
      </c>
      <c r="I128" s="14" t="s">
        <v>3101</v>
      </c>
      <c r="J128" s="14" t="s">
        <v>652</v>
      </c>
      <c r="L128" s="14" t="s">
        <v>639</v>
      </c>
      <c r="M128" s="14">
        <v>12</v>
      </c>
      <c r="P128" s="14">
        <v>37</v>
      </c>
      <c r="S128" s="14">
        <v>60</v>
      </c>
      <c r="T128" s="14">
        <v>53</v>
      </c>
      <c r="U128" s="14">
        <v>67</v>
      </c>
      <c r="W128" s="14">
        <f>V128/M128</f>
        <v>0</v>
      </c>
      <c r="CW128" s="14" t="s">
        <v>123</v>
      </c>
      <c r="CX128" s="14" t="s">
        <v>124</v>
      </c>
      <c r="CY128" s="14">
        <v>2022</v>
      </c>
      <c r="CZ128" s="36" t="s">
        <v>44</v>
      </c>
      <c r="DA128" s="14" t="s">
        <v>125</v>
      </c>
      <c r="DB128" s="14">
        <v>92</v>
      </c>
      <c r="DC128" s="14">
        <v>5</v>
      </c>
      <c r="DD128" s="14" t="s">
        <v>126</v>
      </c>
      <c r="DE128" s="14" t="s">
        <v>127</v>
      </c>
    </row>
    <row r="129" spans="1:109" ht="20">
      <c r="A129" s="13" t="s">
        <v>3372</v>
      </c>
      <c r="B129" s="13"/>
      <c r="C129" s="13" t="s">
        <v>3302</v>
      </c>
      <c r="D129" s="14" t="s">
        <v>3707</v>
      </c>
      <c r="E129" s="13" t="s">
        <v>673</v>
      </c>
      <c r="F129" s="13" t="s">
        <v>2378</v>
      </c>
      <c r="G129" s="13"/>
      <c r="H129" s="14" t="s">
        <v>586</v>
      </c>
      <c r="I129" s="13" t="s">
        <v>3641</v>
      </c>
      <c r="K129" s="13" t="s">
        <v>3708</v>
      </c>
      <c r="L129" s="13" t="s">
        <v>903</v>
      </c>
      <c r="M129" s="13">
        <v>628</v>
      </c>
      <c r="N129" s="13"/>
      <c r="O129" s="15"/>
      <c r="P129" s="13"/>
      <c r="Q129" s="13">
        <v>60.63</v>
      </c>
      <c r="R129" s="13">
        <v>6.68</v>
      </c>
      <c r="S129" s="13"/>
      <c r="T129" s="13"/>
      <c r="U129" s="13"/>
      <c r="V129" s="13"/>
      <c r="W129" s="2"/>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V129" s="13"/>
      <c r="AW129" s="13"/>
      <c r="AX129" s="13"/>
      <c r="AY129" s="13"/>
      <c r="AZ129" s="13"/>
      <c r="BA129" s="16"/>
      <c r="BB129" s="13"/>
      <c r="BC129" s="13"/>
      <c r="BD129" s="13"/>
      <c r="BE129" s="16"/>
      <c r="BF129" s="13"/>
      <c r="BG129" s="13"/>
      <c r="BH129" s="13"/>
      <c r="BI129" s="13"/>
      <c r="BJ129" s="16"/>
      <c r="BK129" s="13"/>
      <c r="BL129" s="13"/>
      <c r="BM129" s="13"/>
      <c r="BN129" s="16"/>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t="s">
        <v>3468</v>
      </c>
      <c r="CX129" s="13" t="s">
        <v>3469</v>
      </c>
      <c r="CY129" s="13">
        <v>2024</v>
      </c>
      <c r="CZ129" s="13"/>
      <c r="DA129" s="13" t="s">
        <v>416</v>
      </c>
      <c r="DB129" s="13">
        <v>15</v>
      </c>
      <c r="DC129" s="13"/>
      <c r="DD129" s="13">
        <v>1458184</v>
      </c>
      <c r="DE129" s="13" t="s">
        <v>3227</v>
      </c>
    </row>
    <row r="130" spans="1:109">
      <c r="A130" s="14" t="s">
        <v>1999</v>
      </c>
      <c r="B130" s="14" t="s">
        <v>1681</v>
      </c>
      <c r="C130" s="14" t="s">
        <v>132</v>
      </c>
      <c r="D130" s="14" t="s">
        <v>828</v>
      </c>
      <c r="E130" s="14" t="s">
        <v>674</v>
      </c>
      <c r="F130" s="14" t="s">
        <v>728</v>
      </c>
      <c r="H130" s="14" t="s">
        <v>726</v>
      </c>
      <c r="I130" s="14" t="s">
        <v>3102</v>
      </c>
      <c r="J130" s="14" t="s">
        <v>1962</v>
      </c>
      <c r="K130" s="14" t="s">
        <v>727</v>
      </c>
      <c r="L130" s="14" t="s">
        <v>729</v>
      </c>
      <c r="M130" s="14">
        <v>30</v>
      </c>
      <c r="N130" s="14">
        <v>0</v>
      </c>
      <c r="O130" s="34">
        <v>0</v>
      </c>
      <c r="Q130" s="14">
        <v>55.4</v>
      </c>
      <c r="R130" s="14">
        <v>12</v>
      </c>
      <c r="W130" s="14">
        <f>V130/M130</f>
        <v>0</v>
      </c>
      <c r="CW130" s="14" t="s">
        <v>129</v>
      </c>
      <c r="CX130" s="14" t="s">
        <v>130</v>
      </c>
      <c r="CY130" s="14">
        <v>2022</v>
      </c>
      <c r="CZ130" s="36">
        <v>45317</v>
      </c>
      <c r="DA130" s="14" t="s">
        <v>61</v>
      </c>
      <c r="DB130" s="14">
        <v>12</v>
      </c>
      <c r="DC130" s="14">
        <v>1</v>
      </c>
      <c r="DD130" s="14" t="s">
        <v>2182</v>
      </c>
      <c r="DE130" s="14" t="s">
        <v>131</v>
      </c>
    </row>
    <row r="131" spans="1:109">
      <c r="A131" s="14" t="s">
        <v>1999</v>
      </c>
      <c r="B131" s="14" t="s">
        <v>1681</v>
      </c>
      <c r="C131" s="14" t="s">
        <v>132</v>
      </c>
      <c r="D131" s="14" t="s">
        <v>828</v>
      </c>
      <c r="E131" s="14" t="s">
        <v>674</v>
      </c>
      <c r="F131" s="14" t="s">
        <v>730</v>
      </c>
      <c r="H131" s="14" t="s">
        <v>726</v>
      </c>
      <c r="I131" s="14" t="s">
        <v>3102</v>
      </c>
      <c r="J131" s="14" t="s">
        <v>1962</v>
      </c>
      <c r="K131" s="14" t="s">
        <v>727</v>
      </c>
      <c r="L131" s="14" t="s">
        <v>729</v>
      </c>
      <c r="M131" s="14">
        <v>30</v>
      </c>
      <c r="N131" s="14">
        <v>0</v>
      </c>
      <c r="O131" s="34">
        <v>0</v>
      </c>
      <c r="Q131" s="14">
        <v>55.4</v>
      </c>
      <c r="R131" s="14">
        <v>12</v>
      </c>
      <c r="W131" s="14">
        <f>V131/M131</f>
        <v>0</v>
      </c>
      <c r="CW131" s="14" t="s">
        <v>129</v>
      </c>
      <c r="CX131" s="14" t="s">
        <v>130</v>
      </c>
      <c r="CY131" s="14">
        <v>2022</v>
      </c>
      <c r="CZ131" s="36">
        <v>45317</v>
      </c>
      <c r="DA131" s="14" t="s">
        <v>61</v>
      </c>
      <c r="DB131" s="14">
        <v>12</v>
      </c>
      <c r="DC131" s="14">
        <v>1</v>
      </c>
      <c r="DD131" s="14" t="s">
        <v>2182</v>
      </c>
      <c r="DE131" s="14" t="s">
        <v>131</v>
      </c>
    </row>
    <row r="132" spans="1:109">
      <c r="A132" s="14" t="s">
        <v>1999</v>
      </c>
      <c r="B132" s="14" t="s">
        <v>1681</v>
      </c>
      <c r="C132" s="14" t="s">
        <v>132</v>
      </c>
      <c r="D132" s="14" t="s">
        <v>828</v>
      </c>
      <c r="E132" s="14" t="s">
        <v>674</v>
      </c>
      <c r="F132" s="14" t="s">
        <v>684</v>
      </c>
      <c r="G132" s="14" t="s">
        <v>731</v>
      </c>
      <c r="H132" s="14" t="s">
        <v>726</v>
      </c>
      <c r="I132" s="14" t="s">
        <v>3102</v>
      </c>
      <c r="J132" s="14" t="s">
        <v>1962</v>
      </c>
      <c r="K132" s="14" t="s">
        <v>727</v>
      </c>
      <c r="M132" s="14">
        <v>30</v>
      </c>
      <c r="N132" s="14">
        <v>0</v>
      </c>
      <c r="O132" s="34">
        <v>0</v>
      </c>
      <c r="Q132" s="14">
        <v>55.4</v>
      </c>
      <c r="R132" s="14">
        <v>12</v>
      </c>
      <c r="W132" s="14">
        <f>V132/M132</f>
        <v>0</v>
      </c>
      <c r="CW132" s="14" t="s">
        <v>129</v>
      </c>
      <c r="CX132" s="14" t="s">
        <v>130</v>
      </c>
      <c r="CY132" s="14">
        <v>2022</v>
      </c>
      <c r="CZ132" s="36">
        <v>45317</v>
      </c>
      <c r="DA132" s="14" t="s">
        <v>61</v>
      </c>
      <c r="DB132" s="14">
        <v>12</v>
      </c>
      <c r="DC132" s="14">
        <v>1</v>
      </c>
      <c r="DD132" s="14" t="s">
        <v>2182</v>
      </c>
      <c r="DE132" s="14" t="s">
        <v>131</v>
      </c>
    </row>
    <row r="133" spans="1:109">
      <c r="A133" s="14" t="s">
        <v>1798</v>
      </c>
      <c r="C133" s="14" t="s">
        <v>1169</v>
      </c>
      <c r="D133" s="14" t="s">
        <v>4179</v>
      </c>
      <c r="F133" s="14" t="s">
        <v>2403</v>
      </c>
      <c r="CW133" s="14" t="s">
        <v>1165</v>
      </c>
      <c r="CX133" s="14" t="s">
        <v>1166</v>
      </c>
      <c r="CY133" s="14">
        <v>2024</v>
      </c>
      <c r="CZ133" s="36">
        <v>45352</v>
      </c>
      <c r="DA133" s="14" t="s">
        <v>1167</v>
      </c>
      <c r="DB133" s="14">
        <v>19</v>
      </c>
      <c r="DC133" s="14">
        <v>1</v>
      </c>
      <c r="DD133" s="14" t="s">
        <v>2146</v>
      </c>
      <c r="DE133" s="14" t="s">
        <v>1168</v>
      </c>
    </row>
    <row r="134" spans="1:109">
      <c r="A134" s="14" t="s">
        <v>2000</v>
      </c>
      <c r="B134" s="14" t="s">
        <v>1682</v>
      </c>
      <c r="C134" s="14" t="s">
        <v>138</v>
      </c>
      <c r="D134" s="14" t="s">
        <v>829</v>
      </c>
      <c r="E134" s="14" t="s">
        <v>673</v>
      </c>
      <c r="F134" s="14" t="s">
        <v>675</v>
      </c>
      <c r="H134" s="14" t="s">
        <v>586</v>
      </c>
      <c r="I134" s="14" t="s">
        <v>3103</v>
      </c>
      <c r="J134" s="14" t="s">
        <v>695</v>
      </c>
      <c r="K134" s="14" t="s">
        <v>733</v>
      </c>
      <c r="L134" s="14" t="s">
        <v>639</v>
      </c>
      <c r="M134" s="14">
        <v>93</v>
      </c>
      <c r="S134" s="14">
        <v>65</v>
      </c>
      <c r="T134" s="14">
        <v>55</v>
      </c>
      <c r="U134" s="14">
        <v>71</v>
      </c>
      <c r="V134" s="14">
        <v>58</v>
      </c>
      <c r="W134" s="14">
        <f t="shared" ref="W134:W141" si="8">V134/M134</f>
        <v>0.62365591397849462</v>
      </c>
      <c r="Z134" s="14">
        <v>41</v>
      </c>
      <c r="AA134" s="14">
        <v>37</v>
      </c>
      <c r="AB134" s="14">
        <v>43</v>
      </c>
      <c r="AC134" s="14">
        <v>71</v>
      </c>
      <c r="AD134" s="34">
        <f>AC134/M134</f>
        <v>0.76344086021505375</v>
      </c>
      <c r="AG134" s="35">
        <v>13.1</v>
      </c>
      <c r="AH134" s="35">
        <v>8.9</v>
      </c>
      <c r="AI134" s="35">
        <v>22.4</v>
      </c>
      <c r="CW134" s="14" t="s">
        <v>133</v>
      </c>
      <c r="CX134" s="14" t="s">
        <v>134</v>
      </c>
      <c r="CY134" s="14">
        <v>2023</v>
      </c>
      <c r="DA134" s="14" t="s">
        <v>135</v>
      </c>
      <c r="DB134" s="14">
        <v>5</v>
      </c>
      <c r="DC134" s="14">
        <v>3</v>
      </c>
      <c r="DD134" s="14" t="s">
        <v>136</v>
      </c>
      <c r="DE134" s="14" t="s">
        <v>137</v>
      </c>
    </row>
    <row r="135" spans="1:109">
      <c r="A135" s="14" t="s">
        <v>1800</v>
      </c>
      <c r="C135" s="14" t="s">
        <v>1177</v>
      </c>
      <c r="D135" s="14" t="s">
        <v>830</v>
      </c>
      <c r="E135" s="14" t="s">
        <v>672</v>
      </c>
      <c r="F135" s="14" t="s">
        <v>680</v>
      </c>
      <c r="H135" s="14" t="s">
        <v>586</v>
      </c>
      <c r="I135" s="14" t="s">
        <v>3106</v>
      </c>
      <c r="J135" s="14" t="s">
        <v>2342</v>
      </c>
      <c r="K135" s="14" t="s">
        <v>2412</v>
      </c>
      <c r="M135" s="14">
        <v>40</v>
      </c>
      <c r="Q135" s="14">
        <v>59.9</v>
      </c>
      <c r="R135" s="14">
        <v>12.2</v>
      </c>
      <c r="V135" s="14">
        <v>38</v>
      </c>
      <c r="W135" s="14">
        <f t="shared" si="8"/>
        <v>0.95</v>
      </c>
      <c r="AC135" s="14">
        <v>28</v>
      </c>
      <c r="AD135" s="34">
        <f>AC135/M135</f>
        <v>0.7</v>
      </c>
      <c r="AE135" s="35">
        <v>22.5</v>
      </c>
      <c r="AF135" s="35">
        <v>16.399999999999999</v>
      </c>
      <c r="AU135" s="14" t="s">
        <v>2447</v>
      </c>
      <c r="AX135" s="14">
        <v>1.07</v>
      </c>
      <c r="BN135" s="27" t="s">
        <v>2552</v>
      </c>
      <c r="BO135" s="14" t="s">
        <v>2297</v>
      </c>
      <c r="BP135" s="14" t="s">
        <v>2297</v>
      </c>
      <c r="BQ135" s="14">
        <v>0.41</v>
      </c>
      <c r="BS135" s="14">
        <v>0.11</v>
      </c>
      <c r="BT135" s="14">
        <v>0.64</v>
      </c>
      <c r="BU135" s="14">
        <v>8.0000000000000002E-3</v>
      </c>
      <c r="CW135" s="14" t="s">
        <v>1172</v>
      </c>
      <c r="CX135" s="14" t="s">
        <v>1173</v>
      </c>
      <c r="CY135" s="14">
        <v>2024</v>
      </c>
      <c r="CZ135" s="36" t="s">
        <v>253</v>
      </c>
      <c r="DA135" s="14" t="s">
        <v>1174</v>
      </c>
      <c r="DB135" s="14">
        <v>168</v>
      </c>
      <c r="DC135" s="14">
        <v>2</v>
      </c>
      <c r="DD135" s="14" t="s">
        <v>1175</v>
      </c>
      <c r="DE135" s="14" t="s">
        <v>1176</v>
      </c>
    </row>
    <row r="136" spans="1:109">
      <c r="A136" s="14" t="s">
        <v>1800</v>
      </c>
      <c r="C136" s="14" t="s">
        <v>1177</v>
      </c>
      <c r="D136" s="14" t="s">
        <v>830</v>
      </c>
      <c r="E136" s="14" t="s">
        <v>672</v>
      </c>
      <c r="F136" s="14" t="s">
        <v>757</v>
      </c>
      <c r="H136" s="14" t="s">
        <v>586</v>
      </c>
      <c r="I136" s="14" t="s">
        <v>3106</v>
      </c>
      <c r="J136" s="14" t="s">
        <v>2342</v>
      </c>
      <c r="K136" s="14" t="s">
        <v>2412</v>
      </c>
      <c r="M136" s="14">
        <v>40</v>
      </c>
      <c r="Q136" s="14">
        <v>59.9</v>
      </c>
      <c r="R136" s="14">
        <v>12.2</v>
      </c>
      <c r="V136" s="14">
        <v>38</v>
      </c>
      <c r="W136" s="14">
        <f t="shared" si="8"/>
        <v>0.95</v>
      </c>
      <c r="AC136" s="14">
        <v>28</v>
      </c>
      <c r="AD136" s="34">
        <f>AC136/M136</f>
        <v>0.7</v>
      </c>
      <c r="AE136" s="35">
        <v>22.5</v>
      </c>
      <c r="AF136" s="35">
        <v>16.399999999999999</v>
      </c>
      <c r="AU136" s="14" t="s">
        <v>2447</v>
      </c>
      <c r="AX136" s="14">
        <v>2.02</v>
      </c>
      <c r="BN136" s="27" t="s">
        <v>2552</v>
      </c>
      <c r="BO136" s="14" t="s">
        <v>2297</v>
      </c>
      <c r="BP136" s="14" t="s">
        <v>2297</v>
      </c>
      <c r="BQ136" s="14">
        <v>0.53</v>
      </c>
      <c r="BS136" s="14">
        <v>0.26</v>
      </c>
      <c r="BT136" s="14">
        <v>0.72</v>
      </c>
      <c r="BU136" s="14" t="s">
        <v>635</v>
      </c>
      <c r="CW136" s="14" t="s">
        <v>1172</v>
      </c>
      <c r="CX136" s="14" t="s">
        <v>1173</v>
      </c>
      <c r="CY136" s="14">
        <v>2024</v>
      </c>
      <c r="CZ136" s="36" t="s">
        <v>253</v>
      </c>
      <c r="DA136" s="14" t="s">
        <v>1174</v>
      </c>
      <c r="DB136" s="14">
        <v>168</v>
      </c>
      <c r="DC136" s="14">
        <v>2</v>
      </c>
      <c r="DD136" s="14" t="s">
        <v>1175</v>
      </c>
      <c r="DE136" s="14" t="s">
        <v>1176</v>
      </c>
    </row>
    <row r="137" spans="1:109">
      <c r="A137" s="14" t="s">
        <v>1800</v>
      </c>
      <c r="C137" s="14" t="s">
        <v>1177</v>
      </c>
      <c r="D137" s="14" t="s">
        <v>830</v>
      </c>
      <c r="E137" s="14" t="s">
        <v>672</v>
      </c>
      <c r="F137" s="14" t="s">
        <v>686</v>
      </c>
      <c r="H137" s="14" t="s">
        <v>586</v>
      </c>
      <c r="I137" s="14" t="s">
        <v>3106</v>
      </c>
      <c r="J137" s="14" t="s">
        <v>2342</v>
      </c>
      <c r="K137" s="14" t="s">
        <v>2412</v>
      </c>
      <c r="M137" s="14">
        <v>40</v>
      </c>
      <c r="Q137" s="14">
        <v>59.9</v>
      </c>
      <c r="R137" s="14">
        <v>12.2</v>
      </c>
      <c r="V137" s="14">
        <v>38</v>
      </c>
      <c r="W137" s="14">
        <f t="shared" si="8"/>
        <v>0.95</v>
      </c>
      <c r="AC137" s="14">
        <v>28</v>
      </c>
      <c r="AD137" s="34">
        <f>AC137/M137</f>
        <v>0.7</v>
      </c>
      <c r="AE137" s="35">
        <v>22.5</v>
      </c>
      <c r="AF137" s="35">
        <v>16.399999999999999</v>
      </c>
      <c r="AU137" s="14" t="s">
        <v>2447</v>
      </c>
      <c r="AX137" s="14">
        <v>1.57</v>
      </c>
      <c r="BN137" s="27" t="s">
        <v>2552</v>
      </c>
      <c r="BO137" s="14" t="s">
        <v>2297</v>
      </c>
      <c r="BP137" s="14" t="s">
        <v>2297</v>
      </c>
      <c r="BQ137" s="14">
        <v>0.69</v>
      </c>
      <c r="BU137" s="14" t="s">
        <v>701</v>
      </c>
      <c r="CW137" s="14" t="s">
        <v>1172</v>
      </c>
      <c r="CX137" s="14" t="s">
        <v>1173</v>
      </c>
      <c r="CY137" s="14">
        <v>2024</v>
      </c>
      <c r="CZ137" s="36" t="s">
        <v>253</v>
      </c>
      <c r="DA137" s="14" t="s">
        <v>1174</v>
      </c>
      <c r="DB137" s="14">
        <v>168</v>
      </c>
      <c r="DC137" s="14">
        <v>2</v>
      </c>
      <c r="DD137" s="14" t="s">
        <v>1175</v>
      </c>
      <c r="DE137" s="14" t="s">
        <v>1176</v>
      </c>
    </row>
    <row r="138" spans="1:109" ht="20">
      <c r="A138" s="13" t="s">
        <v>3373</v>
      </c>
      <c r="B138" s="13"/>
      <c r="C138" s="13" t="s">
        <v>3713</v>
      </c>
      <c r="D138" s="14" t="s">
        <v>830</v>
      </c>
      <c r="E138" s="13" t="s">
        <v>672</v>
      </c>
      <c r="F138" s="13" t="s">
        <v>757</v>
      </c>
      <c r="G138" s="13"/>
      <c r="H138" s="14" t="s">
        <v>586</v>
      </c>
      <c r="I138" s="13" t="s">
        <v>3709</v>
      </c>
      <c r="J138" s="13" t="s">
        <v>2342</v>
      </c>
      <c r="K138" s="14" t="s">
        <v>3711</v>
      </c>
      <c r="L138" s="13" t="s">
        <v>3714</v>
      </c>
      <c r="M138" s="13">
        <v>10</v>
      </c>
      <c r="N138" s="13">
        <v>10</v>
      </c>
      <c r="O138" s="15">
        <v>1</v>
      </c>
      <c r="P138" s="13">
        <v>10</v>
      </c>
      <c r="Q138" s="13"/>
      <c r="R138" s="13"/>
      <c r="S138" s="13">
        <v>51.5</v>
      </c>
      <c r="T138" s="13">
        <v>49.8</v>
      </c>
      <c r="U138" s="13">
        <v>56.2</v>
      </c>
      <c r="V138" s="13">
        <v>5</v>
      </c>
      <c r="W138" s="2">
        <f t="shared" si="8"/>
        <v>0.5</v>
      </c>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V138" s="13"/>
      <c r="AW138" s="13"/>
      <c r="AX138" s="13"/>
      <c r="AY138" s="13"/>
      <c r="AZ138" s="13"/>
      <c r="BA138" s="16"/>
      <c r="BB138" s="13"/>
      <c r="BC138" s="13"/>
      <c r="BD138" s="13"/>
      <c r="BE138" s="16"/>
      <c r="BF138" s="13"/>
      <c r="BG138" s="13"/>
      <c r="BH138" s="13"/>
      <c r="BI138" s="13"/>
      <c r="BJ138" s="16"/>
      <c r="BK138" s="13"/>
      <c r="BL138" s="13"/>
      <c r="BM138" s="13"/>
      <c r="BN138" s="16"/>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t="s">
        <v>3470</v>
      </c>
      <c r="CX138" s="13" t="s">
        <v>3471</v>
      </c>
      <c r="CY138" s="13">
        <v>2025</v>
      </c>
      <c r="CZ138" s="13" t="s">
        <v>25</v>
      </c>
      <c r="DA138" s="13" t="s">
        <v>125</v>
      </c>
      <c r="DB138" s="13">
        <v>97</v>
      </c>
      <c r="DC138" s="13">
        <v>3</v>
      </c>
      <c r="DD138" s="13" t="s">
        <v>3472</v>
      </c>
      <c r="DE138" s="13" t="s">
        <v>3228</v>
      </c>
    </row>
    <row r="139" spans="1:109" ht="20">
      <c r="A139" s="13" t="s">
        <v>3373</v>
      </c>
      <c r="B139" s="13"/>
      <c r="C139" s="13" t="s">
        <v>3713</v>
      </c>
      <c r="D139" s="14" t="s">
        <v>830</v>
      </c>
      <c r="E139" s="13" t="s">
        <v>672</v>
      </c>
      <c r="F139" s="13" t="s">
        <v>675</v>
      </c>
      <c r="G139" s="13"/>
      <c r="H139" s="14" t="s">
        <v>586</v>
      </c>
      <c r="I139" s="13" t="s">
        <v>3709</v>
      </c>
      <c r="J139" s="13" t="s">
        <v>2823</v>
      </c>
      <c r="K139" s="14" t="s">
        <v>3711</v>
      </c>
      <c r="L139" s="13" t="s">
        <v>639</v>
      </c>
      <c r="M139" s="13">
        <v>10</v>
      </c>
      <c r="N139" s="13">
        <v>10</v>
      </c>
      <c r="O139" s="15">
        <v>1</v>
      </c>
      <c r="P139" s="13">
        <v>10</v>
      </c>
      <c r="Q139" s="13"/>
      <c r="R139" s="13"/>
      <c r="S139" s="13">
        <v>51.5</v>
      </c>
      <c r="T139" s="13">
        <v>49.8</v>
      </c>
      <c r="U139" s="13">
        <v>56.2</v>
      </c>
      <c r="V139" s="13">
        <v>5</v>
      </c>
      <c r="W139" s="2">
        <f t="shared" si="8"/>
        <v>0.5</v>
      </c>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V139" s="13"/>
      <c r="AW139" s="13"/>
      <c r="AX139" s="13"/>
      <c r="AY139" s="13"/>
      <c r="AZ139" s="13"/>
      <c r="BA139" s="16"/>
      <c r="BB139" s="13"/>
      <c r="BC139" s="13"/>
      <c r="BD139" s="13"/>
      <c r="BE139" s="16"/>
      <c r="BF139" s="13"/>
      <c r="BG139" s="13"/>
      <c r="BH139" s="13"/>
      <c r="BI139" s="13"/>
      <c r="BJ139" s="16"/>
      <c r="BK139" s="13"/>
      <c r="BL139" s="13"/>
      <c r="BM139" s="13"/>
      <c r="BN139" s="16"/>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t="s">
        <v>3470</v>
      </c>
      <c r="CX139" s="13" t="s">
        <v>3471</v>
      </c>
      <c r="CY139" s="13">
        <v>2025</v>
      </c>
      <c r="CZ139" s="13" t="s">
        <v>25</v>
      </c>
      <c r="DA139" s="13" t="s">
        <v>125</v>
      </c>
      <c r="DB139" s="13">
        <v>97</v>
      </c>
      <c r="DC139" s="13">
        <v>3</v>
      </c>
      <c r="DD139" s="13" t="s">
        <v>3472</v>
      </c>
      <c r="DE139" s="13" t="s">
        <v>3228</v>
      </c>
    </row>
    <row r="140" spans="1:109" ht="20">
      <c r="A140" s="13" t="s">
        <v>3373</v>
      </c>
      <c r="B140" s="13"/>
      <c r="C140" s="13" t="s">
        <v>3712</v>
      </c>
      <c r="D140" s="14" t="s">
        <v>830</v>
      </c>
      <c r="E140" s="13" t="s">
        <v>672</v>
      </c>
      <c r="F140" s="13" t="s">
        <v>757</v>
      </c>
      <c r="G140" s="13"/>
      <c r="H140" s="14" t="s">
        <v>586</v>
      </c>
      <c r="I140" s="13" t="s">
        <v>3709</v>
      </c>
      <c r="J140" s="13" t="s">
        <v>2342</v>
      </c>
      <c r="K140" s="14" t="s">
        <v>3711</v>
      </c>
      <c r="L140" s="13" t="s">
        <v>3714</v>
      </c>
      <c r="M140" s="13">
        <v>19</v>
      </c>
      <c r="N140" s="13">
        <v>0</v>
      </c>
      <c r="O140" s="15">
        <v>0</v>
      </c>
      <c r="P140" s="13">
        <v>0</v>
      </c>
      <c r="Q140" s="13"/>
      <c r="R140" s="13"/>
      <c r="S140" s="13">
        <v>59.6</v>
      </c>
      <c r="T140" s="13">
        <v>56</v>
      </c>
      <c r="U140" s="13">
        <v>69.400000000000006</v>
      </c>
      <c r="V140" s="13">
        <v>5</v>
      </c>
      <c r="W140" s="2">
        <f t="shared" si="8"/>
        <v>0.26315789473684209</v>
      </c>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V140" s="13"/>
      <c r="AW140" s="13"/>
      <c r="AX140" s="13"/>
      <c r="AY140" s="13"/>
      <c r="AZ140" s="13"/>
      <c r="BA140" s="16"/>
      <c r="BB140" s="13"/>
      <c r="BC140" s="13"/>
      <c r="BD140" s="13"/>
      <c r="BE140" s="16"/>
      <c r="BF140" s="13"/>
      <c r="BG140" s="13"/>
      <c r="BH140" s="13"/>
      <c r="BI140" s="13"/>
      <c r="BJ140" s="16"/>
      <c r="BK140" s="13"/>
      <c r="BL140" s="13"/>
      <c r="BM140" s="13"/>
      <c r="BN140" s="16"/>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t="s">
        <v>3470</v>
      </c>
      <c r="CX140" s="13" t="s">
        <v>3471</v>
      </c>
      <c r="CY140" s="13">
        <v>2025</v>
      </c>
      <c r="CZ140" s="13" t="s">
        <v>25</v>
      </c>
      <c r="DA140" s="13" t="s">
        <v>125</v>
      </c>
      <c r="DB140" s="13">
        <v>97</v>
      </c>
      <c r="DC140" s="13">
        <v>3</v>
      </c>
      <c r="DD140" s="13" t="s">
        <v>3472</v>
      </c>
      <c r="DE140" s="13" t="s">
        <v>3228</v>
      </c>
    </row>
    <row r="141" spans="1:109" ht="20">
      <c r="A141" s="13" t="s">
        <v>3373</v>
      </c>
      <c r="B141" s="13"/>
      <c r="C141" s="13" t="s">
        <v>3712</v>
      </c>
      <c r="D141" s="14" t="s">
        <v>830</v>
      </c>
      <c r="E141" s="13" t="s">
        <v>672</v>
      </c>
      <c r="F141" s="13" t="s">
        <v>675</v>
      </c>
      <c r="G141" s="13"/>
      <c r="H141" s="14" t="s">
        <v>586</v>
      </c>
      <c r="I141" s="13" t="s">
        <v>3709</v>
      </c>
      <c r="J141" s="13" t="s">
        <v>2823</v>
      </c>
      <c r="K141" s="14" t="s">
        <v>3711</v>
      </c>
      <c r="L141" s="13" t="s">
        <v>639</v>
      </c>
      <c r="M141" s="13">
        <v>19</v>
      </c>
      <c r="N141" s="13">
        <v>0</v>
      </c>
      <c r="O141" s="15">
        <v>0</v>
      </c>
      <c r="P141" s="13">
        <v>0</v>
      </c>
      <c r="Q141" s="13"/>
      <c r="R141" s="13"/>
      <c r="S141" s="13">
        <v>59.6</v>
      </c>
      <c r="T141" s="13">
        <v>56</v>
      </c>
      <c r="U141" s="13">
        <v>69.400000000000006</v>
      </c>
      <c r="V141" s="13">
        <v>5</v>
      </c>
      <c r="W141" s="2">
        <f t="shared" si="8"/>
        <v>0.26315789473684209</v>
      </c>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V141" s="13"/>
      <c r="AW141" s="13"/>
      <c r="AX141" s="13"/>
      <c r="AY141" s="13"/>
      <c r="AZ141" s="13"/>
      <c r="BA141" s="16"/>
      <c r="BB141" s="13"/>
      <c r="BC141" s="13"/>
      <c r="BD141" s="13"/>
      <c r="BE141" s="16"/>
      <c r="BF141" s="13"/>
      <c r="BG141" s="13"/>
      <c r="BH141" s="13"/>
      <c r="BI141" s="13"/>
      <c r="BJ141" s="16"/>
      <c r="BK141" s="13"/>
      <c r="BL141" s="13"/>
      <c r="BM141" s="13"/>
      <c r="BN141" s="16"/>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t="s">
        <v>3470</v>
      </c>
      <c r="CX141" s="13" t="s">
        <v>3471</v>
      </c>
      <c r="CY141" s="13">
        <v>2025</v>
      </c>
      <c r="CZ141" s="13" t="s">
        <v>25</v>
      </c>
      <c r="DA141" s="13" t="s">
        <v>125</v>
      </c>
      <c r="DB141" s="13">
        <v>97</v>
      </c>
      <c r="DC141" s="13">
        <v>3</v>
      </c>
      <c r="DD141" s="13" t="s">
        <v>3472</v>
      </c>
      <c r="DE141" s="13" t="s">
        <v>3228</v>
      </c>
    </row>
    <row r="142" spans="1:109">
      <c r="A142" s="14" t="s">
        <v>1799</v>
      </c>
      <c r="B142" s="14" t="s">
        <v>1683</v>
      </c>
      <c r="C142" s="14" t="s">
        <v>143</v>
      </c>
      <c r="D142" s="14" t="s">
        <v>818</v>
      </c>
      <c r="E142" s="14" t="s">
        <v>673</v>
      </c>
      <c r="F142" s="14" t="s">
        <v>734</v>
      </c>
      <c r="H142" s="14" t="s">
        <v>647</v>
      </c>
      <c r="I142" s="14" t="s">
        <v>3104</v>
      </c>
      <c r="J142" s="14" t="s">
        <v>585</v>
      </c>
      <c r="L142" s="14" t="s">
        <v>639</v>
      </c>
      <c r="M142" s="14">
        <v>123</v>
      </c>
      <c r="P142" s="14">
        <v>11</v>
      </c>
      <c r="BN142" s="14" t="s">
        <v>2231</v>
      </c>
      <c r="BQ142" s="14" t="s">
        <v>2404</v>
      </c>
      <c r="BU142" s="14">
        <v>0.71</v>
      </c>
      <c r="CC142" s="14" t="s">
        <v>2404</v>
      </c>
      <c r="CG142" s="14">
        <v>0.66</v>
      </c>
      <c r="CH142" s="14" t="s">
        <v>2404</v>
      </c>
      <c r="CI142" s="14">
        <v>0.56999999999999995</v>
      </c>
      <c r="CW142" s="14" t="s">
        <v>139</v>
      </c>
      <c r="CX142" s="14" t="s">
        <v>1170</v>
      </c>
      <c r="CY142" s="14">
        <v>2023</v>
      </c>
      <c r="CZ142" s="36" t="s">
        <v>25</v>
      </c>
      <c r="DA142" s="14" t="s">
        <v>1171</v>
      </c>
      <c r="DB142" s="14">
        <v>10</v>
      </c>
      <c r="DC142" s="14">
        <v>2</v>
      </c>
      <c r="DE142" s="14" t="s">
        <v>142</v>
      </c>
    </row>
    <row r="143" spans="1:109">
      <c r="A143" s="14" t="s">
        <v>1799</v>
      </c>
      <c r="B143" s="14" t="s">
        <v>1683</v>
      </c>
      <c r="C143" s="14" t="s">
        <v>143</v>
      </c>
      <c r="D143" s="14" t="s">
        <v>818</v>
      </c>
      <c r="E143" s="14" t="s">
        <v>673</v>
      </c>
      <c r="F143" s="14" t="s">
        <v>737</v>
      </c>
      <c r="H143" s="14" t="s">
        <v>647</v>
      </c>
      <c r="I143" s="14" t="s">
        <v>3104</v>
      </c>
      <c r="J143" s="14" t="s">
        <v>585</v>
      </c>
      <c r="L143" s="14" t="s">
        <v>641</v>
      </c>
      <c r="M143" s="14">
        <v>123</v>
      </c>
      <c r="P143" s="14">
        <v>11</v>
      </c>
      <c r="BN143" s="14" t="s">
        <v>2231</v>
      </c>
      <c r="BQ143" s="14" t="s">
        <v>2404</v>
      </c>
      <c r="BU143" s="14">
        <v>0.9</v>
      </c>
      <c r="CC143" s="14">
        <v>-0.24</v>
      </c>
      <c r="CG143" s="14">
        <v>8.9999999999999993E-3</v>
      </c>
      <c r="CH143" s="14" t="s">
        <v>2404</v>
      </c>
      <c r="CI143" s="14">
        <v>0.25</v>
      </c>
      <c r="CW143" s="14" t="s">
        <v>139</v>
      </c>
      <c r="CX143" s="14" t="s">
        <v>1170</v>
      </c>
      <c r="CY143" s="14">
        <v>2023</v>
      </c>
      <c r="CZ143" s="36" t="s">
        <v>25</v>
      </c>
      <c r="DA143" s="14" t="s">
        <v>1171</v>
      </c>
      <c r="DB143" s="14">
        <v>10</v>
      </c>
      <c r="DC143" s="14">
        <v>2</v>
      </c>
      <c r="DE143" s="14" t="s">
        <v>142</v>
      </c>
    </row>
    <row r="144" spans="1:109" ht="20">
      <c r="A144" s="14" t="s">
        <v>2001</v>
      </c>
      <c r="B144" s="14" t="s">
        <v>1684</v>
      </c>
      <c r="C144" s="14" t="s">
        <v>148</v>
      </c>
      <c r="D144" s="14" t="s">
        <v>817</v>
      </c>
      <c r="E144" s="14" t="s">
        <v>673</v>
      </c>
      <c r="F144" s="14" t="s">
        <v>686</v>
      </c>
      <c r="H144" s="14" t="s">
        <v>739</v>
      </c>
      <c r="I144" s="14" t="s">
        <v>3105</v>
      </c>
      <c r="J144" s="14" t="s">
        <v>585</v>
      </c>
      <c r="L144" s="14" t="s">
        <v>639</v>
      </c>
      <c r="M144" s="14">
        <v>95</v>
      </c>
      <c r="P144" s="14">
        <v>15</v>
      </c>
      <c r="S144" s="14">
        <v>63</v>
      </c>
      <c r="T144" s="14">
        <v>26</v>
      </c>
      <c r="U144" s="14">
        <v>80</v>
      </c>
      <c r="V144" s="14">
        <v>58</v>
      </c>
      <c r="W144" s="14">
        <f t="shared" ref="W144:W160" si="9">V144/M144</f>
        <v>0.61052631578947369</v>
      </c>
      <c r="AG144" s="35">
        <v>6.5</v>
      </c>
      <c r="AH144" s="35">
        <v>-71.900000000000006</v>
      </c>
      <c r="AI144" s="35">
        <v>36.1</v>
      </c>
      <c r="AU144" s="14" t="s">
        <v>2447</v>
      </c>
      <c r="BA144" s="16" t="s">
        <v>4107</v>
      </c>
      <c r="BB144" s="14">
        <v>2.16</v>
      </c>
      <c r="BC144" s="14">
        <v>1.2</v>
      </c>
      <c r="BD144" s="14">
        <v>3.87</v>
      </c>
      <c r="BE144" s="29" t="s">
        <v>2405</v>
      </c>
      <c r="BJ144" s="29" t="s">
        <v>4107</v>
      </c>
      <c r="BK144" s="14">
        <v>1.59</v>
      </c>
      <c r="BL144" s="14">
        <v>0.83</v>
      </c>
      <c r="BM144" s="14">
        <v>3.04</v>
      </c>
      <c r="CW144" s="14" t="s">
        <v>144</v>
      </c>
      <c r="CX144" s="14" t="s">
        <v>145</v>
      </c>
      <c r="CY144" s="14">
        <v>2019</v>
      </c>
      <c r="CZ144" s="36" t="s">
        <v>32</v>
      </c>
      <c r="DA144" s="14" t="s">
        <v>26</v>
      </c>
      <c r="DB144" s="14">
        <v>6</v>
      </c>
      <c r="DC144" s="14">
        <v>10</v>
      </c>
      <c r="DD144" s="14" t="s">
        <v>146</v>
      </c>
      <c r="DE144" s="14" t="s">
        <v>147</v>
      </c>
    </row>
    <row r="145" spans="1:109">
      <c r="A145" s="14" t="s">
        <v>2120</v>
      </c>
      <c r="B145" s="14" t="s">
        <v>1685</v>
      </c>
      <c r="C145" s="14" t="s">
        <v>2406</v>
      </c>
      <c r="D145" s="14" t="s">
        <v>2038</v>
      </c>
      <c r="E145" s="14" t="s">
        <v>672</v>
      </c>
      <c r="F145" s="14" t="s">
        <v>675</v>
      </c>
      <c r="H145" s="14" t="s">
        <v>739</v>
      </c>
      <c r="I145" s="14" t="s">
        <v>3105</v>
      </c>
      <c r="J145" s="14" t="s">
        <v>585</v>
      </c>
      <c r="L145" s="14" t="s">
        <v>639</v>
      </c>
      <c r="M145" s="14">
        <v>54</v>
      </c>
      <c r="P145" s="14">
        <v>10</v>
      </c>
      <c r="S145" s="14">
        <v>64</v>
      </c>
      <c r="T145" s="14">
        <v>32</v>
      </c>
      <c r="U145" s="14">
        <v>81</v>
      </c>
      <c r="V145" s="14">
        <v>29</v>
      </c>
      <c r="W145" s="14">
        <f t="shared" si="9"/>
        <v>0.53703703703703709</v>
      </c>
      <c r="Z145" s="14">
        <v>39</v>
      </c>
      <c r="AC145" s="14">
        <v>38</v>
      </c>
      <c r="AD145" s="34">
        <f t="shared" ref="AD145:AD159" si="10">AC145/M145</f>
        <v>0.70370370370370372</v>
      </c>
      <c r="AG145" s="35">
        <v>11.6</v>
      </c>
      <c r="BN145" s="14" t="s">
        <v>2231</v>
      </c>
      <c r="BO145" s="14" t="s">
        <v>2380</v>
      </c>
      <c r="BP145" s="14" t="s">
        <v>2380</v>
      </c>
      <c r="BQ145" s="14">
        <v>0.4</v>
      </c>
      <c r="BS145" s="14">
        <v>0.14000000000000001</v>
      </c>
      <c r="BT145" s="14">
        <v>0.61</v>
      </c>
      <c r="BU145" s="14" t="s">
        <v>760</v>
      </c>
      <c r="CW145" s="14" t="s">
        <v>149</v>
      </c>
      <c r="CX145" s="14" t="s">
        <v>150</v>
      </c>
      <c r="CY145" s="14">
        <v>2023</v>
      </c>
      <c r="CZ145" s="36" t="s">
        <v>73</v>
      </c>
      <c r="DA145" s="14" t="s">
        <v>151</v>
      </c>
      <c r="DB145" s="14">
        <v>29</v>
      </c>
      <c r="DC145" s="14">
        <v>1</v>
      </c>
      <c r="DD145" s="14" t="s">
        <v>152</v>
      </c>
      <c r="DE145" s="14" t="s">
        <v>153</v>
      </c>
    </row>
    <row r="146" spans="1:109">
      <c r="A146" s="14" t="s">
        <v>2120</v>
      </c>
      <c r="B146" s="14" t="s">
        <v>1685</v>
      </c>
      <c r="C146" s="14" t="s">
        <v>2406</v>
      </c>
      <c r="D146" s="14" t="s">
        <v>2038</v>
      </c>
      <c r="E146" s="14" t="s">
        <v>672</v>
      </c>
      <c r="F146" s="14" t="s">
        <v>686</v>
      </c>
      <c r="H146" s="14" t="s">
        <v>739</v>
      </c>
      <c r="I146" s="14" t="s">
        <v>3105</v>
      </c>
      <c r="J146" s="14" t="s">
        <v>585</v>
      </c>
      <c r="L146" s="14" t="s">
        <v>639</v>
      </c>
      <c r="M146" s="14">
        <v>54</v>
      </c>
      <c r="P146" s="14">
        <v>10</v>
      </c>
      <c r="S146" s="14">
        <v>64</v>
      </c>
      <c r="T146" s="14">
        <v>32</v>
      </c>
      <c r="U146" s="14">
        <v>81</v>
      </c>
      <c r="V146" s="14">
        <v>29</v>
      </c>
      <c r="W146" s="14">
        <f t="shared" si="9"/>
        <v>0.53703703703703709</v>
      </c>
      <c r="Z146" s="14">
        <v>39</v>
      </c>
      <c r="AC146" s="14">
        <v>38</v>
      </c>
      <c r="AD146" s="34">
        <f t="shared" si="10"/>
        <v>0.70370370370370372</v>
      </c>
      <c r="AG146" s="35">
        <v>11.6</v>
      </c>
      <c r="BN146" s="14" t="s">
        <v>2231</v>
      </c>
      <c r="BO146" s="14" t="s">
        <v>2380</v>
      </c>
      <c r="BP146" s="14" t="s">
        <v>2380</v>
      </c>
      <c r="BQ146" s="14">
        <v>0.37</v>
      </c>
      <c r="BS146" s="14">
        <v>0.11</v>
      </c>
      <c r="BT146" s="14">
        <v>0.59</v>
      </c>
      <c r="BU146" s="14" t="s">
        <v>760</v>
      </c>
      <c r="CW146" s="14" t="s">
        <v>149</v>
      </c>
      <c r="CX146" s="14" t="s">
        <v>150</v>
      </c>
      <c r="CY146" s="14">
        <v>2023</v>
      </c>
      <c r="CZ146" s="36" t="s">
        <v>73</v>
      </c>
      <c r="DA146" s="14" t="s">
        <v>151</v>
      </c>
      <c r="DB146" s="14">
        <v>29</v>
      </c>
      <c r="DC146" s="14">
        <v>1</v>
      </c>
      <c r="DD146" s="14" t="s">
        <v>152</v>
      </c>
      <c r="DE146" s="14" t="s">
        <v>153</v>
      </c>
    </row>
    <row r="147" spans="1:109">
      <c r="A147" s="14" t="s">
        <v>2120</v>
      </c>
      <c r="B147" s="14" t="s">
        <v>1685</v>
      </c>
      <c r="C147" s="14" t="s">
        <v>2411</v>
      </c>
      <c r="D147" s="14" t="s">
        <v>2038</v>
      </c>
      <c r="E147" s="14" t="s">
        <v>672</v>
      </c>
      <c r="F147" s="14" t="s">
        <v>675</v>
      </c>
      <c r="H147" s="14" t="s">
        <v>739</v>
      </c>
      <c r="I147" s="14" t="s">
        <v>3105</v>
      </c>
      <c r="J147" s="14" t="s">
        <v>585</v>
      </c>
      <c r="L147" s="14" t="s">
        <v>639</v>
      </c>
      <c r="M147" s="14">
        <v>58</v>
      </c>
      <c r="P147" s="14">
        <v>5</v>
      </c>
      <c r="S147" s="14">
        <v>65</v>
      </c>
      <c r="T147" s="14">
        <v>30</v>
      </c>
      <c r="U147" s="14">
        <v>83</v>
      </c>
      <c r="V147" s="14">
        <v>33</v>
      </c>
      <c r="W147" s="14">
        <f t="shared" si="9"/>
        <v>0.56896551724137934</v>
      </c>
      <c r="Z147" s="14">
        <v>40</v>
      </c>
      <c r="AC147" s="14">
        <v>37</v>
      </c>
      <c r="AD147" s="34">
        <f t="shared" si="10"/>
        <v>0.63793103448275867</v>
      </c>
      <c r="AG147" s="35">
        <v>6.15</v>
      </c>
      <c r="BN147" s="14" t="s">
        <v>2231</v>
      </c>
      <c r="BO147" s="14" t="s">
        <v>2380</v>
      </c>
      <c r="BP147" s="14" t="s">
        <v>2380</v>
      </c>
      <c r="BQ147" s="14">
        <v>0.33</v>
      </c>
      <c r="BS147" s="14">
        <v>6.9000000000000006E-2</v>
      </c>
      <c r="BT147" s="14">
        <v>0.55000000000000004</v>
      </c>
      <c r="BU147" s="14" t="s">
        <v>635</v>
      </c>
      <c r="CW147" s="14" t="s">
        <v>149</v>
      </c>
      <c r="CX147" s="14" t="s">
        <v>150</v>
      </c>
      <c r="CY147" s="14">
        <v>2023</v>
      </c>
      <c r="CZ147" s="36" t="s">
        <v>73</v>
      </c>
      <c r="DA147" s="14" t="s">
        <v>151</v>
      </c>
      <c r="DB147" s="14">
        <v>29</v>
      </c>
      <c r="DC147" s="14">
        <v>1</v>
      </c>
      <c r="DD147" s="14" t="s">
        <v>152</v>
      </c>
      <c r="DE147" s="14" t="s">
        <v>153</v>
      </c>
    </row>
    <row r="148" spans="1:109">
      <c r="A148" s="14" t="s">
        <v>2120</v>
      </c>
      <c r="B148" s="14" t="s">
        <v>1685</v>
      </c>
      <c r="C148" s="14" t="s">
        <v>2411</v>
      </c>
      <c r="D148" s="14" t="s">
        <v>2038</v>
      </c>
      <c r="E148" s="14" t="s">
        <v>672</v>
      </c>
      <c r="F148" s="14" t="s">
        <v>686</v>
      </c>
      <c r="H148" s="14" t="s">
        <v>739</v>
      </c>
      <c r="I148" s="14" t="s">
        <v>3105</v>
      </c>
      <c r="J148" s="14" t="s">
        <v>585</v>
      </c>
      <c r="L148" s="14" t="s">
        <v>639</v>
      </c>
      <c r="M148" s="14">
        <v>58</v>
      </c>
      <c r="P148" s="14">
        <v>5</v>
      </c>
      <c r="S148" s="14">
        <v>65</v>
      </c>
      <c r="T148" s="14">
        <v>30</v>
      </c>
      <c r="U148" s="14">
        <v>83</v>
      </c>
      <c r="V148" s="14">
        <v>33</v>
      </c>
      <c r="W148" s="14">
        <f t="shared" si="9"/>
        <v>0.56896551724137934</v>
      </c>
      <c r="Z148" s="14">
        <v>40</v>
      </c>
      <c r="AC148" s="14">
        <v>37</v>
      </c>
      <c r="AD148" s="34">
        <f t="shared" si="10"/>
        <v>0.63793103448275867</v>
      </c>
      <c r="AG148" s="35">
        <v>6.15</v>
      </c>
      <c r="BN148" s="14" t="s">
        <v>2231</v>
      </c>
      <c r="BO148" s="14" t="s">
        <v>2380</v>
      </c>
      <c r="BP148" s="14" t="s">
        <v>2380</v>
      </c>
      <c r="BQ148" s="14">
        <v>0.28999999999999998</v>
      </c>
      <c r="BS148" s="14">
        <v>2.8000000000000001E-2</v>
      </c>
      <c r="BT148" s="14">
        <v>0.52</v>
      </c>
      <c r="BU148" s="14" t="s">
        <v>635</v>
      </c>
      <c r="CW148" s="14" t="s">
        <v>149</v>
      </c>
      <c r="CX148" s="14" t="s">
        <v>150</v>
      </c>
      <c r="CY148" s="14">
        <v>2023</v>
      </c>
      <c r="CZ148" s="36" t="s">
        <v>73</v>
      </c>
      <c r="DA148" s="14" t="s">
        <v>151</v>
      </c>
      <c r="DB148" s="14">
        <v>29</v>
      </c>
      <c r="DC148" s="14">
        <v>1</v>
      </c>
      <c r="DD148" s="14" t="s">
        <v>152</v>
      </c>
      <c r="DE148" s="14" t="s">
        <v>153</v>
      </c>
    </row>
    <row r="149" spans="1:109">
      <c r="A149" s="14" t="s">
        <v>1801</v>
      </c>
      <c r="C149" s="14" t="s">
        <v>1181</v>
      </c>
      <c r="D149" s="14" t="s">
        <v>827</v>
      </c>
      <c r="E149" s="14" t="s">
        <v>674</v>
      </c>
      <c r="F149" s="14" t="s">
        <v>675</v>
      </c>
      <c r="H149" s="14" t="s">
        <v>2413</v>
      </c>
      <c r="I149" s="14" t="s">
        <v>3107</v>
      </c>
      <c r="J149" s="14" t="s">
        <v>585</v>
      </c>
      <c r="K149" s="14" t="s">
        <v>2421</v>
      </c>
      <c r="M149" s="14">
        <v>109</v>
      </c>
      <c r="Q149" s="14">
        <v>54.1</v>
      </c>
      <c r="R149" s="14">
        <v>11.3</v>
      </c>
      <c r="V149" s="14">
        <v>69</v>
      </c>
      <c r="W149" s="14">
        <f t="shared" si="9"/>
        <v>0.6330275229357798</v>
      </c>
      <c r="X149" s="14">
        <v>39.6</v>
      </c>
      <c r="Y149" s="14">
        <v>4.8</v>
      </c>
      <c r="AC149" s="14">
        <v>85</v>
      </c>
      <c r="AD149" s="34">
        <f t="shared" si="10"/>
        <v>0.77981651376146788</v>
      </c>
      <c r="AE149" s="35">
        <v>17.899999999999999</v>
      </c>
      <c r="AF149" s="35">
        <v>8.6999999999999993</v>
      </c>
      <c r="CJ149" s="14" t="s">
        <v>2416</v>
      </c>
      <c r="CQ149" s="14" t="s">
        <v>2415</v>
      </c>
      <c r="CS149" s="14">
        <v>-0.03</v>
      </c>
      <c r="CT149" s="14">
        <f>CS149-1.96*0.005</f>
        <v>-3.9800000000000002E-2</v>
      </c>
      <c r="CU149" s="14">
        <f>CS149+1.96*0.005</f>
        <v>-2.0199999999999999E-2</v>
      </c>
      <c r="CV149" s="14" t="s">
        <v>2414</v>
      </c>
      <c r="CW149" s="14" t="s">
        <v>1178</v>
      </c>
      <c r="CX149" s="14" t="s">
        <v>1179</v>
      </c>
      <c r="CY149" s="14">
        <v>2019</v>
      </c>
      <c r="CZ149" s="36">
        <v>45349</v>
      </c>
      <c r="DA149" s="14" t="s">
        <v>61</v>
      </c>
      <c r="DB149" s="14">
        <v>9</v>
      </c>
      <c r="DC149" s="14">
        <v>1</v>
      </c>
      <c r="DD149" s="14" t="s">
        <v>2194</v>
      </c>
      <c r="DE149" s="14" t="s">
        <v>1180</v>
      </c>
    </row>
    <row r="150" spans="1:109">
      <c r="A150" s="14" t="s">
        <v>1801</v>
      </c>
      <c r="C150" s="14" t="s">
        <v>1181</v>
      </c>
      <c r="D150" s="14" t="s">
        <v>827</v>
      </c>
      <c r="E150" s="14" t="s">
        <v>674</v>
      </c>
      <c r="F150" s="14" t="s">
        <v>686</v>
      </c>
      <c r="H150" s="14" t="s">
        <v>2413</v>
      </c>
      <c r="I150" s="14" t="s">
        <v>3107</v>
      </c>
      <c r="J150" s="14" t="s">
        <v>585</v>
      </c>
      <c r="K150" s="14" t="s">
        <v>2422</v>
      </c>
      <c r="M150" s="14">
        <v>109</v>
      </c>
      <c r="Q150" s="14">
        <v>54.1</v>
      </c>
      <c r="R150" s="14">
        <v>11.3</v>
      </c>
      <c r="V150" s="14">
        <v>69</v>
      </c>
      <c r="W150" s="14">
        <f t="shared" si="9"/>
        <v>0.6330275229357798</v>
      </c>
      <c r="X150" s="14">
        <v>39.6</v>
      </c>
      <c r="Y150" s="14">
        <v>4.8</v>
      </c>
      <c r="AC150" s="14">
        <v>85</v>
      </c>
      <c r="AD150" s="34">
        <f t="shared" si="10"/>
        <v>0.77981651376146788</v>
      </c>
      <c r="AE150" s="35">
        <v>17.899999999999999</v>
      </c>
      <c r="AF150" s="35">
        <v>8.6999999999999993</v>
      </c>
      <c r="CJ150" s="14" t="s">
        <v>2416</v>
      </c>
      <c r="CQ150" s="14" t="s">
        <v>2415</v>
      </c>
      <c r="CS150" s="14">
        <v>-0.06</v>
      </c>
      <c r="CT150" s="14">
        <f>CS150-1.96*0.001</f>
        <v>-6.1960000000000001E-2</v>
      </c>
      <c r="CU150" s="14">
        <f>CS150+1.96*0.001</f>
        <v>-5.8039999999999994E-2</v>
      </c>
      <c r="CV150" s="14" t="s">
        <v>2414</v>
      </c>
      <c r="CW150" s="14" t="s">
        <v>1178</v>
      </c>
      <c r="CX150" s="14" t="s">
        <v>1179</v>
      </c>
      <c r="CY150" s="14">
        <v>2019</v>
      </c>
      <c r="CZ150" s="36">
        <v>45349</v>
      </c>
      <c r="DA150" s="14" t="s">
        <v>61</v>
      </c>
      <c r="DB150" s="14">
        <v>9</v>
      </c>
      <c r="DC150" s="14">
        <v>1</v>
      </c>
      <c r="DD150" s="14" t="s">
        <v>2194</v>
      </c>
      <c r="DE150" s="14" t="s">
        <v>1180</v>
      </c>
    </row>
    <row r="151" spans="1:109">
      <c r="A151" s="14" t="s">
        <v>1801</v>
      </c>
      <c r="C151" s="14" t="s">
        <v>1181</v>
      </c>
      <c r="D151" s="14" t="s">
        <v>827</v>
      </c>
      <c r="E151" s="14" t="s">
        <v>674</v>
      </c>
      <c r="F151" s="14" t="s">
        <v>2417</v>
      </c>
      <c r="H151" s="14" t="s">
        <v>2413</v>
      </c>
      <c r="I151" s="14" t="s">
        <v>3107</v>
      </c>
      <c r="J151" s="14" t="s">
        <v>585</v>
      </c>
      <c r="K151" s="14" t="s">
        <v>2423</v>
      </c>
      <c r="M151" s="14">
        <v>109</v>
      </c>
      <c r="Q151" s="14">
        <v>54.1</v>
      </c>
      <c r="R151" s="14">
        <v>11.3</v>
      </c>
      <c r="V151" s="14">
        <v>69</v>
      </c>
      <c r="W151" s="14">
        <f t="shared" si="9"/>
        <v>0.6330275229357798</v>
      </c>
      <c r="X151" s="14">
        <v>39.6</v>
      </c>
      <c r="Y151" s="14">
        <v>4.8</v>
      </c>
      <c r="AC151" s="14">
        <v>85</v>
      </c>
      <c r="AD151" s="34">
        <f t="shared" si="10"/>
        <v>0.77981651376146788</v>
      </c>
      <c r="AE151" s="35">
        <v>17.899999999999999</v>
      </c>
      <c r="AF151" s="35">
        <v>8.6999999999999993</v>
      </c>
      <c r="CJ151" s="14" t="s">
        <v>2416</v>
      </c>
      <c r="CQ151" s="14" t="s">
        <v>2415</v>
      </c>
      <c r="CS151" s="14">
        <v>-0.16</v>
      </c>
      <c r="CT151" s="14">
        <f>CS151-1.96*0.01</f>
        <v>-0.17960000000000001</v>
      </c>
      <c r="CU151" s="14">
        <f>CS151+1.96*0.01</f>
        <v>-0.1404</v>
      </c>
      <c r="CV151" s="14" t="s">
        <v>2414</v>
      </c>
      <c r="CW151" s="14" t="s">
        <v>1178</v>
      </c>
      <c r="CX151" s="14" t="s">
        <v>1179</v>
      </c>
      <c r="CY151" s="14">
        <v>2019</v>
      </c>
      <c r="CZ151" s="36">
        <v>45349</v>
      </c>
      <c r="DA151" s="14" t="s">
        <v>61</v>
      </c>
      <c r="DB151" s="14">
        <v>9</v>
      </c>
      <c r="DC151" s="14">
        <v>1</v>
      </c>
      <c r="DD151" s="14" t="s">
        <v>2194</v>
      </c>
      <c r="DE151" s="14" t="s">
        <v>1180</v>
      </c>
    </row>
    <row r="152" spans="1:109">
      <c r="A152" s="14" t="s">
        <v>1801</v>
      </c>
      <c r="C152" s="14" t="s">
        <v>1181</v>
      </c>
      <c r="D152" s="14" t="s">
        <v>827</v>
      </c>
      <c r="E152" s="14" t="s">
        <v>674</v>
      </c>
      <c r="F152" s="14" t="s">
        <v>2418</v>
      </c>
      <c r="H152" s="14" t="s">
        <v>2413</v>
      </c>
      <c r="I152" s="14" t="s">
        <v>3107</v>
      </c>
      <c r="J152" s="14" t="s">
        <v>585</v>
      </c>
      <c r="K152" s="14" t="s">
        <v>2424</v>
      </c>
      <c r="M152" s="14">
        <v>109</v>
      </c>
      <c r="Q152" s="14">
        <v>54.1</v>
      </c>
      <c r="R152" s="14">
        <v>11.3</v>
      </c>
      <c r="V152" s="14">
        <v>69</v>
      </c>
      <c r="W152" s="14">
        <f t="shared" si="9"/>
        <v>0.6330275229357798</v>
      </c>
      <c r="X152" s="14">
        <v>39.6</v>
      </c>
      <c r="Y152" s="14">
        <v>4.8</v>
      </c>
      <c r="AC152" s="14">
        <v>85</v>
      </c>
      <c r="AD152" s="34">
        <f t="shared" si="10"/>
        <v>0.77981651376146788</v>
      </c>
      <c r="AE152" s="35">
        <v>17.899999999999999</v>
      </c>
      <c r="AF152" s="35">
        <v>8.6999999999999993</v>
      </c>
      <c r="CJ152" s="14" t="s">
        <v>2416</v>
      </c>
      <c r="CQ152" s="14" t="s">
        <v>2415</v>
      </c>
      <c r="CS152" s="14">
        <v>-0.02</v>
      </c>
      <c r="CT152" s="14">
        <f>CS152-1.96*0.004</f>
        <v>-2.784E-2</v>
      </c>
      <c r="CU152" s="14">
        <f>CS152+1.96*0.004</f>
        <v>-1.2160000000000001E-2</v>
      </c>
      <c r="CV152" s="14" t="s">
        <v>2414</v>
      </c>
      <c r="CW152" s="14" t="s">
        <v>1178</v>
      </c>
      <c r="CX152" s="14" t="s">
        <v>1179</v>
      </c>
      <c r="CY152" s="14">
        <v>2019</v>
      </c>
      <c r="CZ152" s="36">
        <v>45349</v>
      </c>
      <c r="DA152" s="14" t="s">
        <v>61</v>
      </c>
      <c r="DB152" s="14">
        <v>9</v>
      </c>
      <c r="DC152" s="14">
        <v>1</v>
      </c>
      <c r="DD152" s="14" t="s">
        <v>2194</v>
      </c>
      <c r="DE152" s="14" t="s">
        <v>1180</v>
      </c>
    </row>
    <row r="153" spans="1:109">
      <c r="A153" s="14" t="s">
        <v>1801</v>
      </c>
      <c r="C153" s="14" t="s">
        <v>1181</v>
      </c>
      <c r="D153" s="14" t="s">
        <v>827</v>
      </c>
      <c r="E153" s="14" t="s">
        <v>674</v>
      </c>
      <c r="F153" s="14" t="s">
        <v>2419</v>
      </c>
      <c r="H153" s="14" t="s">
        <v>2413</v>
      </c>
      <c r="I153" s="14" t="s">
        <v>3107</v>
      </c>
      <c r="J153" s="14" t="s">
        <v>585</v>
      </c>
      <c r="K153" s="14" t="s">
        <v>2425</v>
      </c>
      <c r="M153" s="14">
        <v>109</v>
      </c>
      <c r="Q153" s="14">
        <v>54.1</v>
      </c>
      <c r="R153" s="14">
        <v>11.3</v>
      </c>
      <c r="V153" s="14">
        <v>69</v>
      </c>
      <c r="W153" s="14">
        <f t="shared" si="9"/>
        <v>0.6330275229357798</v>
      </c>
      <c r="X153" s="14">
        <v>39.6</v>
      </c>
      <c r="Y153" s="14">
        <v>4.8</v>
      </c>
      <c r="AC153" s="14">
        <v>85</v>
      </c>
      <c r="AD153" s="34">
        <f t="shared" si="10"/>
        <v>0.77981651376146788</v>
      </c>
      <c r="AE153" s="35">
        <v>17.899999999999999</v>
      </c>
      <c r="AF153" s="35">
        <v>8.6999999999999993</v>
      </c>
      <c r="CJ153" s="14" t="s">
        <v>2416</v>
      </c>
      <c r="CQ153" s="14" t="s">
        <v>2415</v>
      </c>
      <c r="CS153" s="14">
        <v>-6.0000000000000001E-3</v>
      </c>
      <c r="CT153" s="14">
        <f>CS153-1.96*0.002</f>
        <v>-9.92E-3</v>
      </c>
      <c r="CU153" s="14">
        <f>CS153+1.96*0.002</f>
        <v>-2.0800000000000003E-3</v>
      </c>
      <c r="CV153" s="14" t="s">
        <v>2414</v>
      </c>
      <c r="CW153" s="14" t="s">
        <v>1178</v>
      </c>
      <c r="CX153" s="14" t="s">
        <v>1179</v>
      </c>
      <c r="CY153" s="14">
        <v>2019</v>
      </c>
      <c r="CZ153" s="36">
        <v>45349</v>
      </c>
      <c r="DA153" s="14" t="s">
        <v>61</v>
      </c>
      <c r="DB153" s="14">
        <v>9</v>
      </c>
      <c r="DC153" s="14">
        <v>1</v>
      </c>
      <c r="DD153" s="14" t="s">
        <v>2194</v>
      </c>
      <c r="DE153" s="14" t="s">
        <v>1180</v>
      </c>
    </row>
    <row r="154" spans="1:109" ht="20">
      <c r="A154" s="13" t="s">
        <v>3374</v>
      </c>
      <c r="B154" s="13"/>
      <c r="C154" s="13" t="s">
        <v>3303</v>
      </c>
      <c r="D154" s="14" t="s">
        <v>830</v>
      </c>
      <c r="E154" s="13" t="s">
        <v>674</v>
      </c>
      <c r="F154" s="13" t="s">
        <v>3716</v>
      </c>
      <c r="G154" s="13"/>
      <c r="H154" s="14" t="s">
        <v>726</v>
      </c>
      <c r="I154" s="13" t="s">
        <v>3717</v>
      </c>
      <c r="J154" s="13" t="s">
        <v>3718</v>
      </c>
      <c r="K154" s="13"/>
      <c r="L154" s="13" t="s">
        <v>3719</v>
      </c>
      <c r="M154" s="13">
        <v>32</v>
      </c>
      <c r="N154" s="13">
        <v>10</v>
      </c>
      <c r="O154" s="15">
        <f>N154/M154</f>
        <v>0.3125</v>
      </c>
      <c r="P154" s="13"/>
      <c r="Q154" s="13">
        <v>55</v>
      </c>
      <c r="R154" s="13">
        <v>8.66</v>
      </c>
      <c r="S154" s="13"/>
      <c r="T154" s="13"/>
      <c r="U154" s="13"/>
      <c r="V154" s="13">
        <v>15</v>
      </c>
      <c r="W154" s="2">
        <f t="shared" si="9"/>
        <v>0.46875</v>
      </c>
      <c r="X154" s="13">
        <v>34.5</v>
      </c>
      <c r="Y154" s="13">
        <v>8.11</v>
      </c>
      <c r="Z154" s="13"/>
      <c r="AA154" s="13"/>
      <c r="AB154" s="13"/>
      <c r="AC154" s="13">
        <v>28</v>
      </c>
      <c r="AD154" s="13">
        <f t="shared" si="10"/>
        <v>0.875</v>
      </c>
      <c r="AE154" s="13">
        <v>14.65</v>
      </c>
      <c r="AF154" s="13">
        <v>8.61</v>
      </c>
      <c r="AG154" s="13"/>
      <c r="AH154" s="13"/>
      <c r="AI154" s="13"/>
      <c r="AJ154" s="13"/>
      <c r="AK154" s="13"/>
      <c r="AL154" s="13"/>
      <c r="AM154" s="13"/>
      <c r="AN154" s="13"/>
      <c r="AO154" s="13"/>
      <c r="AP154" s="13"/>
      <c r="AQ154" s="13"/>
      <c r="AR154" s="13"/>
      <c r="AS154" s="13"/>
      <c r="AT154" s="13"/>
      <c r="AV154" s="13"/>
      <c r="AW154" s="13"/>
      <c r="AX154" s="13"/>
      <c r="AY154" s="13"/>
      <c r="AZ154" s="13"/>
      <c r="BA154" s="16"/>
      <c r="BB154" s="13"/>
      <c r="BC154" s="13"/>
      <c r="BD154" s="13"/>
      <c r="BE154" s="16"/>
      <c r="BF154" s="13"/>
      <c r="BG154" s="13"/>
      <c r="BH154" s="13"/>
      <c r="BI154" s="13"/>
      <c r="BJ154" s="16"/>
      <c r="BK154" s="13"/>
      <c r="BL154" s="13"/>
      <c r="BM154" s="13"/>
      <c r="BN154" s="16" t="s">
        <v>2552</v>
      </c>
      <c r="BO154" s="13"/>
      <c r="BP154" s="13"/>
      <c r="BQ154" s="13">
        <v>-0.61</v>
      </c>
      <c r="BR154" s="13"/>
      <c r="BS154" s="13"/>
      <c r="BT154" s="13"/>
      <c r="BU154" s="13">
        <v>2.0000000000000001E-4</v>
      </c>
      <c r="BV154" s="13"/>
      <c r="BW154" s="13"/>
      <c r="BX154" s="13"/>
      <c r="BY154" s="13"/>
      <c r="BZ154" s="13"/>
      <c r="CA154" s="13"/>
      <c r="CB154" s="13"/>
      <c r="CC154" s="13">
        <v>0.78</v>
      </c>
      <c r="CD154" s="13"/>
      <c r="CE154" s="13"/>
      <c r="CF154" s="13"/>
      <c r="CG154" s="13" t="s">
        <v>701</v>
      </c>
      <c r="CH154" s="13"/>
      <c r="CI154" s="13"/>
      <c r="CJ154" s="13"/>
      <c r="CK154" s="13"/>
      <c r="CL154" s="13"/>
      <c r="CM154" s="13"/>
      <c r="CN154" s="13"/>
      <c r="CO154" s="13"/>
      <c r="CP154" s="13"/>
      <c r="CQ154" s="13"/>
      <c r="CR154" s="13"/>
      <c r="CS154" s="13"/>
      <c r="CT154" s="13"/>
      <c r="CU154" s="13"/>
      <c r="CV154" s="13"/>
      <c r="CW154" s="13" t="s">
        <v>3473</v>
      </c>
      <c r="CX154" s="13" t="s">
        <v>3474</v>
      </c>
      <c r="CY154" s="13">
        <v>2025</v>
      </c>
      <c r="CZ154" s="21">
        <v>45734</v>
      </c>
      <c r="DA154" s="13" t="s">
        <v>3475</v>
      </c>
      <c r="DB154" s="13"/>
      <c r="DC154" s="13"/>
      <c r="DD154" s="13"/>
      <c r="DE154" s="13" t="s">
        <v>3229</v>
      </c>
    </row>
    <row r="155" spans="1:109" ht="20">
      <c r="A155" s="13" t="s">
        <v>3374</v>
      </c>
      <c r="B155" s="13"/>
      <c r="C155" s="13" t="s">
        <v>3303</v>
      </c>
      <c r="D155" s="14" t="s">
        <v>830</v>
      </c>
      <c r="E155" s="13" t="s">
        <v>674</v>
      </c>
      <c r="F155" s="13" t="s">
        <v>3720</v>
      </c>
      <c r="G155" s="13"/>
      <c r="H155" s="14" t="s">
        <v>726</v>
      </c>
      <c r="I155" s="13" t="s">
        <v>3717</v>
      </c>
      <c r="J155" s="13" t="s">
        <v>3718</v>
      </c>
      <c r="K155" s="13"/>
      <c r="L155" s="13" t="s">
        <v>3719</v>
      </c>
      <c r="M155" s="13">
        <v>32</v>
      </c>
      <c r="N155" s="13">
        <v>10</v>
      </c>
      <c r="O155" s="15">
        <f>N155/M155</f>
        <v>0.3125</v>
      </c>
      <c r="P155" s="13"/>
      <c r="Q155" s="13">
        <v>55</v>
      </c>
      <c r="R155" s="13">
        <v>8.66</v>
      </c>
      <c r="S155" s="13"/>
      <c r="T155" s="13"/>
      <c r="U155" s="13"/>
      <c r="V155" s="13">
        <v>15</v>
      </c>
      <c r="W155" s="2">
        <f t="shared" si="9"/>
        <v>0.46875</v>
      </c>
      <c r="X155" s="13">
        <v>34.5</v>
      </c>
      <c r="Y155" s="13">
        <v>8.11</v>
      </c>
      <c r="Z155" s="13"/>
      <c r="AA155" s="13"/>
      <c r="AB155" s="13"/>
      <c r="AC155" s="13">
        <v>28</v>
      </c>
      <c r="AD155" s="13">
        <f t="shared" si="10"/>
        <v>0.875</v>
      </c>
      <c r="AE155" s="13">
        <v>14.65</v>
      </c>
      <c r="AF155" s="13">
        <v>8.61</v>
      </c>
      <c r="AG155" s="13"/>
      <c r="AH155" s="13"/>
      <c r="AI155" s="13"/>
      <c r="AJ155" s="13"/>
      <c r="AK155" s="13"/>
      <c r="AL155" s="13"/>
      <c r="AM155" s="13"/>
      <c r="AN155" s="13"/>
      <c r="AO155" s="13"/>
      <c r="AP155" s="13"/>
      <c r="AQ155" s="13"/>
      <c r="AR155" s="13"/>
      <c r="AS155" s="13"/>
      <c r="AT155" s="13"/>
      <c r="AV155" s="13"/>
      <c r="AW155" s="13"/>
      <c r="AX155" s="13"/>
      <c r="AY155" s="13"/>
      <c r="AZ155" s="13"/>
      <c r="BA155" s="16"/>
      <c r="BB155" s="13"/>
      <c r="BC155" s="13"/>
      <c r="BD155" s="13"/>
      <c r="BE155" s="16"/>
      <c r="BF155" s="13"/>
      <c r="BG155" s="13"/>
      <c r="BH155" s="13"/>
      <c r="BI155" s="13"/>
      <c r="BJ155" s="16"/>
      <c r="BK155" s="13"/>
      <c r="BL155" s="13"/>
      <c r="BM155" s="13"/>
      <c r="BN155" s="16" t="s">
        <v>2552</v>
      </c>
      <c r="BO155" s="13"/>
      <c r="BP155" s="13"/>
      <c r="BQ155" s="13">
        <v>0.61</v>
      </c>
      <c r="BR155" s="13"/>
      <c r="BS155" s="13"/>
      <c r="BT155" s="13"/>
      <c r="BU155" s="13">
        <v>2.0000000000000001E-4</v>
      </c>
      <c r="BV155" s="13"/>
      <c r="BW155" s="13"/>
      <c r="BX155" s="13"/>
      <c r="BY155" s="13"/>
      <c r="BZ155" s="13"/>
      <c r="CA155" s="13"/>
      <c r="CB155" s="13"/>
      <c r="CC155" s="13">
        <v>-0.81</v>
      </c>
      <c r="CD155" s="13"/>
      <c r="CE155" s="13"/>
      <c r="CF155" s="13"/>
      <c r="CG155" s="13" t="s">
        <v>701</v>
      </c>
      <c r="CH155" s="13"/>
      <c r="CI155" s="13"/>
      <c r="CJ155" s="13"/>
      <c r="CK155" s="13"/>
      <c r="CL155" s="13"/>
      <c r="CM155" s="13"/>
      <c r="CN155" s="13"/>
      <c r="CO155" s="13"/>
      <c r="CP155" s="13"/>
      <c r="CQ155" s="13"/>
      <c r="CR155" s="13"/>
      <c r="CS155" s="13"/>
      <c r="CT155" s="13"/>
      <c r="CU155" s="13"/>
      <c r="CV155" s="13"/>
      <c r="CW155" s="13" t="s">
        <v>3473</v>
      </c>
      <c r="CX155" s="13" t="s">
        <v>3474</v>
      </c>
      <c r="CY155" s="13">
        <v>2025</v>
      </c>
      <c r="CZ155" s="21">
        <v>45734</v>
      </c>
      <c r="DA155" s="13" t="s">
        <v>3475</v>
      </c>
      <c r="DB155" s="13"/>
      <c r="DC155" s="13"/>
      <c r="DD155" s="13"/>
      <c r="DE155" s="13" t="s">
        <v>3229</v>
      </c>
    </row>
    <row r="156" spans="1:109" ht="20">
      <c r="A156" s="13" t="s">
        <v>3374</v>
      </c>
      <c r="B156" s="13"/>
      <c r="C156" s="13" t="s">
        <v>3303</v>
      </c>
      <c r="D156" s="14" t="s">
        <v>830</v>
      </c>
      <c r="E156" s="13" t="s">
        <v>674</v>
      </c>
      <c r="F156" s="13" t="s">
        <v>2724</v>
      </c>
      <c r="G156" s="13"/>
      <c r="H156" s="14" t="s">
        <v>726</v>
      </c>
      <c r="I156" s="13" t="s">
        <v>3717</v>
      </c>
      <c r="J156" s="13" t="s">
        <v>585</v>
      </c>
      <c r="K156" s="13"/>
      <c r="L156" s="13" t="s">
        <v>639</v>
      </c>
      <c r="M156" s="13">
        <v>32</v>
      </c>
      <c r="N156" s="13">
        <v>10</v>
      </c>
      <c r="O156" s="15">
        <f>N156/M156</f>
        <v>0.3125</v>
      </c>
      <c r="P156" s="13"/>
      <c r="Q156" s="13">
        <v>55</v>
      </c>
      <c r="R156" s="13">
        <v>8.66</v>
      </c>
      <c r="S156" s="13"/>
      <c r="T156" s="13"/>
      <c r="U156" s="13"/>
      <c r="V156" s="13">
        <v>15</v>
      </c>
      <c r="W156" s="2">
        <f t="shared" si="9"/>
        <v>0.46875</v>
      </c>
      <c r="X156" s="13">
        <v>34.5</v>
      </c>
      <c r="Y156" s="13">
        <v>8.11</v>
      </c>
      <c r="Z156" s="13"/>
      <c r="AA156" s="13"/>
      <c r="AB156" s="13"/>
      <c r="AC156" s="13">
        <v>28</v>
      </c>
      <c r="AD156" s="13">
        <f t="shared" si="10"/>
        <v>0.875</v>
      </c>
      <c r="AE156" s="13">
        <v>14.65</v>
      </c>
      <c r="AF156" s="13">
        <v>8.61</v>
      </c>
      <c r="AG156" s="13"/>
      <c r="AH156" s="13"/>
      <c r="AI156" s="13"/>
      <c r="AJ156" s="13"/>
      <c r="AK156" s="13"/>
      <c r="AL156" s="13"/>
      <c r="AM156" s="13"/>
      <c r="AN156" s="13"/>
      <c r="AO156" s="13"/>
      <c r="AP156" s="13"/>
      <c r="AQ156" s="13"/>
      <c r="AR156" s="13"/>
      <c r="AS156" s="13"/>
      <c r="AT156" s="13"/>
      <c r="AV156" s="13"/>
      <c r="AW156" s="13"/>
      <c r="AX156" s="13"/>
      <c r="AY156" s="13"/>
      <c r="AZ156" s="13"/>
      <c r="BA156" s="16"/>
      <c r="BB156" s="13"/>
      <c r="BC156" s="13"/>
      <c r="BD156" s="13"/>
      <c r="BE156" s="16"/>
      <c r="BF156" s="13"/>
      <c r="BG156" s="13"/>
      <c r="BH156" s="13"/>
      <c r="BI156" s="13"/>
      <c r="BJ156" s="16"/>
      <c r="BK156" s="13"/>
      <c r="BL156" s="13"/>
      <c r="BM156" s="13"/>
      <c r="BN156" s="16" t="s">
        <v>2552</v>
      </c>
      <c r="BO156" s="13"/>
      <c r="BP156" s="13"/>
      <c r="BQ156" s="13">
        <v>0.55000000000000004</v>
      </c>
      <c r="BR156" s="13"/>
      <c r="BS156" s="13"/>
      <c r="BT156" s="13"/>
      <c r="BU156" s="13">
        <v>8.9999999999999998E-4</v>
      </c>
      <c r="BV156" s="13"/>
      <c r="BW156" s="13"/>
      <c r="BX156" s="13"/>
      <c r="BY156" s="13"/>
      <c r="BZ156" s="13"/>
      <c r="CA156" s="13"/>
      <c r="CB156" s="13"/>
      <c r="CC156" s="13">
        <v>-0.79</v>
      </c>
      <c r="CD156" s="13"/>
      <c r="CE156" s="13"/>
      <c r="CF156" s="13"/>
      <c r="CG156" s="13" t="s">
        <v>701</v>
      </c>
      <c r="CH156" s="13"/>
      <c r="CI156" s="13"/>
      <c r="CJ156" s="13"/>
      <c r="CK156" s="13"/>
      <c r="CL156" s="13"/>
      <c r="CM156" s="13"/>
      <c r="CN156" s="13"/>
      <c r="CO156" s="13"/>
      <c r="CP156" s="13"/>
      <c r="CQ156" s="13"/>
      <c r="CR156" s="13"/>
      <c r="CS156" s="13"/>
      <c r="CT156" s="13"/>
      <c r="CU156" s="13"/>
      <c r="CV156" s="13"/>
      <c r="CW156" s="13" t="s">
        <v>3473</v>
      </c>
      <c r="CX156" s="13" t="s">
        <v>3474</v>
      </c>
      <c r="CY156" s="13">
        <v>2025</v>
      </c>
      <c r="CZ156" s="21">
        <v>45734</v>
      </c>
      <c r="DA156" s="13" t="s">
        <v>3475</v>
      </c>
      <c r="DB156" s="13"/>
      <c r="DC156" s="13"/>
      <c r="DD156" s="13"/>
      <c r="DE156" s="13" t="s">
        <v>3229</v>
      </c>
    </row>
    <row r="157" spans="1:109" ht="20">
      <c r="A157" s="14" t="s">
        <v>1802</v>
      </c>
      <c r="C157" s="14" t="s">
        <v>1186</v>
      </c>
      <c r="D157" s="14" t="s">
        <v>830</v>
      </c>
      <c r="E157" s="14" t="s">
        <v>674</v>
      </c>
      <c r="F157" s="14" t="s">
        <v>2420</v>
      </c>
      <c r="H157" s="14" t="s">
        <v>703</v>
      </c>
      <c r="I157" s="14" t="s">
        <v>3108</v>
      </c>
      <c r="J157" s="14" t="s">
        <v>2428</v>
      </c>
      <c r="K157" s="13" t="s">
        <v>2427</v>
      </c>
      <c r="L157" s="14" t="s">
        <v>641</v>
      </c>
      <c r="M157" s="14">
        <v>18</v>
      </c>
      <c r="Q157" s="14">
        <v>62.72</v>
      </c>
      <c r="R157" s="14">
        <v>8.82</v>
      </c>
      <c r="S157" s="14">
        <v>63.5</v>
      </c>
      <c r="T157" s="14">
        <v>56</v>
      </c>
      <c r="U157" s="14">
        <v>69</v>
      </c>
      <c r="V157" s="14">
        <v>10</v>
      </c>
      <c r="W157" s="14">
        <f t="shared" si="9"/>
        <v>0.55555555555555558</v>
      </c>
      <c r="X157" s="14">
        <v>39.39</v>
      </c>
      <c r="Y157" s="14">
        <v>6.45</v>
      </c>
      <c r="Z157" s="14">
        <v>42</v>
      </c>
      <c r="AA157" s="14">
        <v>35</v>
      </c>
      <c r="AB157" s="14">
        <v>43</v>
      </c>
      <c r="AC157" s="14">
        <v>14</v>
      </c>
      <c r="AD157" s="34">
        <f t="shared" si="10"/>
        <v>0.77777777777777779</v>
      </c>
      <c r="AE157" s="35">
        <v>10.94</v>
      </c>
      <c r="AF157" s="35">
        <v>4.9400000000000004</v>
      </c>
      <c r="AG157" s="35">
        <v>10</v>
      </c>
      <c r="AH157" s="35">
        <v>7</v>
      </c>
      <c r="AI157" s="35">
        <v>12</v>
      </c>
      <c r="BN157" s="27" t="s">
        <v>2552</v>
      </c>
      <c r="CW157" s="14" t="s">
        <v>1182</v>
      </c>
      <c r="CX157" s="14" t="s">
        <v>1183</v>
      </c>
      <c r="CY157" s="14">
        <v>2023</v>
      </c>
      <c r="CZ157" s="36">
        <v>45371</v>
      </c>
      <c r="DA157" s="14" t="s">
        <v>1184</v>
      </c>
      <c r="DB157" s="14">
        <v>226</v>
      </c>
      <c r="DD157" s="14" t="s">
        <v>2192</v>
      </c>
      <c r="DE157" s="14" t="s">
        <v>1185</v>
      </c>
    </row>
    <row r="158" spans="1:109">
      <c r="A158" s="14" t="s">
        <v>1803</v>
      </c>
      <c r="C158" s="14" t="s">
        <v>1193</v>
      </c>
      <c r="D158" s="14" t="s">
        <v>898</v>
      </c>
      <c r="E158" s="14" t="s">
        <v>672</v>
      </c>
      <c r="F158" s="14" t="s">
        <v>653</v>
      </c>
      <c r="H158" s="14" t="s">
        <v>2429</v>
      </c>
      <c r="I158" s="14" t="s">
        <v>4065</v>
      </c>
      <c r="J158" s="14" t="s">
        <v>2430</v>
      </c>
      <c r="M158" s="14">
        <v>24</v>
      </c>
      <c r="N158" s="14">
        <v>0</v>
      </c>
      <c r="S158" s="14">
        <v>64</v>
      </c>
      <c r="V158" s="14">
        <v>13</v>
      </c>
      <c r="W158" s="14">
        <f t="shared" si="9"/>
        <v>0.54166666666666663</v>
      </c>
      <c r="Z158" s="14">
        <v>42.5</v>
      </c>
      <c r="AC158" s="14">
        <v>13</v>
      </c>
      <c r="AD158" s="34">
        <f t="shared" si="10"/>
        <v>0.54166666666666663</v>
      </c>
      <c r="AG158" s="35">
        <v>12</v>
      </c>
      <c r="BN158" s="27" t="s">
        <v>2552</v>
      </c>
      <c r="BQ158" s="14">
        <v>0.34799999999999998</v>
      </c>
      <c r="BU158" s="14" t="s">
        <v>760</v>
      </c>
      <c r="CC158" s="14">
        <v>0.31900000000000001</v>
      </c>
      <c r="CG158" s="14" t="s">
        <v>769</v>
      </c>
      <c r="CW158" s="14" t="s">
        <v>1187</v>
      </c>
      <c r="CX158" s="14" t="s">
        <v>1188</v>
      </c>
      <c r="CY158" s="14">
        <v>2023</v>
      </c>
      <c r="CZ158" s="36" t="s">
        <v>1189</v>
      </c>
      <c r="DA158" s="14" t="s">
        <v>1190</v>
      </c>
      <c r="DB158" s="14">
        <v>71</v>
      </c>
      <c r="DC158" s="14">
        <v>4</v>
      </c>
      <c r="DD158" s="14" t="s">
        <v>1191</v>
      </c>
      <c r="DE158" s="14" t="s">
        <v>1192</v>
      </c>
    </row>
    <row r="159" spans="1:109">
      <c r="A159" s="14" t="s">
        <v>1803</v>
      </c>
      <c r="C159" s="14" t="s">
        <v>1193</v>
      </c>
      <c r="D159" s="14" t="s">
        <v>898</v>
      </c>
      <c r="E159" s="14" t="s">
        <v>672</v>
      </c>
      <c r="F159" s="14" t="s">
        <v>2431</v>
      </c>
      <c r="H159" s="14" t="s">
        <v>2429</v>
      </c>
      <c r="I159" s="14" t="s">
        <v>3109</v>
      </c>
      <c r="J159" s="14" t="s">
        <v>2430</v>
      </c>
      <c r="M159" s="14">
        <v>24</v>
      </c>
      <c r="N159" s="14">
        <v>0</v>
      </c>
      <c r="S159" s="14">
        <v>64</v>
      </c>
      <c r="V159" s="14">
        <v>13</v>
      </c>
      <c r="W159" s="14">
        <f t="shared" si="9"/>
        <v>0.54166666666666663</v>
      </c>
      <c r="Z159" s="14">
        <v>42.5</v>
      </c>
      <c r="AC159" s="14">
        <v>13</v>
      </c>
      <c r="AD159" s="34">
        <f t="shared" si="10"/>
        <v>0.54166666666666663</v>
      </c>
      <c r="AG159" s="35">
        <v>12</v>
      </c>
      <c r="BN159" s="27" t="s">
        <v>2552</v>
      </c>
      <c r="BQ159" s="14">
        <v>0.42499999999999999</v>
      </c>
      <c r="BU159" s="14" t="s">
        <v>760</v>
      </c>
      <c r="CC159" s="14">
        <v>0.61799999999999999</v>
      </c>
      <c r="CG159" s="14" t="s">
        <v>635</v>
      </c>
      <c r="CW159" s="14" t="s">
        <v>1187</v>
      </c>
      <c r="CX159" s="14" t="s">
        <v>1188</v>
      </c>
      <c r="CY159" s="14">
        <v>2023</v>
      </c>
      <c r="CZ159" s="36" t="s">
        <v>1189</v>
      </c>
      <c r="DA159" s="14" t="s">
        <v>1190</v>
      </c>
      <c r="DB159" s="14">
        <v>71</v>
      </c>
      <c r="DC159" s="14">
        <v>4</v>
      </c>
      <c r="DD159" s="14" t="s">
        <v>1191</v>
      </c>
      <c r="DE159" s="14" t="s">
        <v>1192</v>
      </c>
    </row>
    <row r="160" spans="1:109">
      <c r="A160" s="14" t="s">
        <v>1804</v>
      </c>
      <c r="B160" s="14" t="s">
        <v>1686</v>
      </c>
      <c r="C160" s="14" t="s">
        <v>159</v>
      </c>
      <c r="D160" s="14" t="s">
        <v>830</v>
      </c>
      <c r="E160" s="14" t="s">
        <v>673</v>
      </c>
      <c r="F160" s="14" t="s">
        <v>777</v>
      </c>
      <c r="H160" s="14" t="s">
        <v>703</v>
      </c>
      <c r="I160" s="14" t="s">
        <v>3110</v>
      </c>
      <c r="J160" s="14" t="s">
        <v>1983</v>
      </c>
      <c r="L160" s="14" t="s">
        <v>743</v>
      </c>
      <c r="M160" s="14">
        <v>27</v>
      </c>
      <c r="N160" s="14">
        <v>3</v>
      </c>
      <c r="O160" s="34">
        <v>0.11111111111111099</v>
      </c>
      <c r="Q160" s="14">
        <v>56.6</v>
      </c>
      <c r="R160" s="14">
        <v>10.9</v>
      </c>
      <c r="V160" s="14">
        <v>17</v>
      </c>
      <c r="W160" s="14">
        <f t="shared" si="9"/>
        <v>0.62962962962962965</v>
      </c>
      <c r="X160" s="14">
        <v>60.6</v>
      </c>
      <c r="Y160" s="14">
        <v>13.1</v>
      </c>
      <c r="CV160" s="14" t="s">
        <v>2436</v>
      </c>
      <c r="CW160" s="14" t="s">
        <v>155</v>
      </c>
      <c r="CX160" s="14" t="s">
        <v>156</v>
      </c>
      <c r="CY160" s="14">
        <v>2021</v>
      </c>
      <c r="CZ160" s="36">
        <v>45302</v>
      </c>
      <c r="DA160" s="14" t="s">
        <v>157</v>
      </c>
      <c r="DB160" s="14">
        <v>7</v>
      </c>
      <c r="DC160" s="14">
        <v>1</v>
      </c>
      <c r="DD160" s="14" t="s">
        <v>2191</v>
      </c>
      <c r="DE160" s="14" t="s">
        <v>158</v>
      </c>
    </row>
    <row r="161" spans="1:109" ht="20">
      <c r="A161" s="13" t="s">
        <v>1687</v>
      </c>
      <c r="B161" s="13" t="s">
        <v>1687</v>
      </c>
      <c r="C161" s="13" t="s">
        <v>165</v>
      </c>
      <c r="D161" s="13" t="s">
        <v>830</v>
      </c>
      <c r="E161" s="14" t="s">
        <v>702</v>
      </c>
      <c r="F161" s="14" t="s">
        <v>748</v>
      </c>
      <c r="H161" s="13" t="s">
        <v>745</v>
      </c>
      <c r="I161" s="14" t="s">
        <v>3179</v>
      </c>
      <c r="J161" s="13" t="s">
        <v>1974</v>
      </c>
      <c r="K161" s="13" t="s">
        <v>747</v>
      </c>
      <c r="M161" s="14">
        <v>60</v>
      </c>
      <c r="N161" s="13"/>
      <c r="O161" s="15"/>
      <c r="P161" s="13"/>
      <c r="Q161" s="13">
        <v>67</v>
      </c>
      <c r="R161" s="13"/>
      <c r="S161" s="13"/>
      <c r="T161" s="13"/>
      <c r="U161" s="13"/>
      <c r="Z161" s="14">
        <v>34</v>
      </c>
      <c r="AC161" s="14">
        <v>45</v>
      </c>
      <c r="AD161" s="34">
        <f t="shared" ref="AD161:AD169" si="11">AC161/M161</f>
        <v>0.75</v>
      </c>
      <c r="AG161" s="35">
        <f t="shared" ref="AG161:AG167" si="12">1.5*12</f>
        <v>18</v>
      </c>
      <c r="AL161" s="35">
        <f t="shared" ref="AL161:AL167" si="13">2*12</f>
        <v>24</v>
      </c>
      <c r="CW161" s="13" t="s">
        <v>160</v>
      </c>
      <c r="CX161" s="13" t="s">
        <v>161</v>
      </c>
      <c r="CY161" s="13">
        <v>2019</v>
      </c>
      <c r="CZ161" s="13" t="s">
        <v>162</v>
      </c>
      <c r="DA161" s="13" t="s">
        <v>120</v>
      </c>
      <c r="DB161" s="13">
        <v>56</v>
      </c>
      <c r="DC161" s="13">
        <v>12</v>
      </c>
      <c r="DD161" s="13" t="s">
        <v>163</v>
      </c>
      <c r="DE161" s="13" t="s">
        <v>164</v>
      </c>
    </row>
    <row r="162" spans="1:109" ht="20">
      <c r="A162" s="13" t="s">
        <v>1687</v>
      </c>
      <c r="B162" s="13" t="s">
        <v>1687</v>
      </c>
      <c r="C162" s="13" t="s">
        <v>165</v>
      </c>
      <c r="D162" s="13" t="s">
        <v>830</v>
      </c>
      <c r="E162" s="14" t="s">
        <v>702</v>
      </c>
      <c r="F162" s="14" t="s">
        <v>751</v>
      </c>
      <c r="H162" s="13" t="s">
        <v>745</v>
      </c>
      <c r="I162" s="14" t="s">
        <v>3179</v>
      </c>
      <c r="J162" s="13" t="s">
        <v>1974</v>
      </c>
      <c r="K162" s="13" t="s">
        <v>747</v>
      </c>
      <c r="M162" s="14">
        <v>60</v>
      </c>
      <c r="N162" s="13"/>
      <c r="O162" s="15"/>
      <c r="P162" s="13"/>
      <c r="Q162" s="13">
        <v>67</v>
      </c>
      <c r="R162" s="13"/>
      <c r="S162" s="13"/>
      <c r="T162" s="13"/>
      <c r="U162" s="13"/>
      <c r="Z162" s="14">
        <v>34</v>
      </c>
      <c r="AC162" s="14">
        <v>45</v>
      </c>
      <c r="AD162" s="34">
        <f t="shared" si="11"/>
        <v>0.75</v>
      </c>
      <c r="AG162" s="35">
        <f t="shared" si="12"/>
        <v>18</v>
      </c>
      <c r="AL162" s="35">
        <f t="shared" si="13"/>
        <v>24</v>
      </c>
      <c r="CW162" s="13" t="s">
        <v>160</v>
      </c>
      <c r="CX162" s="13" t="s">
        <v>161</v>
      </c>
      <c r="CY162" s="13">
        <v>2019</v>
      </c>
      <c r="CZ162" s="13" t="s">
        <v>162</v>
      </c>
      <c r="DA162" s="13" t="s">
        <v>120</v>
      </c>
      <c r="DB162" s="13">
        <v>56</v>
      </c>
      <c r="DC162" s="13">
        <v>12</v>
      </c>
      <c r="DD162" s="13" t="s">
        <v>163</v>
      </c>
      <c r="DE162" s="13" t="s">
        <v>164</v>
      </c>
    </row>
    <row r="163" spans="1:109" ht="20">
      <c r="A163" s="13" t="s">
        <v>1687</v>
      </c>
      <c r="B163" s="13" t="s">
        <v>1687</v>
      </c>
      <c r="C163" s="13" t="s">
        <v>165</v>
      </c>
      <c r="D163" s="13" t="s">
        <v>830</v>
      </c>
      <c r="E163" s="14" t="s">
        <v>702</v>
      </c>
      <c r="F163" s="14" t="s">
        <v>752</v>
      </c>
      <c r="H163" s="13" t="s">
        <v>745</v>
      </c>
      <c r="I163" s="14" t="s">
        <v>3179</v>
      </c>
      <c r="J163" s="13" t="s">
        <v>1974</v>
      </c>
      <c r="K163" s="13" t="s">
        <v>747</v>
      </c>
      <c r="M163" s="14">
        <v>60</v>
      </c>
      <c r="N163" s="13"/>
      <c r="O163" s="15"/>
      <c r="P163" s="13"/>
      <c r="Q163" s="13">
        <v>67</v>
      </c>
      <c r="R163" s="13"/>
      <c r="S163" s="13"/>
      <c r="T163" s="13"/>
      <c r="U163" s="13"/>
      <c r="Z163" s="14">
        <v>34</v>
      </c>
      <c r="AC163" s="14">
        <v>45</v>
      </c>
      <c r="AD163" s="34">
        <f t="shared" si="11"/>
        <v>0.75</v>
      </c>
      <c r="AG163" s="35">
        <f t="shared" si="12"/>
        <v>18</v>
      </c>
      <c r="AL163" s="35">
        <f t="shared" si="13"/>
        <v>24</v>
      </c>
      <c r="CW163" s="13" t="s">
        <v>160</v>
      </c>
      <c r="CX163" s="13" t="s">
        <v>161</v>
      </c>
      <c r="CY163" s="13">
        <v>2019</v>
      </c>
      <c r="CZ163" s="13" t="s">
        <v>162</v>
      </c>
      <c r="DA163" s="13" t="s">
        <v>120</v>
      </c>
      <c r="DB163" s="13">
        <v>56</v>
      </c>
      <c r="DC163" s="13">
        <v>12</v>
      </c>
      <c r="DD163" s="13" t="s">
        <v>163</v>
      </c>
      <c r="DE163" s="13" t="s">
        <v>164</v>
      </c>
    </row>
    <row r="164" spans="1:109" ht="20">
      <c r="A164" s="13" t="s">
        <v>1687</v>
      </c>
      <c r="B164" s="13" t="s">
        <v>1687</v>
      </c>
      <c r="C164" s="13" t="s">
        <v>165</v>
      </c>
      <c r="D164" s="13" t="s">
        <v>830</v>
      </c>
      <c r="E164" s="14" t="s">
        <v>702</v>
      </c>
      <c r="F164" s="14" t="s">
        <v>753</v>
      </c>
      <c r="H164" s="13" t="s">
        <v>745</v>
      </c>
      <c r="I164" s="14" t="s">
        <v>3179</v>
      </c>
      <c r="J164" s="13" t="s">
        <v>1974</v>
      </c>
      <c r="K164" s="13" t="s">
        <v>747</v>
      </c>
      <c r="M164" s="14">
        <v>60</v>
      </c>
      <c r="N164" s="13"/>
      <c r="O164" s="15"/>
      <c r="P164" s="13"/>
      <c r="Q164" s="13">
        <v>67</v>
      </c>
      <c r="R164" s="13"/>
      <c r="S164" s="13"/>
      <c r="T164" s="13"/>
      <c r="U164" s="13"/>
      <c r="Z164" s="14">
        <v>34</v>
      </c>
      <c r="AC164" s="14">
        <v>45</v>
      </c>
      <c r="AD164" s="34">
        <f t="shared" si="11"/>
        <v>0.75</v>
      </c>
      <c r="AG164" s="35">
        <f t="shared" si="12"/>
        <v>18</v>
      </c>
      <c r="AL164" s="35">
        <f t="shared" si="13"/>
        <v>24</v>
      </c>
      <c r="CW164" s="13" t="s">
        <v>160</v>
      </c>
      <c r="CX164" s="13" t="s">
        <v>161</v>
      </c>
      <c r="CY164" s="13">
        <v>2019</v>
      </c>
      <c r="CZ164" s="13" t="s">
        <v>162</v>
      </c>
      <c r="DA164" s="13" t="s">
        <v>120</v>
      </c>
      <c r="DB164" s="13">
        <v>56</v>
      </c>
      <c r="DC164" s="13">
        <v>12</v>
      </c>
      <c r="DD164" s="13" t="s">
        <v>163</v>
      </c>
      <c r="DE164" s="13" t="s">
        <v>164</v>
      </c>
    </row>
    <row r="165" spans="1:109" ht="20">
      <c r="A165" s="13" t="s">
        <v>1687</v>
      </c>
      <c r="B165" s="13" t="s">
        <v>1687</v>
      </c>
      <c r="C165" s="13" t="s">
        <v>165</v>
      </c>
      <c r="D165" s="13" t="s">
        <v>830</v>
      </c>
      <c r="E165" s="14" t="s">
        <v>702</v>
      </c>
      <c r="F165" s="14" t="s">
        <v>754</v>
      </c>
      <c r="H165" s="13" t="s">
        <v>745</v>
      </c>
      <c r="I165" s="14" t="s">
        <v>3179</v>
      </c>
      <c r="J165" s="13" t="s">
        <v>1974</v>
      </c>
      <c r="K165" s="13" t="s">
        <v>747</v>
      </c>
      <c r="M165" s="14">
        <v>60</v>
      </c>
      <c r="N165" s="13"/>
      <c r="O165" s="15"/>
      <c r="P165" s="13"/>
      <c r="Q165" s="13">
        <v>67</v>
      </c>
      <c r="R165" s="13"/>
      <c r="S165" s="13"/>
      <c r="T165" s="13"/>
      <c r="U165" s="13"/>
      <c r="Z165" s="14">
        <v>34</v>
      </c>
      <c r="AC165" s="14">
        <v>45</v>
      </c>
      <c r="AD165" s="34">
        <f t="shared" si="11"/>
        <v>0.75</v>
      </c>
      <c r="AG165" s="35">
        <f t="shared" si="12"/>
        <v>18</v>
      </c>
      <c r="AL165" s="35">
        <f t="shared" si="13"/>
        <v>24</v>
      </c>
      <c r="CW165" s="13" t="s">
        <v>160</v>
      </c>
      <c r="CX165" s="13" t="s">
        <v>161</v>
      </c>
      <c r="CY165" s="13">
        <v>2019</v>
      </c>
      <c r="CZ165" s="13" t="s">
        <v>162</v>
      </c>
      <c r="DA165" s="13" t="s">
        <v>120</v>
      </c>
      <c r="DB165" s="13">
        <v>56</v>
      </c>
      <c r="DC165" s="13">
        <v>12</v>
      </c>
      <c r="DD165" s="13" t="s">
        <v>163</v>
      </c>
      <c r="DE165" s="13" t="s">
        <v>164</v>
      </c>
    </row>
    <row r="166" spans="1:109" ht="20">
      <c r="A166" s="13" t="s">
        <v>1687</v>
      </c>
      <c r="B166" s="13" t="s">
        <v>1687</v>
      </c>
      <c r="C166" s="13" t="s">
        <v>165</v>
      </c>
      <c r="D166" s="13" t="s">
        <v>830</v>
      </c>
      <c r="E166" s="14" t="s">
        <v>702</v>
      </c>
      <c r="F166" s="14" t="s">
        <v>755</v>
      </c>
      <c r="H166" s="13" t="s">
        <v>745</v>
      </c>
      <c r="I166" s="14" t="s">
        <v>3179</v>
      </c>
      <c r="J166" s="13" t="s">
        <v>1974</v>
      </c>
      <c r="K166" s="13" t="s">
        <v>747</v>
      </c>
      <c r="M166" s="14">
        <v>60</v>
      </c>
      <c r="N166" s="13"/>
      <c r="O166" s="15"/>
      <c r="P166" s="13"/>
      <c r="Q166" s="13">
        <v>67</v>
      </c>
      <c r="R166" s="13"/>
      <c r="S166" s="13"/>
      <c r="T166" s="13"/>
      <c r="U166" s="13"/>
      <c r="Z166" s="14">
        <v>34</v>
      </c>
      <c r="AC166" s="14">
        <v>45</v>
      </c>
      <c r="AD166" s="34">
        <f t="shared" si="11"/>
        <v>0.75</v>
      </c>
      <c r="AG166" s="35">
        <f t="shared" si="12"/>
        <v>18</v>
      </c>
      <c r="AL166" s="35">
        <f t="shared" si="13"/>
        <v>24</v>
      </c>
      <c r="CW166" s="13" t="s">
        <v>160</v>
      </c>
      <c r="CX166" s="13" t="s">
        <v>161</v>
      </c>
      <c r="CY166" s="13">
        <v>2019</v>
      </c>
      <c r="CZ166" s="13" t="s">
        <v>162</v>
      </c>
      <c r="DA166" s="13" t="s">
        <v>120</v>
      </c>
      <c r="DB166" s="13">
        <v>56</v>
      </c>
      <c r="DC166" s="13">
        <v>12</v>
      </c>
      <c r="DD166" s="13" t="s">
        <v>163</v>
      </c>
      <c r="DE166" s="13" t="s">
        <v>164</v>
      </c>
    </row>
    <row r="167" spans="1:109" ht="20">
      <c r="A167" s="13" t="s">
        <v>1687</v>
      </c>
      <c r="B167" s="13" t="s">
        <v>1687</v>
      </c>
      <c r="C167" s="13" t="s">
        <v>165</v>
      </c>
      <c r="D167" s="13" t="s">
        <v>830</v>
      </c>
      <c r="E167" s="14" t="s">
        <v>702</v>
      </c>
      <c r="F167" s="14" t="s">
        <v>756</v>
      </c>
      <c r="H167" s="13" t="s">
        <v>745</v>
      </c>
      <c r="I167" s="14" t="s">
        <v>3179</v>
      </c>
      <c r="J167" s="13" t="s">
        <v>1974</v>
      </c>
      <c r="K167" s="13" t="s">
        <v>747</v>
      </c>
      <c r="M167" s="14">
        <v>60</v>
      </c>
      <c r="N167" s="13"/>
      <c r="O167" s="15"/>
      <c r="P167" s="13"/>
      <c r="Q167" s="13">
        <v>67</v>
      </c>
      <c r="R167" s="13"/>
      <c r="S167" s="13"/>
      <c r="T167" s="13"/>
      <c r="U167" s="13"/>
      <c r="Z167" s="14">
        <v>34</v>
      </c>
      <c r="AC167" s="14">
        <v>45</v>
      </c>
      <c r="AD167" s="34">
        <f t="shared" si="11"/>
        <v>0.75</v>
      </c>
      <c r="AG167" s="35">
        <f t="shared" si="12"/>
        <v>18</v>
      </c>
      <c r="AL167" s="35">
        <f t="shared" si="13"/>
        <v>24</v>
      </c>
      <c r="CW167" s="13" t="s">
        <v>160</v>
      </c>
      <c r="CX167" s="13" t="s">
        <v>161</v>
      </c>
      <c r="CY167" s="13">
        <v>2019</v>
      </c>
      <c r="CZ167" s="13" t="s">
        <v>162</v>
      </c>
      <c r="DA167" s="13" t="s">
        <v>120</v>
      </c>
      <c r="DB167" s="13">
        <v>56</v>
      </c>
      <c r="DC167" s="13">
        <v>12</v>
      </c>
      <c r="DD167" s="13" t="s">
        <v>163</v>
      </c>
      <c r="DE167" s="13" t="s">
        <v>164</v>
      </c>
    </row>
    <row r="168" spans="1:109" ht="20">
      <c r="A168" s="13" t="s">
        <v>3375</v>
      </c>
      <c r="B168" s="16"/>
      <c r="C168" s="13" t="s">
        <v>3304</v>
      </c>
      <c r="D168" s="14" t="s">
        <v>2039</v>
      </c>
      <c r="E168" s="13" t="s">
        <v>673</v>
      </c>
      <c r="F168" s="13" t="s">
        <v>675</v>
      </c>
      <c r="G168" s="13"/>
      <c r="H168" s="14" t="s">
        <v>712</v>
      </c>
      <c r="I168" s="13" t="s">
        <v>3722</v>
      </c>
      <c r="J168" s="13" t="s">
        <v>652</v>
      </c>
      <c r="K168" s="13"/>
      <c r="L168" s="13" t="s">
        <v>639</v>
      </c>
      <c r="M168" s="13">
        <v>131</v>
      </c>
      <c r="N168" s="13"/>
      <c r="O168" s="15"/>
      <c r="P168" s="13"/>
      <c r="Q168" s="13"/>
      <c r="R168" s="13"/>
      <c r="S168" s="13">
        <v>54</v>
      </c>
      <c r="T168" s="13">
        <v>46</v>
      </c>
      <c r="U168" s="13">
        <v>62</v>
      </c>
      <c r="V168" s="13">
        <v>70</v>
      </c>
      <c r="W168" s="2">
        <f>V168/M168</f>
        <v>0.53435114503816794</v>
      </c>
      <c r="X168" s="13"/>
      <c r="Y168" s="13"/>
      <c r="Z168" s="13"/>
      <c r="AA168" s="13"/>
      <c r="AB168" s="13"/>
      <c r="AC168" s="13">
        <v>92</v>
      </c>
      <c r="AD168" s="13">
        <f t="shared" si="11"/>
        <v>0.70229007633587781</v>
      </c>
      <c r="AE168" s="13"/>
      <c r="AF168" s="13"/>
      <c r="AG168" s="13"/>
      <c r="AH168" s="13"/>
      <c r="AI168" s="13"/>
      <c r="AJ168" s="13"/>
      <c r="AK168" s="13"/>
      <c r="AL168" s="13">
        <v>25.5</v>
      </c>
      <c r="AM168" s="13">
        <v>18.25</v>
      </c>
      <c r="AN168" s="13">
        <v>32.75</v>
      </c>
      <c r="AO168" s="13"/>
      <c r="AP168" s="13"/>
      <c r="AQ168" s="13"/>
      <c r="AR168" s="13"/>
      <c r="AS168" s="13"/>
      <c r="AT168" s="13">
        <v>38</v>
      </c>
      <c r="AV168" s="13"/>
      <c r="AW168" s="13"/>
      <c r="AX168" s="13">
        <v>1</v>
      </c>
      <c r="AY168" s="13">
        <v>1</v>
      </c>
      <c r="AZ168" s="13">
        <v>1</v>
      </c>
      <c r="BA168" s="16"/>
      <c r="BB168" s="13"/>
      <c r="BC168" s="13"/>
      <c r="BD168" s="13"/>
      <c r="BE168" s="16" t="s">
        <v>3723</v>
      </c>
      <c r="BF168" s="13"/>
      <c r="BG168" s="13">
        <v>1.01</v>
      </c>
      <c r="BH168" s="13">
        <v>1</v>
      </c>
      <c r="BI168" s="13">
        <v>1.01</v>
      </c>
      <c r="BJ168" s="16"/>
      <c r="BK168" s="13"/>
      <c r="BL168" s="13"/>
      <c r="BM168" s="13"/>
      <c r="BN168" s="16" t="s">
        <v>2231</v>
      </c>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t="s">
        <v>3724</v>
      </c>
      <c r="CK168" s="13">
        <v>0.48630000000000001</v>
      </c>
      <c r="CL168" s="13"/>
      <c r="CM168" s="13"/>
      <c r="CN168" s="13" t="s">
        <v>701</v>
      </c>
      <c r="CO168" s="13"/>
      <c r="CP168" s="13"/>
      <c r="CQ168" s="13"/>
      <c r="CR168" s="13"/>
      <c r="CS168" s="13"/>
      <c r="CT168" s="13"/>
      <c r="CU168" s="13"/>
      <c r="CV168" s="13" t="s">
        <v>3725</v>
      </c>
      <c r="CW168" s="13" t="s">
        <v>3476</v>
      </c>
      <c r="CX168" s="13" t="s">
        <v>3477</v>
      </c>
      <c r="CY168" s="13">
        <v>2025</v>
      </c>
      <c r="CZ168" s="13" t="s">
        <v>73</v>
      </c>
      <c r="DA168" s="13" t="s">
        <v>336</v>
      </c>
      <c r="DB168" s="13">
        <v>15</v>
      </c>
      <c r="DC168" s="13">
        <v>1</v>
      </c>
      <c r="DD168" s="13" t="s">
        <v>3478</v>
      </c>
      <c r="DE168" s="13" t="s">
        <v>3230</v>
      </c>
    </row>
    <row r="169" spans="1:109" ht="20">
      <c r="A169" s="13" t="s">
        <v>3375</v>
      </c>
      <c r="B169" s="16"/>
      <c r="C169" s="13" t="s">
        <v>3304</v>
      </c>
      <c r="D169" s="14" t="s">
        <v>2039</v>
      </c>
      <c r="E169" s="13" t="s">
        <v>672</v>
      </c>
      <c r="F169" s="13" t="s">
        <v>675</v>
      </c>
      <c r="G169" s="13"/>
      <c r="H169" s="14" t="s">
        <v>712</v>
      </c>
      <c r="I169" s="13" t="s">
        <v>3722</v>
      </c>
      <c r="J169" s="13" t="s">
        <v>652</v>
      </c>
      <c r="K169" s="13"/>
      <c r="L169" s="13" t="s">
        <v>641</v>
      </c>
      <c r="M169" s="13">
        <v>80</v>
      </c>
      <c r="N169" s="13"/>
      <c r="O169" s="15"/>
      <c r="P169" s="13"/>
      <c r="Q169" s="13"/>
      <c r="R169" s="13"/>
      <c r="S169" s="13">
        <v>56</v>
      </c>
      <c r="T169" s="13">
        <v>47</v>
      </c>
      <c r="U169" s="13">
        <v>65</v>
      </c>
      <c r="V169" s="13">
        <v>38</v>
      </c>
      <c r="W169" s="2">
        <f>V169/M169</f>
        <v>0.47499999999999998</v>
      </c>
      <c r="X169" s="13"/>
      <c r="Y169" s="13"/>
      <c r="Z169" s="13"/>
      <c r="AA169" s="13"/>
      <c r="AB169" s="13"/>
      <c r="AC169" s="13">
        <v>58</v>
      </c>
      <c r="AD169" s="13">
        <f t="shared" si="11"/>
        <v>0.72499999999999998</v>
      </c>
      <c r="AE169" s="13"/>
      <c r="AF169" s="13"/>
      <c r="AG169" s="13"/>
      <c r="AH169" s="13"/>
      <c r="AI169" s="13"/>
      <c r="AJ169" s="13"/>
      <c r="AK169" s="13"/>
      <c r="AL169" s="13">
        <v>20</v>
      </c>
      <c r="AM169" s="13">
        <v>16.5</v>
      </c>
      <c r="AN169" s="13">
        <v>25.5</v>
      </c>
      <c r="AO169" s="13"/>
      <c r="AP169" s="13"/>
      <c r="AQ169" s="13"/>
      <c r="AR169" s="13"/>
      <c r="AS169" s="13"/>
      <c r="AT169" s="13">
        <v>11</v>
      </c>
      <c r="AV169" s="13"/>
      <c r="AW169" s="13"/>
      <c r="AX169" s="13"/>
      <c r="AY169" s="13"/>
      <c r="AZ169" s="13"/>
      <c r="BA169" s="16"/>
      <c r="BB169" s="13"/>
      <c r="BC169" s="13"/>
      <c r="BD169" s="13"/>
      <c r="BE169" s="16"/>
      <c r="BF169" s="13"/>
      <c r="BG169" s="13"/>
      <c r="BH169" s="13"/>
      <c r="BI169" s="13"/>
      <c r="BJ169" s="16"/>
      <c r="BK169" s="13"/>
      <c r="BL169" s="13"/>
      <c r="BM169" s="13"/>
      <c r="BN169" s="16" t="s">
        <v>2231</v>
      </c>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t="s">
        <v>3724</v>
      </c>
      <c r="CK169" s="13">
        <v>0.47920000000000001</v>
      </c>
      <c r="CL169" s="13"/>
      <c r="CM169" s="13"/>
      <c r="CN169" s="13" t="s">
        <v>701</v>
      </c>
      <c r="CO169" s="13"/>
      <c r="CP169" s="13"/>
      <c r="CQ169" s="13"/>
      <c r="CR169" s="13"/>
      <c r="CS169" s="13"/>
      <c r="CT169" s="13"/>
      <c r="CU169" s="13"/>
      <c r="CV169" s="13" t="s">
        <v>3725</v>
      </c>
      <c r="CW169" s="13" t="s">
        <v>3476</v>
      </c>
      <c r="CX169" s="13" t="s">
        <v>3477</v>
      </c>
      <c r="CY169" s="13">
        <v>2025</v>
      </c>
      <c r="CZ169" s="13" t="s">
        <v>73</v>
      </c>
      <c r="DA169" s="13" t="s">
        <v>336</v>
      </c>
      <c r="DB169" s="13">
        <v>15</v>
      </c>
      <c r="DC169" s="13">
        <v>1</v>
      </c>
      <c r="DD169" s="13" t="s">
        <v>3478</v>
      </c>
      <c r="DE169" s="13" t="s">
        <v>3230</v>
      </c>
    </row>
    <row r="170" spans="1:109" ht="20">
      <c r="A170" s="13" t="s">
        <v>3376</v>
      </c>
      <c r="B170" s="13"/>
      <c r="C170" s="13" t="s">
        <v>3305</v>
      </c>
      <c r="D170" s="14" t="s">
        <v>2371</v>
      </c>
      <c r="E170" s="13" t="s">
        <v>702</v>
      </c>
      <c r="F170" s="13" t="s">
        <v>3727</v>
      </c>
      <c r="G170" s="13" t="s">
        <v>3728</v>
      </c>
      <c r="H170" s="14" t="s">
        <v>703</v>
      </c>
      <c r="I170" s="13" t="s">
        <v>3729</v>
      </c>
      <c r="J170" s="13" t="s">
        <v>576</v>
      </c>
      <c r="K170" s="13" t="s">
        <v>3730</v>
      </c>
      <c r="L170" s="13"/>
      <c r="M170" s="13">
        <v>48</v>
      </c>
      <c r="N170" s="13"/>
      <c r="O170" s="15"/>
      <c r="P170" s="13"/>
      <c r="Q170" s="13"/>
      <c r="R170" s="13"/>
      <c r="S170" s="13"/>
      <c r="T170" s="13"/>
      <c r="U170" s="13"/>
      <c r="V170" s="13"/>
      <c r="W170" s="2"/>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4" t="s">
        <v>2447</v>
      </c>
      <c r="AV170" s="13"/>
      <c r="AW170" s="13"/>
      <c r="AX170" s="13"/>
      <c r="AY170" s="13"/>
      <c r="AZ170" s="13"/>
      <c r="BA170" s="16"/>
      <c r="BB170" s="13"/>
      <c r="BC170" s="13"/>
      <c r="BD170" s="13"/>
      <c r="BE170" s="16"/>
      <c r="BF170" s="13"/>
      <c r="BG170" s="13"/>
      <c r="BH170" s="13"/>
      <c r="BI170" s="13"/>
      <c r="BJ170" s="16"/>
      <c r="BK170" s="13"/>
      <c r="BL170" s="13"/>
      <c r="BM170" s="13"/>
      <c r="BN170" s="16"/>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t="s">
        <v>3479</v>
      </c>
      <c r="CX170" s="13" t="s">
        <v>3480</v>
      </c>
      <c r="CY170" s="13">
        <v>2025</v>
      </c>
      <c r="CZ170" s="13" t="s">
        <v>25</v>
      </c>
      <c r="DA170" s="13" t="s">
        <v>1363</v>
      </c>
      <c r="DB170" s="13">
        <v>206</v>
      </c>
      <c r="DC170" s="13"/>
      <c r="DD170" s="13">
        <v>106823</v>
      </c>
      <c r="DE170" s="13" t="s">
        <v>3231</v>
      </c>
    </row>
    <row r="171" spans="1:109">
      <c r="A171" s="14" t="s">
        <v>1805</v>
      </c>
      <c r="C171" s="14" t="s">
        <v>1194</v>
      </c>
      <c r="D171" s="14" t="s">
        <v>1015</v>
      </c>
      <c r="E171" s="14" t="s">
        <v>672</v>
      </c>
      <c r="F171" s="14" t="s">
        <v>675</v>
      </c>
      <c r="H171" s="14" t="s">
        <v>669</v>
      </c>
      <c r="I171" s="14" t="s">
        <v>4038</v>
      </c>
      <c r="J171" s="14" t="s">
        <v>585</v>
      </c>
      <c r="L171" s="14" t="s">
        <v>639</v>
      </c>
      <c r="M171" s="14">
        <v>156</v>
      </c>
      <c r="S171" s="14">
        <v>63.92</v>
      </c>
      <c r="T171" s="14">
        <v>57.04</v>
      </c>
      <c r="U171" s="14">
        <v>70.64</v>
      </c>
      <c r="V171" s="14">
        <v>94</v>
      </c>
      <c r="W171" s="14">
        <f t="shared" ref="W171:W178" si="14">V171/M171</f>
        <v>0.60256410256410253</v>
      </c>
      <c r="BN171" s="14" t="s">
        <v>2231</v>
      </c>
      <c r="CO171" s="14">
        <v>0.224</v>
      </c>
      <c r="CP171" s="14">
        <v>5.0000000000000001E-3</v>
      </c>
      <c r="CV171" s="14" t="s">
        <v>2437</v>
      </c>
      <c r="CW171" s="14" t="s">
        <v>1195</v>
      </c>
      <c r="CX171" s="14" t="s">
        <v>1196</v>
      </c>
      <c r="CY171" s="14">
        <v>2021</v>
      </c>
      <c r="DA171" s="14" t="s">
        <v>1197</v>
      </c>
      <c r="DB171" s="14">
        <v>15</v>
      </c>
      <c r="DD171" s="14" t="s">
        <v>2190</v>
      </c>
      <c r="DE171" s="14" t="s">
        <v>1198</v>
      </c>
    </row>
    <row r="172" spans="1:109" ht="20">
      <c r="A172" s="13" t="s">
        <v>3377</v>
      </c>
      <c r="B172" s="13"/>
      <c r="C172" s="13" t="s">
        <v>3306</v>
      </c>
      <c r="D172" s="14" t="s">
        <v>831</v>
      </c>
      <c r="E172" s="13" t="s">
        <v>673</v>
      </c>
      <c r="F172" s="13" t="s">
        <v>2327</v>
      </c>
      <c r="G172" s="13"/>
      <c r="H172" s="14" t="s">
        <v>703</v>
      </c>
      <c r="I172" s="13" t="s">
        <v>3731</v>
      </c>
      <c r="J172" s="13" t="s">
        <v>3734</v>
      </c>
      <c r="K172" s="13" t="s">
        <v>3735</v>
      </c>
      <c r="L172" s="13" t="s">
        <v>3733</v>
      </c>
      <c r="M172" s="13">
        <v>65</v>
      </c>
      <c r="N172" s="13"/>
      <c r="O172" s="15"/>
      <c r="P172" s="13">
        <v>5</v>
      </c>
      <c r="Q172" s="13"/>
      <c r="R172" s="13"/>
      <c r="S172" s="13">
        <v>68</v>
      </c>
      <c r="T172" s="13">
        <f t="shared" ref="T172:T178" si="15">S172-17.5/2</f>
        <v>59.25</v>
      </c>
      <c r="U172" s="13">
        <f t="shared" ref="U172:U178" si="16">S172+17.5/2</f>
        <v>76.75</v>
      </c>
      <c r="V172" s="13">
        <v>41</v>
      </c>
      <c r="W172" s="2">
        <f t="shared" si="14"/>
        <v>0.63076923076923075</v>
      </c>
      <c r="X172" s="13"/>
      <c r="Y172" s="13"/>
      <c r="Z172" s="13">
        <v>27</v>
      </c>
      <c r="AA172" s="13">
        <v>18.25</v>
      </c>
      <c r="AB172" s="13">
        <v>35.75</v>
      </c>
      <c r="AC172" s="13">
        <v>52</v>
      </c>
      <c r="AD172" s="13">
        <f t="shared" ref="AD172:AD178" si="17">AC172/M172</f>
        <v>0.8</v>
      </c>
      <c r="AE172" s="13"/>
      <c r="AF172" s="13"/>
      <c r="AG172" s="13">
        <v>27</v>
      </c>
      <c r="AH172" s="13">
        <v>10.75</v>
      </c>
      <c r="AI172" s="13">
        <v>43.25</v>
      </c>
      <c r="AJ172" s="13"/>
      <c r="AK172" s="13"/>
      <c r="AL172" s="13"/>
      <c r="AM172" s="13"/>
      <c r="AN172" s="13"/>
      <c r="AO172" s="13"/>
      <c r="AP172" s="13"/>
      <c r="AQ172" s="13"/>
      <c r="AR172" s="13"/>
      <c r="AS172" s="13"/>
      <c r="AT172" s="13"/>
      <c r="AU172" s="14" t="s">
        <v>2447</v>
      </c>
      <c r="AV172" s="13"/>
      <c r="AW172" s="13"/>
      <c r="AX172" s="13"/>
      <c r="AY172" s="13"/>
      <c r="AZ172" s="13"/>
      <c r="BA172" s="16" t="s">
        <v>2674</v>
      </c>
      <c r="BB172" s="13">
        <v>1.04</v>
      </c>
      <c r="BC172" s="13">
        <v>0.41</v>
      </c>
      <c r="BD172" s="13">
        <v>2.62</v>
      </c>
      <c r="BE172" s="16" t="s">
        <v>3740</v>
      </c>
      <c r="BF172" s="13"/>
      <c r="BG172" s="13"/>
      <c r="BH172" s="13"/>
      <c r="BI172" s="13"/>
      <c r="BJ172" s="16" t="s">
        <v>2674</v>
      </c>
      <c r="BK172" s="13"/>
      <c r="BL172" s="13"/>
      <c r="BM172" s="13"/>
      <c r="BN172" s="16"/>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t="s">
        <v>3736</v>
      </c>
      <c r="CW172" s="13" t="s">
        <v>3481</v>
      </c>
      <c r="CX172" s="13" t="s">
        <v>3482</v>
      </c>
      <c r="CY172" s="13">
        <v>2024</v>
      </c>
      <c r="CZ172" s="13" t="s">
        <v>32</v>
      </c>
      <c r="DA172" s="13" t="s">
        <v>19</v>
      </c>
      <c r="DB172" s="13">
        <v>31</v>
      </c>
      <c r="DC172" s="13">
        <v>10</v>
      </c>
      <c r="DD172" s="13" t="s">
        <v>3483</v>
      </c>
      <c r="DE172" s="13" t="s">
        <v>3232</v>
      </c>
    </row>
    <row r="173" spans="1:109" ht="20">
      <c r="A173" s="13" t="s">
        <v>3377</v>
      </c>
      <c r="B173" s="13"/>
      <c r="C173" s="13" t="s">
        <v>3306</v>
      </c>
      <c r="D173" s="14" t="s">
        <v>831</v>
      </c>
      <c r="E173" s="13" t="s">
        <v>673</v>
      </c>
      <c r="F173" s="13" t="s">
        <v>2325</v>
      </c>
      <c r="G173" s="13"/>
      <c r="H173" s="14" t="s">
        <v>703</v>
      </c>
      <c r="I173" s="13" t="s">
        <v>3731</v>
      </c>
      <c r="J173" s="13" t="s">
        <v>3734</v>
      </c>
      <c r="K173" s="13" t="s">
        <v>3735</v>
      </c>
      <c r="L173" s="13" t="s">
        <v>3733</v>
      </c>
      <c r="M173" s="13">
        <v>65</v>
      </c>
      <c r="N173" s="13"/>
      <c r="O173" s="15"/>
      <c r="P173" s="13">
        <v>5</v>
      </c>
      <c r="Q173" s="13"/>
      <c r="R173" s="13"/>
      <c r="S173" s="13">
        <v>68</v>
      </c>
      <c r="T173" s="13">
        <f t="shared" si="15"/>
        <v>59.25</v>
      </c>
      <c r="U173" s="13">
        <f t="shared" si="16"/>
        <v>76.75</v>
      </c>
      <c r="V173" s="13">
        <v>41</v>
      </c>
      <c r="W173" s="2">
        <f t="shared" si="14"/>
        <v>0.63076923076923075</v>
      </c>
      <c r="X173" s="13"/>
      <c r="Y173" s="13"/>
      <c r="Z173" s="13">
        <v>27</v>
      </c>
      <c r="AA173" s="13">
        <v>18.25</v>
      </c>
      <c r="AB173" s="13">
        <v>35.75</v>
      </c>
      <c r="AC173" s="13">
        <v>52</v>
      </c>
      <c r="AD173" s="13">
        <f t="shared" si="17"/>
        <v>0.8</v>
      </c>
      <c r="AE173" s="13"/>
      <c r="AF173" s="13"/>
      <c r="AG173" s="13">
        <v>27</v>
      </c>
      <c r="AH173" s="13">
        <v>10.75</v>
      </c>
      <c r="AI173" s="13">
        <v>43.25</v>
      </c>
      <c r="AJ173" s="13"/>
      <c r="AK173" s="13"/>
      <c r="AL173" s="13"/>
      <c r="AM173" s="13"/>
      <c r="AN173" s="13"/>
      <c r="AO173" s="13"/>
      <c r="AP173" s="13"/>
      <c r="AQ173" s="13"/>
      <c r="AR173" s="13"/>
      <c r="AS173" s="13"/>
      <c r="AT173" s="13"/>
      <c r="AU173" s="14" t="s">
        <v>2447</v>
      </c>
      <c r="AV173" s="13"/>
      <c r="AW173" s="13"/>
      <c r="AX173" s="13"/>
      <c r="AY173" s="13"/>
      <c r="AZ173" s="13"/>
      <c r="BA173" s="16" t="s">
        <v>2674</v>
      </c>
      <c r="BB173" s="13">
        <v>0.92</v>
      </c>
      <c r="BC173" s="13">
        <v>0.36</v>
      </c>
      <c r="BD173" s="13">
        <v>2.33</v>
      </c>
      <c r="BE173" s="16" t="s">
        <v>3740</v>
      </c>
      <c r="BF173" s="13"/>
      <c r="BG173" s="13"/>
      <c r="BH173" s="13"/>
      <c r="BI173" s="13"/>
      <c r="BJ173" s="16" t="s">
        <v>2674</v>
      </c>
      <c r="BK173" s="13"/>
      <c r="BL173" s="13"/>
      <c r="BM173" s="13"/>
      <c r="BN173" s="16"/>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t="s">
        <v>3736</v>
      </c>
      <c r="CW173" s="13" t="s">
        <v>3481</v>
      </c>
      <c r="CX173" s="13" t="s">
        <v>3482</v>
      </c>
      <c r="CY173" s="13">
        <v>2024</v>
      </c>
      <c r="CZ173" s="13" t="s">
        <v>32</v>
      </c>
      <c r="DA173" s="13" t="s">
        <v>19</v>
      </c>
      <c r="DB173" s="13">
        <v>31</v>
      </c>
      <c r="DC173" s="13">
        <v>10</v>
      </c>
      <c r="DD173" s="13" t="s">
        <v>3483</v>
      </c>
      <c r="DE173" s="13" t="s">
        <v>3232</v>
      </c>
    </row>
    <row r="174" spans="1:109" ht="20">
      <c r="A174" s="13" t="s">
        <v>3377</v>
      </c>
      <c r="B174" s="13"/>
      <c r="C174" s="13" t="s">
        <v>3306</v>
      </c>
      <c r="D174" s="14" t="s">
        <v>831</v>
      </c>
      <c r="E174" s="13" t="s">
        <v>673</v>
      </c>
      <c r="F174" s="13" t="s">
        <v>2329</v>
      </c>
      <c r="G174" s="13"/>
      <c r="H174" s="14" t="s">
        <v>703</v>
      </c>
      <c r="I174" s="13" t="s">
        <v>3731</v>
      </c>
      <c r="J174" s="13" t="s">
        <v>3734</v>
      </c>
      <c r="K174" s="13" t="s">
        <v>3735</v>
      </c>
      <c r="L174" s="13" t="s">
        <v>3733</v>
      </c>
      <c r="M174" s="13">
        <v>65</v>
      </c>
      <c r="N174" s="13"/>
      <c r="O174" s="15"/>
      <c r="P174" s="13">
        <v>5</v>
      </c>
      <c r="Q174" s="13"/>
      <c r="R174" s="13"/>
      <c r="S174" s="13">
        <v>68</v>
      </c>
      <c r="T174" s="13">
        <f t="shared" si="15"/>
        <v>59.25</v>
      </c>
      <c r="U174" s="13">
        <f t="shared" si="16"/>
        <v>76.75</v>
      </c>
      <c r="V174" s="13">
        <v>41</v>
      </c>
      <c r="W174" s="2">
        <f t="shared" si="14"/>
        <v>0.63076923076923075</v>
      </c>
      <c r="X174" s="13"/>
      <c r="Y174" s="13"/>
      <c r="Z174" s="13">
        <v>27</v>
      </c>
      <c r="AA174" s="13">
        <v>18.25</v>
      </c>
      <c r="AB174" s="13">
        <v>35.75</v>
      </c>
      <c r="AC174" s="13">
        <v>52</v>
      </c>
      <c r="AD174" s="13">
        <f t="shared" si="17"/>
        <v>0.8</v>
      </c>
      <c r="AE174" s="13"/>
      <c r="AF174" s="13"/>
      <c r="AG174" s="13">
        <v>27</v>
      </c>
      <c r="AH174" s="13">
        <v>10.75</v>
      </c>
      <c r="AI174" s="13">
        <v>43.25</v>
      </c>
      <c r="AJ174" s="13"/>
      <c r="AK174" s="13"/>
      <c r="AL174" s="13"/>
      <c r="AM174" s="13"/>
      <c r="AN174" s="13"/>
      <c r="AO174" s="13"/>
      <c r="AP174" s="13"/>
      <c r="AQ174" s="13"/>
      <c r="AR174" s="13"/>
      <c r="AS174" s="13"/>
      <c r="AT174" s="13"/>
      <c r="AU174" s="14" t="s">
        <v>2447</v>
      </c>
      <c r="AV174" s="13"/>
      <c r="AW174" s="13"/>
      <c r="AX174" s="13"/>
      <c r="AY174" s="13"/>
      <c r="AZ174" s="13"/>
      <c r="BA174" s="16" t="s">
        <v>2674</v>
      </c>
      <c r="BB174" s="13">
        <v>5.0999999999999996</v>
      </c>
      <c r="BC174" s="13">
        <v>1.67</v>
      </c>
      <c r="BD174" s="13">
        <v>15.57</v>
      </c>
      <c r="BE174" s="16" t="s">
        <v>3740</v>
      </c>
      <c r="BF174" s="13"/>
      <c r="BG174" s="13"/>
      <c r="BH174" s="13"/>
      <c r="BI174" s="13"/>
      <c r="BJ174" s="16" t="s">
        <v>2674</v>
      </c>
      <c r="BK174" s="13">
        <v>0.03</v>
      </c>
      <c r="BL174" s="13">
        <v>0</v>
      </c>
      <c r="BM174" s="13">
        <v>0.52</v>
      </c>
      <c r="BN174" s="16"/>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t="s">
        <v>3736</v>
      </c>
      <c r="CW174" s="13" t="s">
        <v>3481</v>
      </c>
      <c r="CX174" s="13" t="s">
        <v>3482</v>
      </c>
      <c r="CY174" s="13">
        <v>2024</v>
      </c>
      <c r="CZ174" s="13" t="s">
        <v>32</v>
      </c>
      <c r="DA174" s="13" t="s">
        <v>19</v>
      </c>
      <c r="DB174" s="13">
        <v>31</v>
      </c>
      <c r="DC174" s="13">
        <v>10</v>
      </c>
      <c r="DD174" s="13" t="s">
        <v>3483</v>
      </c>
      <c r="DE174" s="13" t="s">
        <v>3232</v>
      </c>
    </row>
    <row r="175" spans="1:109" ht="20">
      <c r="A175" s="13" t="s">
        <v>3377</v>
      </c>
      <c r="B175" s="13"/>
      <c r="C175" s="13" t="s">
        <v>3306</v>
      </c>
      <c r="D175" s="14" t="s">
        <v>831</v>
      </c>
      <c r="E175" s="13" t="s">
        <v>673</v>
      </c>
      <c r="F175" s="13" t="s">
        <v>2328</v>
      </c>
      <c r="G175" s="13"/>
      <c r="H175" s="14" t="s">
        <v>703</v>
      </c>
      <c r="I175" s="13" t="s">
        <v>3731</v>
      </c>
      <c r="J175" s="13" t="s">
        <v>3734</v>
      </c>
      <c r="K175" s="13" t="s">
        <v>3735</v>
      </c>
      <c r="L175" s="13" t="s">
        <v>3733</v>
      </c>
      <c r="M175" s="13">
        <v>65</v>
      </c>
      <c r="N175" s="13"/>
      <c r="O175" s="15"/>
      <c r="P175" s="13">
        <v>5</v>
      </c>
      <c r="Q175" s="13"/>
      <c r="R175" s="13"/>
      <c r="S175" s="13">
        <v>68</v>
      </c>
      <c r="T175" s="13">
        <f t="shared" si="15"/>
        <v>59.25</v>
      </c>
      <c r="U175" s="13">
        <f t="shared" si="16"/>
        <v>76.75</v>
      </c>
      <c r="V175" s="13">
        <v>41</v>
      </c>
      <c r="W175" s="2">
        <f t="shared" si="14"/>
        <v>0.63076923076923075</v>
      </c>
      <c r="X175" s="13"/>
      <c r="Y175" s="13"/>
      <c r="Z175" s="13">
        <v>27</v>
      </c>
      <c r="AA175" s="13">
        <v>18.25</v>
      </c>
      <c r="AB175" s="13">
        <v>35.75</v>
      </c>
      <c r="AC175" s="13">
        <v>52</v>
      </c>
      <c r="AD175" s="13">
        <f t="shared" si="17"/>
        <v>0.8</v>
      </c>
      <c r="AE175" s="13"/>
      <c r="AF175" s="13"/>
      <c r="AG175" s="13">
        <v>27</v>
      </c>
      <c r="AH175" s="13">
        <v>10.75</v>
      </c>
      <c r="AI175" s="13">
        <v>43.25</v>
      </c>
      <c r="AJ175" s="13"/>
      <c r="AK175" s="13"/>
      <c r="AL175" s="13"/>
      <c r="AM175" s="13"/>
      <c r="AN175" s="13"/>
      <c r="AO175" s="13"/>
      <c r="AP175" s="13"/>
      <c r="AQ175" s="13"/>
      <c r="AR175" s="13"/>
      <c r="AS175" s="13"/>
      <c r="AT175" s="13"/>
      <c r="AU175" s="14" t="s">
        <v>2447</v>
      </c>
      <c r="AV175" s="13"/>
      <c r="AW175" s="13"/>
      <c r="AX175" s="13"/>
      <c r="AY175" s="13"/>
      <c r="AZ175" s="13"/>
      <c r="BA175" s="16" t="s">
        <v>2674</v>
      </c>
      <c r="BB175" s="13">
        <v>7.49</v>
      </c>
      <c r="BC175" s="13">
        <v>2.16</v>
      </c>
      <c r="BD175" s="13">
        <v>25.97</v>
      </c>
      <c r="BE175" s="16" t="s">
        <v>3740</v>
      </c>
      <c r="BF175" s="13"/>
      <c r="BG175" s="13"/>
      <c r="BH175" s="13"/>
      <c r="BI175" s="13"/>
      <c r="BJ175" s="16" t="s">
        <v>2674</v>
      </c>
      <c r="BK175" s="13">
        <v>77.14</v>
      </c>
      <c r="BL175" s="13">
        <v>4.04</v>
      </c>
      <c r="BM175" s="13">
        <v>1473.2</v>
      </c>
      <c r="BN175" s="16"/>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t="s">
        <v>3736</v>
      </c>
      <c r="CW175" s="13" t="s">
        <v>3481</v>
      </c>
      <c r="CX175" s="13" t="s">
        <v>3482</v>
      </c>
      <c r="CY175" s="13">
        <v>2024</v>
      </c>
      <c r="CZ175" s="13" t="s">
        <v>32</v>
      </c>
      <c r="DA175" s="13" t="s">
        <v>19</v>
      </c>
      <c r="DB175" s="13">
        <v>31</v>
      </c>
      <c r="DC175" s="13">
        <v>10</v>
      </c>
      <c r="DD175" s="13" t="s">
        <v>3483</v>
      </c>
      <c r="DE175" s="13" t="s">
        <v>3232</v>
      </c>
    </row>
    <row r="176" spans="1:109" ht="20">
      <c r="A176" s="13" t="s">
        <v>3377</v>
      </c>
      <c r="B176" s="13"/>
      <c r="C176" s="13" t="s">
        <v>3306</v>
      </c>
      <c r="D176" s="14" t="s">
        <v>831</v>
      </c>
      <c r="E176" s="13" t="s">
        <v>673</v>
      </c>
      <c r="F176" s="13" t="s">
        <v>3737</v>
      </c>
      <c r="G176" s="13"/>
      <c r="H176" s="14" t="s">
        <v>703</v>
      </c>
      <c r="I176" s="13" t="s">
        <v>3731</v>
      </c>
      <c r="J176" s="13" t="s">
        <v>3734</v>
      </c>
      <c r="K176" s="13" t="s">
        <v>3735</v>
      </c>
      <c r="L176" s="13" t="s">
        <v>3733</v>
      </c>
      <c r="M176" s="13">
        <v>65</v>
      </c>
      <c r="N176" s="13"/>
      <c r="O176" s="15"/>
      <c r="P176" s="13">
        <v>5</v>
      </c>
      <c r="Q176" s="13"/>
      <c r="R176" s="13"/>
      <c r="S176" s="13">
        <v>68</v>
      </c>
      <c r="T176" s="13">
        <f t="shared" si="15"/>
        <v>59.25</v>
      </c>
      <c r="U176" s="13">
        <f t="shared" si="16"/>
        <v>76.75</v>
      </c>
      <c r="V176" s="13">
        <v>41</v>
      </c>
      <c r="W176" s="2">
        <f t="shared" si="14"/>
        <v>0.63076923076923075</v>
      </c>
      <c r="X176" s="13"/>
      <c r="Y176" s="13"/>
      <c r="Z176" s="13">
        <v>27</v>
      </c>
      <c r="AA176" s="13">
        <v>18.25</v>
      </c>
      <c r="AB176" s="13">
        <v>35.75</v>
      </c>
      <c r="AC176" s="13">
        <v>52</v>
      </c>
      <c r="AD176" s="13">
        <f t="shared" si="17"/>
        <v>0.8</v>
      </c>
      <c r="AE176" s="13"/>
      <c r="AF176" s="13"/>
      <c r="AG176" s="13">
        <v>27</v>
      </c>
      <c r="AH176" s="13">
        <v>10.75</v>
      </c>
      <c r="AI176" s="13">
        <v>43.25</v>
      </c>
      <c r="AJ176" s="13"/>
      <c r="AK176" s="13"/>
      <c r="AL176" s="13"/>
      <c r="AM176" s="13"/>
      <c r="AN176" s="13"/>
      <c r="AO176" s="13"/>
      <c r="AP176" s="13"/>
      <c r="AQ176" s="13"/>
      <c r="AR176" s="13"/>
      <c r="AS176" s="13"/>
      <c r="AT176" s="13"/>
      <c r="AU176" s="14" t="s">
        <v>2447</v>
      </c>
      <c r="AV176" s="13"/>
      <c r="AW176" s="13"/>
      <c r="AX176" s="13"/>
      <c r="AY176" s="13"/>
      <c r="AZ176" s="13"/>
      <c r="BA176" s="16" t="s">
        <v>2674</v>
      </c>
      <c r="BB176" s="13">
        <v>2.62</v>
      </c>
      <c r="BC176" s="13">
        <v>1.01</v>
      </c>
      <c r="BD176" s="13">
        <v>6.78</v>
      </c>
      <c r="BE176" s="16" t="s">
        <v>3740</v>
      </c>
      <c r="BF176" s="13"/>
      <c r="BG176" s="13"/>
      <c r="BH176" s="13"/>
      <c r="BI176" s="13"/>
      <c r="BJ176" s="16" t="s">
        <v>2674</v>
      </c>
      <c r="BK176" s="13"/>
      <c r="BL176" s="13"/>
      <c r="BM176" s="13"/>
      <c r="BN176" s="16"/>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t="s">
        <v>3736</v>
      </c>
      <c r="CW176" s="13" t="s">
        <v>3481</v>
      </c>
      <c r="CX176" s="13" t="s">
        <v>3482</v>
      </c>
      <c r="CY176" s="13">
        <v>2024</v>
      </c>
      <c r="CZ176" s="13" t="s">
        <v>32</v>
      </c>
      <c r="DA176" s="13" t="s">
        <v>19</v>
      </c>
      <c r="DB176" s="13">
        <v>31</v>
      </c>
      <c r="DC176" s="13">
        <v>10</v>
      </c>
      <c r="DD176" s="13" t="s">
        <v>3483</v>
      </c>
      <c r="DE176" s="13" t="s">
        <v>3232</v>
      </c>
    </row>
    <row r="177" spans="1:109" ht="20">
      <c r="A177" s="13" t="s">
        <v>3377</v>
      </c>
      <c r="B177" s="13"/>
      <c r="C177" s="13" t="s">
        <v>3306</v>
      </c>
      <c r="D177" s="14" t="s">
        <v>831</v>
      </c>
      <c r="E177" s="13" t="s">
        <v>673</v>
      </c>
      <c r="F177" s="13" t="s">
        <v>3738</v>
      </c>
      <c r="G177" s="13"/>
      <c r="H177" s="14" t="s">
        <v>703</v>
      </c>
      <c r="I177" s="13" t="s">
        <v>3731</v>
      </c>
      <c r="J177" s="13" t="s">
        <v>3734</v>
      </c>
      <c r="K177" s="13" t="s">
        <v>3735</v>
      </c>
      <c r="L177" s="13" t="s">
        <v>3733</v>
      </c>
      <c r="M177" s="13">
        <v>65</v>
      </c>
      <c r="N177" s="13"/>
      <c r="O177" s="15"/>
      <c r="P177" s="13">
        <v>5</v>
      </c>
      <c r="Q177" s="13"/>
      <c r="R177" s="13"/>
      <c r="S177" s="13">
        <v>68</v>
      </c>
      <c r="T177" s="13">
        <f t="shared" si="15"/>
        <v>59.25</v>
      </c>
      <c r="U177" s="13">
        <f t="shared" si="16"/>
        <v>76.75</v>
      </c>
      <c r="V177" s="13">
        <v>41</v>
      </c>
      <c r="W177" s="2">
        <f t="shared" si="14"/>
        <v>0.63076923076923075</v>
      </c>
      <c r="X177" s="13"/>
      <c r="Y177" s="13"/>
      <c r="Z177" s="13">
        <v>27</v>
      </c>
      <c r="AA177" s="13">
        <v>18.25</v>
      </c>
      <c r="AB177" s="13">
        <v>35.75</v>
      </c>
      <c r="AC177" s="13">
        <v>52</v>
      </c>
      <c r="AD177" s="13">
        <f t="shared" si="17"/>
        <v>0.8</v>
      </c>
      <c r="AE177" s="13"/>
      <c r="AF177" s="13"/>
      <c r="AG177" s="13">
        <v>27</v>
      </c>
      <c r="AH177" s="13">
        <v>10.75</v>
      </c>
      <c r="AI177" s="13">
        <v>43.25</v>
      </c>
      <c r="AJ177" s="13"/>
      <c r="AK177" s="13"/>
      <c r="AL177" s="13"/>
      <c r="AM177" s="13"/>
      <c r="AN177" s="13"/>
      <c r="AO177" s="13"/>
      <c r="AP177" s="13"/>
      <c r="AQ177" s="13"/>
      <c r="AR177" s="13"/>
      <c r="AS177" s="13"/>
      <c r="AT177" s="13"/>
      <c r="AU177" s="14" t="s">
        <v>2447</v>
      </c>
      <c r="AV177" s="13"/>
      <c r="AW177" s="13"/>
      <c r="AX177" s="13"/>
      <c r="AY177" s="13"/>
      <c r="AZ177" s="13"/>
      <c r="BA177" s="16" t="s">
        <v>2674</v>
      </c>
      <c r="BB177" s="13">
        <v>5.57</v>
      </c>
      <c r="BC177" s="13">
        <v>1.32</v>
      </c>
      <c r="BD177" s="13">
        <v>15.81</v>
      </c>
      <c r="BE177" s="16" t="s">
        <v>3740</v>
      </c>
      <c r="BF177" s="13"/>
      <c r="BG177" s="13"/>
      <c r="BH177" s="13"/>
      <c r="BI177" s="13"/>
      <c r="BJ177" s="16" t="s">
        <v>2674</v>
      </c>
      <c r="BK177" s="13">
        <v>2.13</v>
      </c>
      <c r="BL177" s="13">
        <v>0.36</v>
      </c>
      <c r="BM177" s="13">
        <v>12.63</v>
      </c>
      <c r="BN177" s="16"/>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t="s">
        <v>3736</v>
      </c>
      <c r="CW177" s="13" t="s">
        <v>3481</v>
      </c>
      <c r="CX177" s="13" t="s">
        <v>3482</v>
      </c>
      <c r="CY177" s="13">
        <v>2024</v>
      </c>
      <c r="CZ177" s="13" t="s">
        <v>32</v>
      </c>
      <c r="DA177" s="13" t="s">
        <v>19</v>
      </c>
      <c r="DB177" s="13">
        <v>31</v>
      </c>
      <c r="DC177" s="13">
        <v>10</v>
      </c>
      <c r="DD177" s="13" t="s">
        <v>3483</v>
      </c>
      <c r="DE177" s="13" t="s">
        <v>3232</v>
      </c>
    </row>
    <row r="178" spans="1:109" ht="20">
      <c r="A178" s="13" t="s">
        <v>3377</v>
      </c>
      <c r="B178" s="13"/>
      <c r="C178" s="13" t="s">
        <v>3306</v>
      </c>
      <c r="D178" s="14" t="s">
        <v>831</v>
      </c>
      <c r="E178" s="13" t="s">
        <v>673</v>
      </c>
      <c r="F178" s="13" t="s">
        <v>3739</v>
      </c>
      <c r="G178" s="13"/>
      <c r="H178" s="14" t="s">
        <v>703</v>
      </c>
      <c r="I178" s="13" t="s">
        <v>3731</v>
      </c>
      <c r="J178" s="13" t="s">
        <v>3734</v>
      </c>
      <c r="K178" s="13" t="s">
        <v>3735</v>
      </c>
      <c r="L178" s="13" t="s">
        <v>3733</v>
      </c>
      <c r="M178" s="13">
        <v>65</v>
      </c>
      <c r="N178" s="13"/>
      <c r="O178" s="15"/>
      <c r="P178" s="13">
        <v>5</v>
      </c>
      <c r="Q178" s="13"/>
      <c r="R178" s="13"/>
      <c r="S178" s="13">
        <v>68</v>
      </c>
      <c r="T178" s="13">
        <f t="shared" si="15"/>
        <v>59.25</v>
      </c>
      <c r="U178" s="13">
        <f t="shared" si="16"/>
        <v>76.75</v>
      </c>
      <c r="V178" s="13">
        <v>41</v>
      </c>
      <c r="W178" s="2">
        <f t="shared" si="14"/>
        <v>0.63076923076923075</v>
      </c>
      <c r="X178" s="13"/>
      <c r="Y178" s="13"/>
      <c r="Z178" s="13">
        <v>27</v>
      </c>
      <c r="AA178" s="13">
        <v>18.25</v>
      </c>
      <c r="AB178" s="13">
        <v>35.75</v>
      </c>
      <c r="AC178" s="13">
        <v>52</v>
      </c>
      <c r="AD178" s="13">
        <f t="shared" si="17"/>
        <v>0.8</v>
      </c>
      <c r="AE178" s="13"/>
      <c r="AF178" s="13"/>
      <c r="AG178" s="13">
        <v>27</v>
      </c>
      <c r="AH178" s="13">
        <v>10.75</v>
      </c>
      <c r="AI178" s="13">
        <v>43.25</v>
      </c>
      <c r="AJ178" s="13"/>
      <c r="AK178" s="13"/>
      <c r="AL178" s="13"/>
      <c r="AM178" s="13"/>
      <c r="AN178" s="13"/>
      <c r="AO178" s="13"/>
      <c r="AP178" s="13"/>
      <c r="AQ178" s="13"/>
      <c r="AR178" s="13"/>
      <c r="AS178" s="13"/>
      <c r="AT178" s="13"/>
      <c r="AU178" s="14" t="s">
        <v>2447</v>
      </c>
      <c r="AV178" s="13"/>
      <c r="AW178" s="13"/>
      <c r="AX178" s="13"/>
      <c r="AY178" s="13"/>
      <c r="AZ178" s="13"/>
      <c r="BA178" s="16" t="s">
        <v>2674</v>
      </c>
      <c r="BB178" s="13">
        <v>0.34</v>
      </c>
      <c r="BC178" s="13">
        <v>0.12</v>
      </c>
      <c r="BD178" s="13">
        <v>0.96</v>
      </c>
      <c r="BE178" s="16" t="s">
        <v>3740</v>
      </c>
      <c r="BF178" s="13"/>
      <c r="BG178" s="13"/>
      <c r="BH178" s="13"/>
      <c r="BI178" s="13"/>
      <c r="BJ178" s="16" t="s">
        <v>2674</v>
      </c>
      <c r="BK178" s="13">
        <v>0.42</v>
      </c>
      <c r="BL178" s="13">
        <v>0.12</v>
      </c>
      <c r="BM178" s="13">
        <v>1.45</v>
      </c>
      <c r="BN178" s="16"/>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t="s">
        <v>3736</v>
      </c>
      <c r="CW178" s="13" t="s">
        <v>3481</v>
      </c>
      <c r="CX178" s="13" t="s">
        <v>3482</v>
      </c>
      <c r="CY178" s="13">
        <v>2024</v>
      </c>
      <c r="CZ178" s="13" t="s">
        <v>32</v>
      </c>
      <c r="DA178" s="13" t="s">
        <v>19</v>
      </c>
      <c r="DB178" s="13">
        <v>31</v>
      </c>
      <c r="DC178" s="13">
        <v>10</v>
      </c>
      <c r="DD178" s="13" t="s">
        <v>3483</v>
      </c>
      <c r="DE178" s="13" t="s">
        <v>3232</v>
      </c>
    </row>
    <row r="179" spans="1:109" ht="20">
      <c r="A179" s="13" t="s">
        <v>1760</v>
      </c>
      <c r="B179" s="13" t="s">
        <v>1760</v>
      </c>
      <c r="C179" s="13" t="s">
        <v>169</v>
      </c>
      <c r="D179" s="13" t="s">
        <v>831</v>
      </c>
      <c r="E179" s="13" t="s">
        <v>672</v>
      </c>
      <c r="F179" s="13" t="s">
        <v>1057</v>
      </c>
      <c r="H179" s="13" t="s">
        <v>669</v>
      </c>
      <c r="I179" s="13"/>
      <c r="J179" s="13" t="s">
        <v>1980</v>
      </c>
      <c r="K179" s="13" t="s">
        <v>1056</v>
      </c>
      <c r="M179" s="13">
        <v>33</v>
      </c>
      <c r="N179" s="13"/>
      <c r="O179" s="15"/>
      <c r="P179" s="13">
        <v>3</v>
      </c>
      <c r="Q179" s="13">
        <v>63</v>
      </c>
      <c r="R179" s="13">
        <v>9</v>
      </c>
      <c r="S179" s="13"/>
      <c r="T179" s="13"/>
      <c r="U179" s="13"/>
      <c r="CW179" s="13" t="s">
        <v>166</v>
      </c>
      <c r="CX179" s="13" t="s">
        <v>167</v>
      </c>
      <c r="CY179" s="13">
        <v>2023</v>
      </c>
      <c r="CZ179" s="13" t="s">
        <v>2222</v>
      </c>
      <c r="DA179" s="13" t="s">
        <v>94</v>
      </c>
      <c r="DB179" s="13">
        <v>12</v>
      </c>
      <c r="DC179" s="13">
        <v>11</v>
      </c>
      <c r="DD179" s="13"/>
      <c r="DE179" s="13" t="s">
        <v>168</v>
      </c>
    </row>
    <row r="180" spans="1:109">
      <c r="A180" s="14" t="s">
        <v>1806</v>
      </c>
      <c r="C180" s="14" t="s">
        <v>1203</v>
      </c>
      <c r="D180" s="14" t="s">
        <v>830</v>
      </c>
      <c r="E180" s="14" t="s">
        <v>673</v>
      </c>
      <c r="F180" s="14" t="s">
        <v>2440</v>
      </c>
      <c r="H180" s="14" t="s">
        <v>716</v>
      </c>
      <c r="I180" s="14" t="s">
        <v>3100</v>
      </c>
      <c r="J180" s="14" t="s">
        <v>2441</v>
      </c>
      <c r="L180" s="14" t="s">
        <v>639</v>
      </c>
      <c r="M180" s="14">
        <v>23</v>
      </c>
      <c r="Q180" s="14">
        <v>61.4</v>
      </c>
      <c r="R180" s="14">
        <v>11.2</v>
      </c>
      <c r="V180" s="14">
        <v>13</v>
      </c>
      <c r="W180" s="14">
        <f>V180/M180</f>
        <v>0.56521739130434778</v>
      </c>
      <c r="X180" s="14">
        <v>30.45</v>
      </c>
      <c r="Y180" s="14">
        <v>6.7</v>
      </c>
      <c r="AC180" s="14">
        <v>18</v>
      </c>
      <c r="AD180" s="34">
        <f>AC180/M180</f>
        <v>0.78260869565217395</v>
      </c>
      <c r="AE180" s="35">
        <v>29.05</v>
      </c>
      <c r="AF180" s="35">
        <v>37.4</v>
      </c>
      <c r="BN180" s="27" t="s">
        <v>2552</v>
      </c>
      <c r="CC180" s="14">
        <v>-0.59</v>
      </c>
      <c r="CG180" s="14">
        <v>1.2999999999999999E-2</v>
      </c>
      <c r="CW180" s="14" t="s">
        <v>1199</v>
      </c>
      <c r="CX180" s="14" t="s">
        <v>1200</v>
      </c>
      <c r="CY180" s="14">
        <v>2020</v>
      </c>
      <c r="CZ180" s="36" t="s">
        <v>12</v>
      </c>
      <c r="DA180" s="14" t="s">
        <v>1201</v>
      </c>
      <c r="DB180" s="14">
        <v>139</v>
      </c>
      <c r="DD180" s="14" t="s">
        <v>2189</v>
      </c>
      <c r="DE180" s="14" t="s">
        <v>1202</v>
      </c>
    </row>
    <row r="181" spans="1:109">
      <c r="A181" s="14" t="s">
        <v>1806</v>
      </c>
      <c r="C181" s="14" t="s">
        <v>1203</v>
      </c>
      <c r="D181" s="14" t="s">
        <v>830</v>
      </c>
      <c r="E181" s="14" t="s">
        <v>673</v>
      </c>
      <c r="F181" s="14" t="s">
        <v>2442</v>
      </c>
      <c r="H181" s="14" t="s">
        <v>716</v>
      </c>
      <c r="I181" s="14" t="s">
        <v>3100</v>
      </c>
      <c r="J181" s="14" t="s">
        <v>2441</v>
      </c>
      <c r="L181" s="14" t="s">
        <v>639</v>
      </c>
      <c r="M181" s="14">
        <v>23</v>
      </c>
      <c r="Q181" s="14">
        <v>61.4</v>
      </c>
      <c r="R181" s="14">
        <v>11.2</v>
      </c>
      <c r="V181" s="14">
        <v>13</v>
      </c>
      <c r="W181" s="14">
        <f>V181/M181</f>
        <v>0.56521739130434778</v>
      </c>
      <c r="X181" s="14">
        <v>30.45</v>
      </c>
      <c r="Y181" s="14">
        <v>6.7</v>
      </c>
      <c r="AC181" s="14">
        <v>18</v>
      </c>
      <c r="AD181" s="34">
        <f>AC181/M181</f>
        <v>0.78260869565217395</v>
      </c>
      <c r="AE181" s="35">
        <v>29.05</v>
      </c>
      <c r="AF181" s="35">
        <v>37.4</v>
      </c>
      <c r="BN181" s="27" t="s">
        <v>2552</v>
      </c>
      <c r="CC181" s="14">
        <v>-0.1</v>
      </c>
      <c r="CG181" s="14">
        <v>1.2999999999999999E-2</v>
      </c>
      <c r="CW181" s="14" t="s">
        <v>1199</v>
      </c>
      <c r="CX181" s="14" t="s">
        <v>1200</v>
      </c>
      <c r="CY181" s="14">
        <v>2020</v>
      </c>
      <c r="CZ181" s="36" t="s">
        <v>12</v>
      </c>
      <c r="DA181" s="14" t="s">
        <v>1201</v>
      </c>
      <c r="DB181" s="14">
        <v>139</v>
      </c>
      <c r="DD181" s="14" t="s">
        <v>2189</v>
      </c>
      <c r="DE181" s="14" t="s">
        <v>1202</v>
      </c>
    </row>
    <row r="182" spans="1:109">
      <c r="A182" s="14" t="s">
        <v>1806</v>
      </c>
      <c r="C182" s="14" t="s">
        <v>1203</v>
      </c>
      <c r="D182" s="14" t="s">
        <v>830</v>
      </c>
      <c r="E182" s="14" t="s">
        <v>673</v>
      </c>
      <c r="F182" s="14" t="s">
        <v>2443</v>
      </c>
      <c r="H182" s="14" t="s">
        <v>716</v>
      </c>
      <c r="I182" s="14" t="s">
        <v>3100</v>
      </c>
      <c r="J182" s="14" t="s">
        <v>2441</v>
      </c>
      <c r="L182" s="14" t="s">
        <v>639</v>
      </c>
      <c r="M182" s="14">
        <v>23</v>
      </c>
      <c r="Q182" s="14">
        <v>61.4</v>
      </c>
      <c r="R182" s="14">
        <v>11.2</v>
      </c>
      <c r="V182" s="14">
        <v>13</v>
      </c>
      <c r="W182" s="14">
        <f>V182/M182</f>
        <v>0.56521739130434778</v>
      </c>
      <c r="X182" s="14">
        <v>30.45</v>
      </c>
      <c r="Y182" s="14">
        <v>6.7</v>
      </c>
      <c r="AC182" s="14">
        <v>18</v>
      </c>
      <c r="AD182" s="34">
        <f>AC182/M182</f>
        <v>0.78260869565217395</v>
      </c>
      <c r="AE182" s="35">
        <v>29.05</v>
      </c>
      <c r="AF182" s="35">
        <v>37.4</v>
      </c>
      <c r="BN182" s="27" t="s">
        <v>2552</v>
      </c>
      <c r="CC182" s="14">
        <v>-0.59</v>
      </c>
      <c r="CG182" s="14">
        <v>1.2999999999999999E-2</v>
      </c>
      <c r="CW182" s="14" t="s">
        <v>1199</v>
      </c>
      <c r="CX182" s="14" t="s">
        <v>1200</v>
      </c>
      <c r="CY182" s="14">
        <v>2020</v>
      </c>
      <c r="CZ182" s="36" t="s">
        <v>12</v>
      </c>
      <c r="DA182" s="14" t="s">
        <v>1201</v>
      </c>
      <c r="DB182" s="14">
        <v>139</v>
      </c>
      <c r="DD182" s="14" t="s">
        <v>2189</v>
      </c>
      <c r="DE182" s="14" t="s">
        <v>1202</v>
      </c>
    </row>
    <row r="183" spans="1:109">
      <c r="A183" s="14" t="s">
        <v>2002</v>
      </c>
      <c r="B183" s="14" t="s">
        <v>1761</v>
      </c>
      <c r="C183" s="14" t="s">
        <v>175</v>
      </c>
      <c r="D183" s="14" t="s">
        <v>830</v>
      </c>
      <c r="E183" s="14" t="s">
        <v>673</v>
      </c>
      <c r="F183" s="14" t="s">
        <v>684</v>
      </c>
      <c r="G183" s="14" t="s">
        <v>1059</v>
      </c>
      <c r="H183" s="14" t="s">
        <v>637</v>
      </c>
      <c r="I183" s="14" t="s">
        <v>4055</v>
      </c>
      <c r="J183" s="14" t="s">
        <v>1981</v>
      </c>
      <c r="K183" s="14" t="s">
        <v>1060</v>
      </c>
      <c r="M183" s="14">
        <v>32</v>
      </c>
      <c r="Q183" s="14">
        <v>64.44</v>
      </c>
      <c r="R183" s="14">
        <v>10.42</v>
      </c>
      <c r="V183" s="14">
        <v>15</v>
      </c>
      <c r="W183" s="14">
        <f>V183/M183</f>
        <v>0.46875</v>
      </c>
      <c r="CW183" s="14" t="s">
        <v>170</v>
      </c>
      <c r="CX183" s="14" t="s">
        <v>171</v>
      </c>
      <c r="CY183" s="14">
        <v>2019</v>
      </c>
      <c r="CZ183" s="36">
        <v>45511</v>
      </c>
      <c r="DA183" s="14" t="s">
        <v>172</v>
      </c>
      <c r="DB183" s="14">
        <v>144</v>
      </c>
      <c r="DC183" s="14">
        <v>15</v>
      </c>
      <c r="DD183" s="14" t="s">
        <v>173</v>
      </c>
      <c r="DE183" s="14" t="s">
        <v>174</v>
      </c>
    </row>
    <row r="184" spans="1:109" ht="20">
      <c r="A184" s="13" t="s">
        <v>1762</v>
      </c>
      <c r="B184" s="13" t="s">
        <v>1762</v>
      </c>
      <c r="C184" s="13" t="s">
        <v>180</v>
      </c>
      <c r="D184" s="13" t="s">
        <v>1062</v>
      </c>
      <c r="E184" s="13" t="s">
        <v>672</v>
      </c>
      <c r="F184" s="13" t="s">
        <v>675</v>
      </c>
      <c r="H184" s="13" t="s">
        <v>637</v>
      </c>
      <c r="I184" s="13" t="s">
        <v>3646</v>
      </c>
      <c r="J184" s="13" t="s">
        <v>652</v>
      </c>
      <c r="K184" s="13"/>
      <c r="M184" s="13">
        <v>29</v>
      </c>
      <c r="N184" s="13"/>
      <c r="O184" s="15"/>
      <c r="P184" s="13"/>
      <c r="Q184" s="13"/>
      <c r="R184" s="13"/>
      <c r="S184" s="13">
        <v>66</v>
      </c>
      <c r="T184" s="13"/>
      <c r="U184" s="13"/>
      <c r="V184" s="14">
        <v>11</v>
      </c>
      <c r="W184" s="14">
        <f>V184/M184</f>
        <v>0.37931034482758619</v>
      </c>
      <c r="CW184" s="13" t="s">
        <v>176</v>
      </c>
      <c r="CX184" s="13" t="s">
        <v>177</v>
      </c>
      <c r="CY184" s="13">
        <v>2022</v>
      </c>
      <c r="CZ184" s="13" t="s">
        <v>25</v>
      </c>
      <c r="DA184" s="13" t="s">
        <v>13</v>
      </c>
      <c r="DB184" s="13">
        <v>269</v>
      </c>
      <c r="DC184" s="13">
        <v>3</v>
      </c>
      <c r="DD184" s="13" t="s">
        <v>178</v>
      </c>
      <c r="DE184" s="13" t="s">
        <v>179</v>
      </c>
    </row>
    <row r="185" spans="1:109" ht="20">
      <c r="A185" s="13" t="s">
        <v>3378</v>
      </c>
      <c r="B185" s="13"/>
      <c r="C185" s="13" t="s">
        <v>3307</v>
      </c>
      <c r="D185" s="14" t="s">
        <v>3741</v>
      </c>
      <c r="E185" s="13" t="s">
        <v>725</v>
      </c>
      <c r="F185" s="13" t="s">
        <v>3742</v>
      </c>
      <c r="G185" s="13"/>
      <c r="H185" s="14" t="s">
        <v>3743</v>
      </c>
      <c r="I185" s="13" t="s">
        <v>3744</v>
      </c>
      <c r="J185" s="13" t="s">
        <v>3743</v>
      </c>
      <c r="K185" s="13"/>
      <c r="L185" s="13"/>
      <c r="M185" s="13">
        <v>117</v>
      </c>
      <c r="N185" s="13"/>
      <c r="O185" s="15"/>
      <c r="P185" s="13"/>
      <c r="Q185" s="13"/>
      <c r="R185" s="13"/>
      <c r="S185" s="13"/>
      <c r="T185" s="13"/>
      <c r="U185" s="13"/>
      <c r="V185" s="13"/>
      <c r="W185" s="2"/>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V185" s="13"/>
      <c r="AW185" s="13"/>
      <c r="AX185" s="13"/>
      <c r="AY185" s="13"/>
      <c r="AZ185" s="13"/>
      <c r="BA185" s="16"/>
      <c r="BB185" s="13"/>
      <c r="BC185" s="13"/>
      <c r="BD185" s="13"/>
      <c r="BE185" s="16"/>
      <c r="BF185" s="13"/>
      <c r="BG185" s="13"/>
      <c r="BH185" s="13"/>
      <c r="BI185" s="13"/>
      <c r="BJ185" s="16"/>
      <c r="BK185" s="13"/>
      <c r="BL185" s="13"/>
      <c r="BM185" s="13"/>
      <c r="BN185" s="16"/>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t="s">
        <v>3484</v>
      </c>
      <c r="CX185" s="13" t="s">
        <v>3485</v>
      </c>
      <c r="CY185" s="13">
        <v>2024</v>
      </c>
      <c r="CZ185" s="13" t="s">
        <v>162</v>
      </c>
      <c r="DA185" s="13" t="s">
        <v>3486</v>
      </c>
      <c r="DB185" s="13">
        <v>113</v>
      </c>
      <c r="DC185" s="13"/>
      <c r="DD185" s="13">
        <v>108211</v>
      </c>
      <c r="DE185" s="13" t="s">
        <v>3233</v>
      </c>
    </row>
    <row r="186" spans="1:109">
      <c r="A186" s="14" t="s">
        <v>1807</v>
      </c>
      <c r="C186" s="14" t="s">
        <v>1208</v>
      </c>
      <c r="D186" s="14" t="s">
        <v>820</v>
      </c>
      <c r="E186" s="14" t="s">
        <v>673</v>
      </c>
      <c r="F186" s="14" t="s">
        <v>686</v>
      </c>
      <c r="H186" s="14" t="s">
        <v>703</v>
      </c>
      <c r="I186" s="14" t="s">
        <v>3112</v>
      </c>
      <c r="J186" s="14" t="s">
        <v>585</v>
      </c>
      <c r="L186" s="14" t="s">
        <v>639</v>
      </c>
      <c r="M186" s="14">
        <v>219</v>
      </c>
      <c r="P186" s="14">
        <v>18</v>
      </c>
      <c r="S186" s="14">
        <v>64</v>
      </c>
      <c r="T186" s="14">
        <v>57</v>
      </c>
      <c r="U186" s="14">
        <v>71</v>
      </c>
      <c r="V186" s="14">
        <v>132</v>
      </c>
      <c r="W186" s="14">
        <f t="shared" ref="W186:W216" si="18">V186/M186</f>
        <v>0.60273972602739723</v>
      </c>
      <c r="Z186" s="14">
        <v>37</v>
      </c>
      <c r="AA186" s="14">
        <v>32</v>
      </c>
      <c r="AB186" s="14">
        <v>42</v>
      </c>
      <c r="AG186" s="35">
        <v>14</v>
      </c>
      <c r="AH186" s="35">
        <v>9</v>
      </c>
      <c r="AI186" s="35">
        <v>24</v>
      </c>
      <c r="AU186" s="14" t="s">
        <v>2449</v>
      </c>
      <c r="BE186" s="29" t="s">
        <v>2448</v>
      </c>
      <c r="BG186" s="14">
        <v>1.0009999999999999</v>
      </c>
      <c r="BH186" s="14">
        <v>1</v>
      </c>
      <c r="BI186" s="14">
        <v>1.01</v>
      </c>
      <c r="BJ186" s="29" t="s">
        <v>4111</v>
      </c>
      <c r="BK186" s="14">
        <v>3.86</v>
      </c>
      <c r="BL186" s="14">
        <v>2.0499999999999998</v>
      </c>
      <c r="BM186" s="14">
        <v>7.28</v>
      </c>
      <c r="BN186" s="27" t="s">
        <v>2552</v>
      </c>
      <c r="BQ186" s="14">
        <v>0.317</v>
      </c>
      <c r="BU186" s="14" t="s">
        <v>635</v>
      </c>
      <c r="CW186" s="14" t="s">
        <v>1204</v>
      </c>
      <c r="CX186" s="14" t="s">
        <v>1205</v>
      </c>
      <c r="CY186" s="14">
        <v>2020</v>
      </c>
      <c r="CZ186" s="36" t="s">
        <v>119</v>
      </c>
      <c r="DA186" s="14" t="s">
        <v>13</v>
      </c>
      <c r="DB186" s="14">
        <v>267</v>
      </c>
      <c r="DC186" s="14">
        <v>8</v>
      </c>
      <c r="DD186" s="14" t="s">
        <v>1206</v>
      </c>
      <c r="DE186" s="14" t="s">
        <v>1207</v>
      </c>
    </row>
    <row r="187" spans="1:109">
      <c r="A187" s="14" t="s">
        <v>1808</v>
      </c>
      <c r="B187" s="14" t="s">
        <v>1688</v>
      </c>
      <c r="C187" s="14" t="s">
        <v>185</v>
      </c>
      <c r="D187" s="14" t="s">
        <v>818</v>
      </c>
      <c r="E187" s="14" t="s">
        <v>673</v>
      </c>
      <c r="F187" s="14" t="s">
        <v>675</v>
      </c>
      <c r="H187" s="14" t="s">
        <v>703</v>
      </c>
      <c r="I187" s="14" t="s">
        <v>3112</v>
      </c>
      <c r="J187" s="14" t="s">
        <v>652</v>
      </c>
      <c r="L187" s="14" t="s">
        <v>639</v>
      </c>
      <c r="M187" s="14">
        <v>143</v>
      </c>
      <c r="P187" s="14">
        <v>20</v>
      </c>
      <c r="S187" s="14">
        <v>64</v>
      </c>
      <c r="T187" s="14">
        <v>55</v>
      </c>
      <c r="U187" s="14">
        <v>72</v>
      </c>
      <c r="V187" s="14">
        <v>87</v>
      </c>
      <c r="W187" s="14">
        <f t="shared" si="18"/>
        <v>0.60839160839160844</v>
      </c>
      <c r="Z187" s="14">
        <v>41</v>
      </c>
      <c r="AA187" s="14">
        <v>36</v>
      </c>
      <c r="AB187" s="14">
        <v>44</v>
      </c>
      <c r="AG187" s="35">
        <v>9</v>
      </c>
      <c r="AH187" s="35">
        <v>7</v>
      </c>
      <c r="AI187" s="35">
        <v>12</v>
      </c>
      <c r="AU187" s="14" t="s">
        <v>2449</v>
      </c>
      <c r="BE187" s="29" t="s">
        <v>2450</v>
      </c>
      <c r="BJ187" s="29" t="s">
        <v>4107</v>
      </c>
      <c r="BK187" s="14">
        <v>5.62</v>
      </c>
      <c r="BL187" s="14">
        <v>2.93</v>
      </c>
      <c r="BM187" s="14">
        <v>10.77</v>
      </c>
      <c r="BN187" s="27" t="s">
        <v>2552</v>
      </c>
      <c r="BQ187" s="14">
        <v>0.47</v>
      </c>
      <c r="BU187" s="14" t="s">
        <v>635</v>
      </c>
      <c r="CW187" s="14" t="s">
        <v>181</v>
      </c>
      <c r="CX187" s="14" t="s">
        <v>182</v>
      </c>
      <c r="CY187" s="14">
        <v>2022</v>
      </c>
      <c r="CZ187" s="36" t="s">
        <v>53</v>
      </c>
      <c r="DA187" s="14" t="s">
        <v>19</v>
      </c>
      <c r="DB187" s="14">
        <v>29</v>
      </c>
      <c r="DC187" s="14">
        <v>7</v>
      </c>
      <c r="DD187" s="14" t="s">
        <v>183</v>
      </c>
      <c r="DE187" s="14" t="s">
        <v>184</v>
      </c>
    </row>
    <row r="188" spans="1:109">
      <c r="A188" s="14" t="s">
        <v>1808</v>
      </c>
      <c r="B188" s="14" t="s">
        <v>1688</v>
      </c>
      <c r="C188" s="14" t="s">
        <v>185</v>
      </c>
      <c r="D188" s="14" t="s">
        <v>818</v>
      </c>
      <c r="E188" s="14" t="s">
        <v>673</v>
      </c>
      <c r="F188" s="14" t="s">
        <v>675</v>
      </c>
      <c r="H188" s="14" t="s">
        <v>703</v>
      </c>
      <c r="I188" s="14" t="s">
        <v>3112</v>
      </c>
      <c r="J188" s="14" t="s">
        <v>652</v>
      </c>
      <c r="L188" s="14" t="s">
        <v>639</v>
      </c>
      <c r="M188" s="14">
        <v>143</v>
      </c>
      <c r="P188" s="14">
        <v>20</v>
      </c>
      <c r="S188" s="14">
        <v>64</v>
      </c>
      <c r="T188" s="14">
        <v>55</v>
      </c>
      <c r="U188" s="14">
        <v>72</v>
      </c>
      <c r="V188" s="14">
        <v>87</v>
      </c>
      <c r="W188" s="14">
        <f t="shared" si="18"/>
        <v>0.60839160839160844</v>
      </c>
      <c r="Z188" s="14">
        <v>41</v>
      </c>
      <c r="AA188" s="14">
        <v>36</v>
      </c>
      <c r="AB188" s="14">
        <v>44</v>
      </c>
      <c r="AG188" s="35">
        <v>9</v>
      </c>
      <c r="AH188" s="35">
        <v>7</v>
      </c>
      <c r="AI188" s="35">
        <v>12</v>
      </c>
      <c r="BN188" s="27" t="s">
        <v>2231</v>
      </c>
      <c r="BQ188" s="29">
        <v>0.52</v>
      </c>
      <c r="BR188" s="29"/>
      <c r="BS188" s="29">
        <v>0.3</v>
      </c>
      <c r="BT188" s="29">
        <v>0.63</v>
      </c>
      <c r="CW188" s="14" t="s">
        <v>181</v>
      </c>
      <c r="CX188" s="14" t="s">
        <v>182</v>
      </c>
      <c r="CY188" s="14">
        <v>2022</v>
      </c>
      <c r="CZ188" s="36" t="s">
        <v>53</v>
      </c>
      <c r="DA188" s="14" t="s">
        <v>19</v>
      </c>
      <c r="DB188" s="14">
        <v>29</v>
      </c>
      <c r="DC188" s="14">
        <v>7</v>
      </c>
      <c r="DD188" s="14" t="s">
        <v>183</v>
      </c>
      <c r="DE188" s="14" t="s">
        <v>184</v>
      </c>
    </row>
    <row r="189" spans="1:109">
      <c r="A189" s="14" t="s">
        <v>1808</v>
      </c>
      <c r="B189" s="14" t="s">
        <v>1688</v>
      </c>
      <c r="C189" s="14" t="s">
        <v>185</v>
      </c>
      <c r="D189" s="14" t="s">
        <v>818</v>
      </c>
      <c r="E189" s="14" t="s">
        <v>673</v>
      </c>
      <c r="F189" s="14" t="s">
        <v>757</v>
      </c>
      <c r="H189" s="14" t="s">
        <v>703</v>
      </c>
      <c r="I189" s="14" t="s">
        <v>3112</v>
      </c>
      <c r="J189" s="14" t="s">
        <v>652</v>
      </c>
      <c r="L189" s="14" t="s">
        <v>639</v>
      </c>
      <c r="M189" s="14">
        <v>143</v>
      </c>
      <c r="P189" s="14">
        <v>20</v>
      </c>
      <c r="S189" s="14">
        <v>64</v>
      </c>
      <c r="T189" s="14">
        <v>55</v>
      </c>
      <c r="U189" s="14">
        <v>72</v>
      </c>
      <c r="V189" s="14">
        <v>87</v>
      </c>
      <c r="W189" s="14">
        <f t="shared" si="18"/>
        <v>0.60839160839160844</v>
      </c>
      <c r="Z189" s="14">
        <v>41</v>
      </c>
      <c r="AA189" s="14">
        <v>36</v>
      </c>
      <c r="AB189" s="14">
        <v>44</v>
      </c>
      <c r="AG189" s="35">
        <v>9</v>
      </c>
      <c r="AH189" s="35">
        <v>7</v>
      </c>
      <c r="AI189" s="35">
        <v>12</v>
      </c>
      <c r="AU189" s="14" t="s">
        <v>2449</v>
      </c>
      <c r="BE189" s="29" t="s">
        <v>2450</v>
      </c>
      <c r="BJ189" s="29" t="s">
        <v>4107</v>
      </c>
      <c r="BK189" s="14">
        <v>1.88</v>
      </c>
      <c r="BL189" s="14">
        <v>1.06</v>
      </c>
      <c r="BM189" s="14">
        <v>3.33</v>
      </c>
      <c r="BN189" s="27" t="s">
        <v>2552</v>
      </c>
      <c r="BQ189" s="14">
        <v>0.2</v>
      </c>
      <c r="BU189" s="14">
        <v>0.02</v>
      </c>
      <c r="CW189" s="14" t="s">
        <v>181</v>
      </c>
      <c r="CX189" s="14" t="s">
        <v>182</v>
      </c>
      <c r="CY189" s="14">
        <v>2022</v>
      </c>
      <c r="CZ189" s="36" t="s">
        <v>53</v>
      </c>
      <c r="DA189" s="14" t="s">
        <v>19</v>
      </c>
      <c r="DB189" s="14">
        <v>29</v>
      </c>
      <c r="DC189" s="14">
        <v>7</v>
      </c>
      <c r="DD189" s="14" t="s">
        <v>183</v>
      </c>
      <c r="DE189" s="14" t="s">
        <v>184</v>
      </c>
    </row>
    <row r="190" spans="1:109">
      <c r="A190" s="14" t="s">
        <v>1808</v>
      </c>
      <c r="B190" s="14" t="s">
        <v>1688</v>
      </c>
      <c r="C190" s="14" t="s">
        <v>185</v>
      </c>
      <c r="D190" s="14" t="s">
        <v>818</v>
      </c>
      <c r="E190" s="14" t="s">
        <v>673</v>
      </c>
      <c r="F190" s="14" t="s">
        <v>758</v>
      </c>
      <c r="H190" s="14" t="s">
        <v>703</v>
      </c>
      <c r="I190" s="14" t="s">
        <v>3112</v>
      </c>
      <c r="J190" s="14" t="s">
        <v>652</v>
      </c>
      <c r="L190" s="14" t="s">
        <v>639</v>
      </c>
      <c r="M190" s="14">
        <v>143</v>
      </c>
      <c r="P190" s="14">
        <v>20</v>
      </c>
      <c r="S190" s="14">
        <v>64</v>
      </c>
      <c r="T190" s="14">
        <v>55</v>
      </c>
      <c r="U190" s="14">
        <v>72</v>
      </c>
      <c r="V190" s="14">
        <v>87</v>
      </c>
      <c r="W190" s="14">
        <f t="shared" si="18"/>
        <v>0.60839160839160844</v>
      </c>
      <c r="Z190" s="14">
        <v>41</v>
      </c>
      <c r="AA190" s="14">
        <v>36</v>
      </c>
      <c r="AB190" s="14">
        <v>44</v>
      </c>
      <c r="AG190" s="35">
        <v>9</v>
      </c>
      <c r="AH190" s="35">
        <v>7</v>
      </c>
      <c r="AI190" s="35">
        <v>12</v>
      </c>
      <c r="AU190" s="14" t="s">
        <v>2449</v>
      </c>
      <c r="BE190" s="29" t="s">
        <v>2450</v>
      </c>
      <c r="BJ190" s="29" t="s">
        <v>4107</v>
      </c>
      <c r="BK190" s="14">
        <v>0.89</v>
      </c>
      <c r="BL190" s="14">
        <v>0.48</v>
      </c>
      <c r="BM190" s="14">
        <v>1.65</v>
      </c>
      <c r="BN190" s="27" t="s">
        <v>2552</v>
      </c>
      <c r="BQ190" s="14">
        <v>0.27</v>
      </c>
      <c r="BU190" s="14">
        <v>0.01</v>
      </c>
      <c r="CW190" s="14" t="s">
        <v>181</v>
      </c>
      <c r="CX190" s="14" t="s">
        <v>182</v>
      </c>
      <c r="CY190" s="14">
        <v>2022</v>
      </c>
      <c r="CZ190" s="36" t="s">
        <v>53</v>
      </c>
      <c r="DA190" s="14" t="s">
        <v>19</v>
      </c>
      <c r="DB190" s="14">
        <v>29</v>
      </c>
      <c r="DC190" s="14">
        <v>7</v>
      </c>
      <c r="DD190" s="14" t="s">
        <v>183</v>
      </c>
      <c r="DE190" s="14" t="s">
        <v>184</v>
      </c>
    </row>
    <row r="191" spans="1:109">
      <c r="A191" s="14" t="s">
        <v>1808</v>
      </c>
      <c r="B191" s="14" t="s">
        <v>1688</v>
      </c>
      <c r="C191" s="14" t="s">
        <v>185</v>
      </c>
      <c r="D191" s="14" t="s">
        <v>818</v>
      </c>
      <c r="E191" s="14" t="s">
        <v>673</v>
      </c>
      <c r="F191" s="14" t="s">
        <v>676</v>
      </c>
      <c r="H191" s="14" t="s">
        <v>703</v>
      </c>
      <c r="I191" s="14" t="s">
        <v>3112</v>
      </c>
      <c r="J191" s="14" t="s">
        <v>652</v>
      </c>
      <c r="L191" s="14" t="s">
        <v>639</v>
      </c>
      <c r="M191" s="14">
        <v>143</v>
      </c>
      <c r="P191" s="14">
        <v>20</v>
      </c>
      <c r="S191" s="14">
        <v>64</v>
      </c>
      <c r="T191" s="14">
        <v>55</v>
      </c>
      <c r="U191" s="14">
        <v>72</v>
      </c>
      <c r="V191" s="14">
        <v>87</v>
      </c>
      <c r="W191" s="14">
        <f t="shared" si="18"/>
        <v>0.60839160839160844</v>
      </c>
      <c r="Z191" s="14">
        <v>41</v>
      </c>
      <c r="AA191" s="14">
        <v>36</v>
      </c>
      <c r="AB191" s="14">
        <v>44</v>
      </c>
      <c r="AG191" s="35">
        <v>9</v>
      </c>
      <c r="AH191" s="35">
        <v>7</v>
      </c>
      <c r="AI191" s="35">
        <v>12</v>
      </c>
      <c r="AU191" s="14" t="s">
        <v>2449</v>
      </c>
      <c r="BE191" s="29" t="s">
        <v>2450</v>
      </c>
      <c r="BN191" s="27" t="s">
        <v>2552</v>
      </c>
      <c r="BU191" s="14" t="s">
        <v>761</v>
      </c>
      <c r="CW191" s="14" t="s">
        <v>181</v>
      </c>
      <c r="CX191" s="14" t="s">
        <v>182</v>
      </c>
      <c r="CY191" s="14">
        <v>2022</v>
      </c>
      <c r="CZ191" s="36" t="s">
        <v>53</v>
      </c>
      <c r="DA191" s="14" t="s">
        <v>19</v>
      </c>
      <c r="DB191" s="14">
        <v>29</v>
      </c>
      <c r="DC191" s="14">
        <v>7</v>
      </c>
      <c r="DD191" s="14" t="s">
        <v>183</v>
      </c>
      <c r="DE191" s="14" t="s">
        <v>184</v>
      </c>
    </row>
    <row r="192" spans="1:109" ht="20">
      <c r="A192" s="13" t="s">
        <v>3379</v>
      </c>
      <c r="B192" s="13"/>
      <c r="C192" s="13" t="s">
        <v>3308</v>
      </c>
      <c r="D192" s="14" t="s">
        <v>831</v>
      </c>
      <c r="E192" s="13" t="s">
        <v>672</v>
      </c>
      <c r="F192" s="13" t="s">
        <v>2724</v>
      </c>
      <c r="G192" s="13"/>
      <c r="H192" s="14" t="s">
        <v>703</v>
      </c>
      <c r="I192" s="13" t="s">
        <v>4168</v>
      </c>
      <c r="J192" s="13" t="s">
        <v>3747</v>
      </c>
      <c r="K192" s="13" t="s">
        <v>3746</v>
      </c>
      <c r="L192" s="13" t="s">
        <v>639</v>
      </c>
      <c r="M192" s="13">
        <v>56</v>
      </c>
      <c r="N192" s="13"/>
      <c r="O192" s="15"/>
      <c r="P192" s="13"/>
      <c r="Q192" s="13"/>
      <c r="R192" s="13"/>
      <c r="S192" s="13">
        <v>62.7</v>
      </c>
      <c r="T192" s="13">
        <v>55.6</v>
      </c>
      <c r="U192" s="13">
        <v>72.099999999999994</v>
      </c>
      <c r="V192" s="13">
        <v>37</v>
      </c>
      <c r="W192" s="2">
        <f t="shared" si="18"/>
        <v>0.6607142857142857</v>
      </c>
      <c r="X192" s="13"/>
      <c r="Y192" s="13"/>
      <c r="Z192" s="13">
        <v>44</v>
      </c>
      <c r="AA192" s="13">
        <v>42</v>
      </c>
      <c r="AB192" s="13">
        <v>45</v>
      </c>
      <c r="AC192" s="13"/>
      <c r="AD192" s="13"/>
      <c r="AE192" s="13"/>
      <c r="AF192" s="13"/>
      <c r="AG192" s="13">
        <v>8.5</v>
      </c>
      <c r="AH192" s="13">
        <v>6</v>
      </c>
      <c r="AI192" s="13">
        <v>12</v>
      </c>
      <c r="AJ192" s="13"/>
      <c r="AK192" s="13"/>
      <c r="AL192" s="13"/>
      <c r="AM192" s="13"/>
      <c r="AN192" s="13"/>
      <c r="AO192" s="13"/>
      <c r="AP192" s="13"/>
      <c r="AQ192" s="13"/>
      <c r="AR192" s="13"/>
      <c r="AS192" s="13"/>
      <c r="AT192" s="13"/>
      <c r="AV192" s="13"/>
      <c r="AW192" s="13"/>
      <c r="AX192" s="13"/>
      <c r="AY192" s="13"/>
      <c r="AZ192" s="13"/>
      <c r="BA192" s="16"/>
      <c r="BB192" s="13"/>
      <c r="BC192" s="13"/>
      <c r="BD192" s="13"/>
      <c r="BE192" s="16"/>
      <c r="BF192" s="13"/>
      <c r="BG192" s="13"/>
      <c r="BH192" s="13"/>
      <c r="BI192" s="13"/>
      <c r="BJ192" s="16"/>
      <c r="BK192" s="13"/>
      <c r="BL192" s="13"/>
      <c r="BM192" s="13"/>
      <c r="BN192" s="16" t="s">
        <v>2231</v>
      </c>
      <c r="BO192" s="13"/>
      <c r="BP192" s="13"/>
      <c r="BQ192" s="13"/>
      <c r="BR192" s="13"/>
      <c r="BS192" s="13"/>
      <c r="BT192" s="13"/>
      <c r="BU192" s="13"/>
      <c r="BV192" s="13"/>
      <c r="BW192" s="13"/>
      <c r="BX192" s="13"/>
      <c r="BY192" s="13"/>
      <c r="BZ192" s="13"/>
      <c r="CA192" s="13"/>
      <c r="CB192" s="13"/>
      <c r="CC192" s="13">
        <v>-0.10199999999999999</v>
      </c>
      <c r="CD192" s="13"/>
      <c r="CE192" s="13"/>
      <c r="CF192" s="13"/>
      <c r="CG192" s="13">
        <v>0.45600000000000002</v>
      </c>
      <c r="CH192" s="13"/>
      <c r="CI192" s="13"/>
      <c r="CJ192" s="13"/>
      <c r="CK192" s="13"/>
      <c r="CL192" s="13"/>
      <c r="CM192" s="13"/>
      <c r="CN192" s="13"/>
      <c r="CO192" s="13"/>
      <c r="CP192" s="13"/>
      <c r="CQ192" s="13"/>
      <c r="CR192" s="13"/>
      <c r="CS192" s="13"/>
      <c r="CT192" s="13"/>
      <c r="CU192" s="13"/>
      <c r="CV192" s="13"/>
      <c r="CW192" s="13" t="s">
        <v>3487</v>
      </c>
      <c r="CX192" s="13" t="s">
        <v>3488</v>
      </c>
      <c r="CY192" s="13">
        <v>2024</v>
      </c>
      <c r="CZ192" s="21">
        <v>45896</v>
      </c>
      <c r="DA192" s="13" t="s">
        <v>61</v>
      </c>
      <c r="DB192" s="13">
        <v>14</v>
      </c>
      <c r="DC192" s="13">
        <v>1</v>
      </c>
      <c r="DD192" s="13">
        <v>19796</v>
      </c>
      <c r="DE192" s="13" t="s">
        <v>3234</v>
      </c>
    </row>
    <row r="193" spans="1:109" ht="20">
      <c r="A193" s="13" t="s">
        <v>3379</v>
      </c>
      <c r="B193" s="13"/>
      <c r="C193" s="13" t="s">
        <v>3308</v>
      </c>
      <c r="D193" s="14" t="s">
        <v>831</v>
      </c>
      <c r="E193" s="13" t="s">
        <v>672</v>
      </c>
      <c r="F193" s="13" t="s">
        <v>2720</v>
      </c>
      <c r="G193" s="13"/>
      <c r="H193" s="14" t="s">
        <v>703</v>
      </c>
      <c r="I193" s="13" t="s">
        <v>4168</v>
      </c>
      <c r="J193" s="13" t="s">
        <v>3747</v>
      </c>
      <c r="K193" s="13" t="s">
        <v>3746</v>
      </c>
      <c r="L193" s="13" t="s">
        <v>639</v>
      </c>
      <c r="M193" s="13">
        <v>56</v>
      </c>
      <c r="N193" s="13"/>
      <c r="O193" s="15"/>
      <c r="P193" s="13"/>
      <c r="Q193" s="13"/>
      <c r="R193" s="13"/>
      <c r="S193" s="13">
        <v>62.7</v>
      </c>
      <c r="T193" s="13">
        <v>55.6</v>
      </c>
      <c r="U193" s="13">
        <v>72.099999999999994</v>
      </c>
      <c r="V193" s="13">
        <v>37</v>
      </c>
      <c r="W193" s="2">
        <f t="shared" si="18"/>
        <v>0.6607142857142857</v>
      </c>
      <c r="X193" s="13"/>
      <c r="Y193" s="13"/>
      <c r="Z193" s="13">
        <v>44</v>
      </c>
      <c r="AA193" s="13">
        <v>42</v>
      </c>
      <c r="AB193" s="13">
        <v>45</v>
      </c>
      <c r="AC193" s="13"/>
      <c r="AD193" s="13"/>
      <c r="AE193" s="13"/>
      <c r="AF193" s="13"/>
      <c r="AG193" s="13">
        <v>8.5</v>
      </c>
      <c r="AH193" s="13">
        <v>6</v>
      </c>
      <c r="AI193" s="13">
        <v>12</v>
      </c>
      <c r="AJ193" s="13"/>
      <c r="AK193" s="13"/>
      <c r="AL193" s="13"/>
      <c r="AM193" s="13"/>
      <c r="AN193" s="13"/>
      <c r="AO193" s="13"/>
      <c r="AP193" s="13"/>
      <c r="AQ193" s="13"/>
      <c r="AR193" s="13"/>
      <c r="AS193" s="13"/>
      <c r="AT193" s="13"/>
      <c r="AV193" s="13"/>
      <c r="AW193" s="13"/>
      <c r="AX193" s="13"/>
      <c r="AY193" s="13"/>
      <c r="AZ193" s="13"/>
      <c r="BA193" s="16"/>
      <c r="BB193" s="13"/>
      <c r="BC193" s="13"/>
      <c r="BD193" s="13"/>
      <c r="BE193" s="16"/>
      <c r="BF193" s="13"/>
      <c r="BG193" s="13"/>
      <c r="BH193" s="13"/>
      <c r="BI193" s="13"/>
      <c r="BJ193" s="16"/>
      <c r="BK193" s="13"/>
      <c r="BL193" s="13"/>
      <c r="BM193" s="13"/>
      <c r="BN193" s="16" t="s">
        <v>2231</v>
      </c>
      <c r="BO193" s="13"/>
      <c r="BP193" s="13"/>
      <c r="BQ193" s="13"/>
      <c r="BR193" s="13"/>
      <c r="BS193" s="13"/>
      <c r="BT193" s="13"/>
      <c r="BU193" s="13"/>
      <c r="BV193" s="13"/>
      <c r="BW193" s="13"/>
      <c r="BX193" s="13"/>
      <c r="BY193" s="13"/>
      <c r="BZ193" s="13"/>
      <c r="CA193" s="13"/>
      <c r="CB193" s="13"/>
      <c r="CC193" s="13">
        <v>-0.21299999999999999</v>
      </c>
      <c r="CD193" s="13"/>
      <c r="CE193" s="13"/>
      <c r="CF193" s="13"/>
      <c r="CG193" s="13">
        <v>0.114</v>
      </c>
      <c r="CH193" s="13"/>
      <c r="CI193" s="13"/>
      <c r="CJ193" s="13"/>
      <c r="CK193" s="13"/>
      <c r="CL193" s="13"/>
      <c r="CM193" s="13"/>
      <c r="CN193" s="13"/>
      <c r="CO193" s="13"/>
      <c r="CP193" s="13"/>
      <c r="CQ193" s="13"/>
      <c r="CR193" s="13"/>
      <c r="CS193" s="13"/>
      <c r="CT193" s="13"/>
      <c r="CU193" s="13"/>
      <c r="CV193" s="13"/>
      <c r="CW193" s="13" t="s">
        <v>3487</v>
      </c>
      <c r="CX193" s="13" t="s">
        <v>3488</v>
      </c>
      <c r="CY193" s="13">
        <v>2024</v>
      </c>
      <c r="CZ193" s="21">
        <v>45896</v>
      </c>
      <c r="DA193" s="13" t="s">
        <v>61</v>
      </c>
      <c r="DB193" s="13">
        <v>14</v>
      </c>
      <c r="DC193" s="13">
        <v>1</v>
      </c>
      <c r="DD193" s="13">
        <v>19796</v>
      </c>
      <c r="DE193" s="13" t="s">
        <v>3234</v>
      </c>
    </row>
    <row r="194" spans="1:109" ht="20">
      <c r="A194" s="13" t="s">
        <v>3379</v>
      </c>
      <c r="B194" s="13"/>
      <c r="C194" s="13" t="s">
        <v>3308</v>
      </c>
      <c r="D194" s="14" t="s">
        <v>831</v>
      </c>
      <c r="E194" s="13" t="s">
        <v>672</v>
      </c>
      <c r="F194" s="13" t="s">
        <v>2721</v>
      </c>
      <c r="G194" s="13"/>
      <c r="H194" s="14" t="s">
        <v>703</v>
      </c>
      <c r="I194" s="13" t="s">
        <v>4168</v>
      </c>
      <c r="J194" s="13" t="s">
        <v>3747</v>
      </c>
      <c r="K194" s="13" t="s">
        <v>3746</v>
      </c>
      <c r="L194" s="13" t="s">
        <v>639</v>
      </c>
      <c r="M194" s="13">
        <v>56</v>
      </c>
      <c r="N194" s="13"/>
      <c r="O194" s="15"/>
      <c r="P194" s="13"/>
      <c r="Q194" s="13"/>
      <c r="R194" s="13"/>
      <c r="S194" s="13">
        <v>62.7</v>
      </c>
      <c r="T194" s="13">
        <v>55.6</v>
      </c>
      <c r="U194" s="13">
        <v>72.099999999999994</v>
      </c>
      <c r="V194" s="13">
        <v>37</v>
      </c>
      <c r="W194" s="2">
        <f t="shared" si="18"/>
        <v>0.6607142857142857</v>
      </c>
      <c r="X194" s="13"/>
      <c r="Y194" s="13"/>
      <c r="Z194" s="13">
        <v>44</v>
      </c>
      <c r="AA194" s="13">
        <v>42</v>
      </c>
      <c r="AB194" s="13">
        <v>45</v>
      </c>
      <c r="AC194" s="13"/>
      <c r="AD194" s="13"/>
      <c r="AE194" s="13"/>
      <c r="AF194" s="13"/>
      <c r="AG194" s="13">
        <v>8.5</v>
      </c>
      <c r="AH194" s="13">
        <v>6</v>
      </c>
      <c r="AI194" s="13">
        <v>12</v>
      </c>
      <c r="AJ194" s="13"/>
      <c r="AK194" s="13"/>
      <c r="AL194" s="13"/>
      <c r="AM194" s="13"/>
      <c r="AN194" s="13"/>
      <c r="AO194" s="13"/>
      <c r="AP194" s="13"/>
      <c r="AQ194" s="13"/>
      <c r="AR194" s="13"/>
      <c r="AS194" s="13"/>
      <c r="AT194" s="13"/>
      <c r="AV194" s="13"/>
      <c r="AW194" s="13"/>
      <c r="AX194" s="13"/>
      <c r="AY194" s="13"/>
      <c r="AZ194" s="13"/>
      <c r="BA194" s="16"/>
      <c r="BB194" s="13"/>
      <c r="BC194" s="13"/>
      <c r="BD194" s="13"/>
      <c r="BE194" s="16"/>
      <c r="BF194" s="13"/>
      <c r="BG194" s="13"/>
      <c r="BH194" s="13"/>
      <c r="BI194" s="13"/>
      <c r="BJ194" s="16"/>
      <c r="BK194" s="13"/>
      <c r="BL194" s="13"/>
      <c r="BM194" s="13"/>
      <c r="BN194" s="16" t="s">
        <v>2231</v>
      </c>
      <c r="BO194" s="13"/>
      <c r="BP194" s="13"/>
      <c r="BQ194" s="13"/>
      <c r="BR194" s="13"/>
      <c r="BS194" s="13"/>
      <c r="BT194" s="13"/>
      <c r="BU194" s="13"/>
      <c r="BV194" s="13"/>
      <c r="BW194" s="13"/>
      <c r="BX194" s="13"/>
      <c r="BY194" s="13"/>
      <c r="BZ194" s="13"/>
      <c r="CA194" s="13"/>
      <c r="CB194" s="13"/>
      <c r="CC194" s="13">
        <v>-0.29099999999999998</v>
      </c>
      <c r="CD194" s="13"/>
      <c r="CE194" s="13"/>
      <c r="CF194" s="13"/>
      <c r="CG194" s="13">
        <v>0.03</v>
      </c>
      <c r="CH194" s="13"/>
      <c r="CI194" s="13"/>
      <c r="CJ194" s="13"/>
      <c r="CK194" s="13"/>
      <c r="CL194" s="13"/>
      <c r="CM194" s="13"/>
      <c r="CN194" s="13"/>
      <c r="CO194" s="13"/>
      <c r="CP194" s="13"/>
      <c r="CQ194" s="13"/>
      <c r="CR194" s="13"/>
      <c r="CS194" s="13"/>
      <c r="CT194" s="13"/>
      <c r="CU194" s="13"/>
      <c r="CV194" s="13"/>
      <c r="CW194" s="13" t="s">
        <v>3487</v>
      </c>
      <c r="CX194" s="13" t="s">
        <v>3488</v>
      </c>
      <c r="CY194" s="13">
        <v>2024</v>
      </c>
      <c r="CZ194" s="21">
        <v>45896</v>
      </c>
      <c r="DA194" s="13" t="s">
        <v>61</v>
      </c>
      <c r="DB194" s="13">
        <v>14</v>
      </c>
      <c r="DC194" s="13">
        <v>1</v>
      </c>
      <c r="DD194" s="13">
        <v>19796</v>
      </c>
      <c r="DE194" s="13" t="s">
        <v>3234</v>
      </c>
    </row>
    <row r="195" spans="1:109" ht="20">
      <c r="A195" s="13" t="s">
        <v>3379</v>
      </c>
      <c r="B195" s="13"/>
      <c r="C195" s="13" t="s">
        <v>3308</v>
      </c>
      <c r="D195" s="14" t="s">
        <v>831</v>
      </c>
      <c r="E195" s="13" t="s">
        <v>672</v>
      </c>
      <c r="F195" s="13" t="s">
        <v>3748</v>
      </c>
      <c r="G195" s="13"/>
      <c r="H195" s="14" t="s">
        <v>703</v>
      </c>
      <c r="I195" s="13" t="s">
        <v>4168</v>
      </c>
      <c r="J195" s="13" t="s">
        <v>3747</v>
      </c>
      <c r="K195" s="13" t="s">
        <v>3746</v>
      </c>
      <c r="L195" s="13" t="s">
        <v>639</v>
      </c>
      <c r="M195" s="13">
        <v>56</v>
      </c>
      <c r="N195" s="13"/>
      <c r="O195" s="15"/>
      <c r="P195" s="13"/>
      <c r="Q195" s="13"/>
      <c r="R195" s="13"/>
      <c r="S195" s="13">
        <v>62.7</v>
      </c>
      <c r="T195" s="13">
        <v>55.6</v>
      </c>
      <c r="U195" s="13">
        <v>72.099999999999994</v>
      </c>
      <c r="V195" s="13">
        <v>37</v>
      </c>
      <c r="W195" s="2">
        <f t="shared" si="18"/>
        <v>0.6607142857142857</v>
      </c>
      <c r="X195" s="13"/>
      <c r="Y195" s="13"/>
      <c r="Z195" s="13">
        <v>44</v>
      </c>
      <c r="AA195" s="13">
        <v>42</v>
      </c>
      <c r="AB195" s="13">
        <v>45</v>
      </c>
      <c r="AC195" s="13"/>
      <c r="AD195" s="13"/>
      <c r="AE195" s="13"/>
      <c r="AF195" s="13"/>
      <c r="AG195" s="13">
        <v>8.5</v>
      </c>
      <c r="AH195" s="13">
        <v>6</v>
      </c>
      <c r="AI195" s="13">
        <v>12</v>
      </c>
      <c r="AJ195" s="13"/>
      <c r="AK195" s="13"/>
      <c r="AL195" s="13"/>
      <c r="AM195" s="13"/>
      <c r="AN195" s="13"/>
      <c r="AO195" s="13"/>
      <c r="AP195" s="13"/>
      <c r="AQ195" s="13"/>
      <c r="AR195" s="13"/>
      <c r="AS195" s="13"/>
      <c r="AT195" s="13"/>
      <c r="AV195" s="13"/>
      <c r="AW195" s="13"/>
      <c r="AX195" s="13"/>
      <c r="AY195" s="13"/>
      <c r="AZ195" s="13"/>
      <c r="BA195" s="16"/>
      <c r="BB195" s="13"/>
      <c r="BC195" s="13"/>
      <c r="BD195" s="13"/>
      <c r="BE195" s="16"/>
      <c r="BF195" s="13"/>
      <c r="BG195" s="13"/>
      <c r="BH195" s="13"/>
      <c r="BI195" s="13"/>
      <c r="BJ195" s="16"/>
      <c r="BK195" s="13"/>
      <c r="BL195" s="13"/>
      <c r="BM195" s="13"/>
      <c r="BN195" s="16" t="s">
        <v>2231</v>
      </c>
      <c r="BO195" s="13"/>
      <c r="BP195" s="13"/>
      <c r="BQ195" s="13"/>
      <c r="BR195" s="13"/>
      <c r="BS195" s="13"/>
      <c r="BT195" s="13"/>
      <c r="BU195" s="13"/>
      <c r="BV195" s="13"/>
      <c r="BW195" s="13"/>
      <c r="BX195" s="13"/>
      <c r="BY195" s="13"/>
      <c r="BZ195" s="13"/>
      <c r="CA195" s="13"/>
      <c r="CB195" s="13"/>
      <c r="CC195" s="13">
        <v>-0.22600000000000001</v>
      </c>
      <c r="CD195" s="13"/>
      <c r="CE195" s="13"/>
      <c r="CF195" s="13"/>
      <c r="CG195" s="13">
        <v>9.4E-2</v>
      </c>
      <c r="CH195" s="13"/>
      <c r="CI195" s="13"/>
      <c r="CJ195" s="13"/>
      <c r="CK195" s="13"/>
      <c r="CL195" s="13"/>
      <c r="CM195" s="13"/>
      <c r="CN195" s="13"/>
      <c r="CO195" s="13"/>
      <c r="CP195" s="13"/>
      <c r="CQ195" s="13"/>
      <c r="CR195" s="13"/>
      <c r="CS195" s="13"/>
      <c r="CT195" s="13"/>
      <c r="CU195" s="13"/>
      <c r="CV195" s="13"/>
      <c r="CW195" s="13" t="s">
        <v>3487</v>
      </c>
      <c r="CX195" s="13" t="s">
        <v>3488</v>
      </c>
      <c r="CY195" s="13">
        <v>2024</v>
      </c>
      <c r="CZ195" s="21">
        <v>45896</v>
      </c>
      <c r="DA195" s="13" t="s">
        <v>61</v>
      </c>
      <c r="DB195" s="13">
        <v>14</v>
      </c>
      <c r="DC195" s="13">
        <v>1</v>
      </c>
      <c r="DD195" s="13">
        <v>19796</v>
      </c>
      <c r="DE195" s="13" t="s">
        <v>3234</v>
      </c>
    </row>
    <row r="196" spans="1:109" ht="20">
      <c r="A196" s="13" t="s">
        <v>3379</v>
      </c>
      <c r="B196" s="13"/>
      <c r="C196" s="13" t="s">
        <v>3308</v>
      </c>
      <c r="D196" s="14" t="s">
        <v>831</v>
      </c>
      <c r="E196" s="13" t="s">
        <v>672</v>
      </c>
      <c r="F196" s="13" t="s">
        <v>2382</v>
      </c>
      <c r="G196" s="13"/>
      <c r="H196" s="14" t="s">
        <v>703</v>
      </c>
      <c r="I196" s="13" t="s">
        <v>4168</v>
      </c>
      <c r="J196" s="13" t="s">
        <v>3747</v>
      </c>
      <c r="K196" s="13" t="s">
        <v>3746</v>
      </c>
      <c r="L196" s="13" t="s">
        <v>639</v>
      </c>
      <c r="M196" s="13">
        <v>56</v>
      </c>
      <c r="N196" s="13"/>
      <c r="O196" s="15"/>
      <c r="P196" s="13"/>
      <c r="Q196" s="13"/>
      <c r="R196" s="13"/>
      <c r="S196" s="13">
        <v>62.7</v>
      </c>
      <c r="T196" s="13">
        <v>55.6</v>
      </c>
      <c r="U196" s="13">
        <v>72.099999999999994</v>
      </c>
      <c r="V196" s="13">
        <v>37</v>
      </c>
      <c r="W196" s="2">
        <f t="shared" si="18"/>
        <v>0.6607142857142857</v>
      </c>
      <c r="X196" s="13"/>
      <c r="Y196" s="13"/>
      <c r="Z196" s="13">
        <v>44</v>
      </c>
      <c r="AA196" s="13">
        <v>42</v>
      </c>
      <c r="AB196" s="13">
        <v>45</v>
      </c>
      <c r="AC196" s="13"/>
      <c r="AD196" s="13"/>
      <c r="AE196" s="13"/>
      <c r="AF196" s="13"/>
      <c r="AG196" s="13">
        <v>8.5</v>
      </c>
      <c r="AH196" s="13">
        <v>6</v>
      </c>
      <c r="AI196" s="13">
        <v>12</v>
      </c>
      <c r="AJ196" s="13"/>
      <c r="AK196" s="13"/>
      <c r="AL196" s="13"/>
      <c r="AM196" s="13"/>
      <c r="AN196" s="13"/>
      <c r="AO196" s="13"/>
      <c r="AP196" s="13"/>
      <c r="AQ196" s="13"/>
      <c r="AR196" s="13"/>
      <c r="AS196" s="13"/>
      <c r="AT196" s="13"/>
      <c r="AV196" s="13"/>
      <c r="AW196" s="13"/>
      <c r="AX196" s="13"/>
      <c r="AY196" s="13"/>
      <c r="AZ196" s="13"/>
      <c r="BA196" s="16"/>
      <c r="BB196" s="13"/>
      <c r="BC196" s="13"/>
      <c r="BD196" s="13"/>
      <c r="BE196" s="16"/>
      <c r="BF196" s="13"/>
      <c r="BG196" s="13"/>
      <c r="BH196" s="13"/>
      <c r="BI196" s="13"/>
      <c r="BJ196" s="16"/>
      <c r="BK196" s="13"/>
      <c r="BL196" s="13"/>
      <c r="BM196" s="13"/>
      <c r="BN196" s="16" t="s">
        <v>2231</v>
      </c>
      <c r="BO196" s="13"/>
      <c r="BP196" s="13"/>
      <c r="BQ196" s="13"/>
      <c r="BR196" s="13"/>
      <c r="BS196" s="13"/>
      <c r="BT196" s="13"/>
      <c r="BU196" s="13"/>
      <c r="BV196" s="13"/>
      <c r="BW196" s="13"/>
      <c r="BX196" s="13"/>
      <c r="BY196" s="13"/>
      <c r="BZ196" s="13"/>
      <c r="CA196" s="13"/>
      <c r="CB196" s="13"/>
      <c r="CC196" s="13">
        <v>-0.129</v>
      </c>
      <c r="CD196" s="13"/>
      <c r="CE196" s="13"/>
      <c r="CF196" s="13"/>
      <c r="CG196" s="13">
        <v>0.34399999999999997</v>
      </c>
      <c r="CH196" s="13"/>
      <c r="CI196" s="13"/>
      <c r="CJ196" s="13"/>
      <c r="CK196" s="13"/>
      <c r="CL196" s="13"/>
      <c r="CM196" s="13"/>
      <c r="CN196" s="13"/>
      <c r="CO196" s="13"/>
      <c r="CP196" s="13"/>
      <c r="CQ196" s="13"/>
      <c r="CR196" s="13"/>
      <c r="CS196" s="13"/>
      <c r="CT196" s="13"/>
      <c r="CU196" s="13"/>
      <c r="CV196" s="13"/>
      <c r="CW196" s="13" t="s">
        <v>3487</v>
      </c>
      <c r="CX196" s="13" t="s">
        <v>3488</v>
      </c>
      <c r="CY196" s="13">
        <v>2024</v>
      </c>
      <c r="CZ196" s="21">
        <v>45896</v>
      </c>
      <c r="DA196" s="13" t="s">
        <v>61</v>
      </c>
      <c r="DB196" s="13">
        <v>14</v>
      </c>
      <c r="DC196" s="13">
        <v>1</v>
      </c>
      <c r="DD196" s="13">
        <v>19796</v>
      </c>
      <c r="DE196" s="13" t="s">
        <v>3234</v>
      </c>
    </row>
    <row r="197" spans="1:109" ht="20">
      <c r="A197" s="13" t="s">
        <v>3379</v>
      </c>
      <c r="B197" s="13"/>
      <c r="C197" s="13" t="s">
        <v>3308</v>
      </c>
      <c r="D197" s="14" t="s">
        <v>831</v>
      </c>
      <c r="E197" s="13" t="s">
        <v>672</v>
      </c>
      <c r="F197" s="13" t="s">
        <v>3749</v>
      </c>
      <c r="G197" s="13"/>
      <c r="H197" s="14" t="s">
        <v>703</v>
      </c>
      <c r="I197" s="13" t="s">
        <v>4168</v>
      </c>
      <c r="J197" s="13" t="s">
        <v>3747</v>
      </c>
      <c r="K197" s="13" t="s">
        <v>3746</v>
      </c>
      <c r="L197" s="13" t="s">
        <v>639</v>
      </c>
      <c r="M197" s="13">
        <v>56</v>
      </c>
      <c r="N197" s="13"/>
      <c r="O197" s="15"/>
      <c r="P197" s="13"/>
      <c r="Q197" s="13"/>
      <c r="R197" s="13"/>
      <c r="S197" s="13">
        <v>62.7</v>
      </c>
      <c r="T197" s="13">
        <v>55.6</v>
      </c>
      <c r="U197" s="13">
        <v>72.099999999999994</v>
      </c>
      <c r="V197" s="13">
        <v>37</v>
      </c>
      <c r="W197" s="2">
        <f t="shared" si="18"/>
        <v>0.6607142857142857</v>
      </c>
      <c r="X197" s="13"/>
      <c r="Y197" s="13"/>
      <c r="Z197" s="13">
        <v>44</v>
      </c>
      <c r="AA197" s="13">
        <v>42</v>
      </c>
      <c r="AB197" s="13">
        <v>45</v>
      </c>
      <c r="AC197" s="13"/>
      <c r="AD197" s="13"/>
      <c r="AE197" s="13"/>
      <c r="AF197" s="13"/>
      <c r="AG197" s="13">
        <v>8.5</v>
      </c>
      <c r="AH197" s="13">
        <v>6</v>
      </c>
      <c r="AI197" s="13">
        <v>12</v>
      </c>
      <c r="AJ197" s="13"/>
      <c r="AK197" s="13"/>
      <c r="AL197" s="13"/>
      <c r="AM197" s="13"/>
      <c r="AN197" s="13"/>
      <c r="AO197" s="13"/>
      <c r="AP197" s="13"/>
      <c r="AQ197" s="13"/>
      <c r="AR197" s="13"/>
      <c r="AS197" s="13"/>
      <c r="AT197" s="13"/>
      <c r="AV197" s="13"/>
      <c r="AW197" s="13"/>
      <c r="AX197" s="13"/>
      <c r="AY197" s="13"/>
      <c r="AZ197" s="13"/>
      <c r="BA197" s="16"/>
      <c r="BB197" s="13"/>
      <c r="BC197" s="13"/>
      <c r="BD197" s="13"/>
      <c r="BE197" s="16"/>
      <c r="BF197" s="13"/>
      <c r="BG197" s="13"/>
      <c r="BH197" s="13"/>
      <c r="BI197" s="13"/>
      <c r="BJ197" s="16"/>
      <c r="BK197" s="13"/>
      <c r="BL197" s="13"/>
      <c r="BM197" s="13"/>
      <c r="BN197" s="16" t="s">
        <v>2231</v>
      </c>
      <c r="BO197" s="13"/>
      <c r="BP197" s="13"/>
      <c r="BQ197" s="13"/>
      <c r="BR197" s="13"/>
      <c r="BS197" s="13"/>
      <c r="BT197" s="13"/>
      <c r="BU197" s="13"/>
      <c r="BV197" s="13"/>
      <c r="BW197" s="13"/>
      <c r="BX197" s="13"/>
      <c r="BY197" s="13"/>
      <c r="BZ197" s="13"/>
      <c r="CA197" s="13"/>
      <c r="CB197" s="13"/>
      <c r="CC197" s="13">
        <v>4.0000000000000001E-3</v>
      </c>
      <c r="CD197" s="13"/>
      <c r="CE197" s="13"/>
      <c r="CF197" s="13"/>
      <c r="CG197" s="13">
        <v>0.97399999999999998</v>
      </c>
      <c r="CH197" s="13"/>
      <c r="CI197" s="13"/>
      <c r="CJ197" s="13"/>
      <c r="CK197" s="13"/>
      <c r="CL197" s="13"/>
      <c r="CM197" s="13"/>
      <c r="CN197" s="13"/>
      <c r="CO197" s="13"/>
      <c r="CP197" s="13"/>
      <c r="CQ197" s="13"/>
      <c r="CR197" s="13"/>
      <c r="CS197" s="13"/>
      <c r="CT197" s="13"/>
      <c r="CU197" s="13"/>
      <c r="CV197" s="13"/>
      <c r="CW197" s="13" t="s">
        <v>3487</v>
      </c>
      <c r="CX197" s="13" t="s">
        <v>3488</v>
      </c>
      <c r="CY197" s="13">
        <v>2024</v>
      </c>
      <c r="CZ197" s="21">
        <v>45896</v>
      </c>
      <c r="DA197" s="13" t="s">
        <v>61</v>
      </c>
      <c r="DB197" s="13">
        <v>14</v>
      </c>
      <c r="DC197" s="13">
        <v>1</v>
      </c>
      <c r="DD197" s="13">
        <v>19796</v>
      </c>
      <c r="DE197" s="13" t="s">
        <v>3234</v>
      </c>
    </row>
    <row r="198" spans="1:109" ht="20">
      <c r="A198" s="13" t="s">
        <v>3379</v>
      </c>
      <c r="B198" s="13"/>
      <c r="C198" s="13" t="s">
        <v>3308</v>
      </c>
      <c r="D198" s="14" t="s">
        <v>831</v>
      </c>
      <c r="E198" s="13" t="s">
        <v>672</v>
      </c>
      <c r="F198" s="13" t="s">
        <v>2722</v>
      </c>
      <c r="G198" s="13"/>
      <c r="H198" s="14" t="s">
        <v>703</v>
      </c>
      <c r="I198" s="13" t="s">
        <v>4168</v>
      </c>
      <c r="J198" s="13" t="s">
        <v>3747</v>
      </c>
      <c r="K198" s="13" t="s">
        <v>3746</v>
      </c>
      <c r="L198" s="13" t="s">
        <v>639</v>
      </c>
      <c r="M198" s="13">
        <v>56</v>
      </c>
      <c r="N198" s="13"/>
      <c r="O198" s="15"/>
      <c r="P198" s="13"/>
      <c r="Q198" s="13"/>
      <c r="R198" s="13"/>
      <c r="S198" s="13">
        <v>62.7</v>
      </c>
      <c r="T198" s="13">
        <v>55.6</v>
      </c>
      <c r="U198" s="13">
        <v>72.099999999999994</v>
      </c>
      <c r="V198" s="13">
        <v>37</v>
      </c>
      <c r="W198" s="2">
        <f t="shared" si="18"/>
        <v>0.6607142857142857</v>
      </c>
      <c r="X198" s="13"/>
      <c r="Y198" s="13"/>
      <c r="Z198" s="13">
        <v>44</v>
      </c>
      <c r="AA198" s="13">
        <v>42</v>
      </c>
      <c r="AB198" s="13">
        <v>45</v>
      </c>
      <c r="AC198" s="13"/>
      <c r="AD198" s="13"/>
      <c r="AE198" s="13"/>
      <c r="AF198" s="13"/>
      <c r="AG198" s="13">
        <v>8.5</v>
      </c>
      <c r="AH198" s="13">
        <v>6</v>
      </c>
      <c r="AI198" s="13">
        <v>12</v>
      </c>
      <c r="AJ198" s="13"/>
      <c r="AK198" s="13"/>
      <c r="AL198" s="13"/>
      <c r="AM198" s="13"/>
      <c r="AN198" s="13"/>
      <c r="AO198" s="13"/>
      <c r="AP198" s="13"/>
      <c r="AQ198" s="13"/>
      <c r="AR198" s="13"/>
      <c r="AS198" s="13"/>
      <c r="AT198" s="13"/>
      <c r="AV198" s="13"/>
      <c r="AW198" s="13"/>
      <c r="AX198" s="13"/>
      <c r="AY198" s="13"/>
      <c r="AZ198" s="13"/>
      <c r="BA198" s="16"/>
      <c r="BB198" s="13"/>
      <c r="BC198" s="13"/>
      <c r="BD198" s="13"/>
      <c r="BE198" s="16"/>
      <c r="BF198" s="13"/>
      <c r="BG198" s="13"/>
      <c r="BH198" s="13"/>
      <c r="BI198" s="13"/>
      <c r="BJ198" s="16"/>
      <c r="BK198" s="13"/>
      <c r="BL198" s="13"/>
      <c r="BM198" s="13"/>
      <c r="BN198" s="16" t="s">
        <v>2231</v>
      </c>
      <c r="BO198" s="13"/>
      <c r="BP198" s="13"/>
      <c r="BQ198" s="13"/>
      <c r="BR198" s="13"/>
      <c r="BS198" s="13"/>
      <c r="BT198" s="13"/>
      <c r="BU198" s="13"/>
      <c r="BV198" s="13"/>
      <c r="BW198" s="13"/>
      <c r="BX198" s="13"/>
      <c r="BY198" s="13"/>
      <c r="BZ198" s="13"/>
      <c r="CA198" s="13"/>
      <c r="CB198" s="13"/>
      <c r="CC198" s="13">
        <v>-8.1000000000000003E-2</v>
      </c>
      <c r="CD198" s="13"/>
      <c r="CE198" s="13"/>
      <c r="CF198" s="13"/>
      <c r="CG198" s="13">
        <v>0.55100000000000005</v>
      </c>
      <c r="CH198" s="13"/>
      <c r="CI198" s="13"/>
      <c r="CJ198" s="13"/>
      <c r="CK198" s="13"/>
      <c r="CL198" s="13"/>
      <c r="CM198" s="13"/>
      <c r="CN198" s="13"/>
      <c r="CO198" s="13"/>
      <c r="CP198" s="13"/>
      <c r="CQ198" s="13"/>
      <c r="CR198" s="13"/>
      <c r="CS198" s="13"/>
      <c r="CT198" s="13"/>
      <c r="CU198" s="13"/>
      <c r="CV198" s="13"/>
      <c r="CW198" s="13" t="s">
        <v>3487</v>
      </c>
      <c r="CX198" s="13" t="s">
        <v>3488</v>
      </c>
      <c r="CY198" s="13">
        <v>2024</v>
      </c>
      <c r="CZ198" s="21">
        <v>45896</v>
      </c>
      <c r="DA198" s="13" t="s">
        <v>61</v>
      </c>
      <c r="DB198" s="13">
        <v>14</v>
      </c>
      <c r="DC198" s="13">
        <v>1</v>
      </c>
      <c r="DD198" s="13">
        <v>19796</v>
      </c>
      <c r="DE198" s="13" t="s">
        <v>3234</v>
      </c>
    </row>
    <row r="199" spans="1:109" ht="20">
      <c r="A199" s="13" t="s">
        <v>3379</v>
      </c>
      <c r="B199" s="13"/>
      <c r="C199" s="13" t="s">
        <v>3308</v>
      </c>
      <c r="D199" s="14" t="s">
        <v>831</v>
      </c>
      <c r="E199" s="13" t="s">
        <v>672</v>
      </c>
      <c r="F199" s="13" t="s">
        <v>3750</v>
      </c>
      <c r="G199" s="13"/>
      <c r="H199" s="14" t="s">
        <v>703</v>
      </c>
      <c r="I199" s="13" t="s">
        <v>4168</v>
      </c>
      <c r="J199" s="13" t="s">
        <v>3747</v>
      </c>
      <c r="K199" s="13" t="s">
        <v>3746</v>
      </c>
      <c r="L199" s="13" t="s">
        <v>639</v>
      </c>
      <c r="M199" s="13">
        <v>56</v>
      </c>
      <c r="N199" s="13"/>
      <c r="O199" s="15"/>
      <c r="P199" s="13"/>
      <c r="Q199" s="13"/>
      <c r="R199" s="13"/>
      <c r="S199" s="13">
        <v>62.7</v>
      </c>
      <c r="T199" s="13">
        <v>55.6</v>
      </c>
      <c r="U199" s="13">
        <v>72.099999999999994</v>
      </c>
      <c r="V199" s="13">
        <v>37</v>
      </c>
      <c r="W199" s="2">
        <f t="shared" si="18"/>
        <v>0.6607142857142857</v>
      </c>
      <c r="X199" s="13"/>
      <c r="Y199" s="13"/>
      <c r="Z199" s="13">
        <v>44</v>
      </c>
      <c r="AA199" s="13">
        <v>42</v>
      </c>
      <c r="AB199" s="13">
        <v>45</v>
      </c>
      <c r="AC199" s="13"/>
      <c r="AD199" s="13"/>
      <c r="AE199" s="13"/>
      <c r="AF199" s="13"/>
      <c r="AG199" s="13">
        <v>8.5</v>
      </c>
      <c r="AH199" s="13">
        <v>6</v>
      </c>
      <c r="AI199" s="13">
        <v>12</v>
      </c>
      <c r="AJ199" s="13"/>
      <c r="AK199" s="13"/>
      <c r="AL199" s="13"/>
      <c r="AM199" s="13"/>
      <c r="AN199" s="13"/>
      <c r="AO199" s="13"/>
      <c r="AP199" s="13"/>
      <c r="AQ199" s="13"/>
      <c r="AR199" s="13"/>
      <c r="AS199" s="13"/>
      <c r="AT199" s="13"/>
      <c r="AV199" s="13"/>
      <c r="AW199" s="13"/>
      <c r="AX199" s="13"/>
      <c r="AY199" s="13"/>
      <c r="AZ199" s="13"/>
      <c r="BA199" s="16"/>
      <c r="BB199" s="13"/>
      <c r="BC199" s="13"/>
      <c r="BD199" s="13"/>
      <c r="BE199" s="16"/>
      <c r="BF199" s="13"/>
      <c r="BG199" s="13"/>
      <c r="BH199" s="13"/>
      <c r="BI199" s="13"/>
      <c r="BJ199" s="16"/>
      <c r="BK199" s="13"/>
      <c r="BL199" s="13"/>
      <c r="BM199" s="13"/>
      <c r="BN199" s="16" t="s">
        <v>2231</v>
      </c>
      <c r="BO199" s="13"/>
      <c r="BP199" s="13"/>
      <c r="BQ199" s="13"/>
      <c r="BR199" s="13"/>
      <c r="BS199" s="13"/>
      <c r="BT199" s="13"/>
      <c r="BU199" s="13"/>
      <c r="BV199" s="13"/>
      <c r="BW199" s="13"/>
      <c r="BX199" s="13"/>
      <c r="BY199" s="13"/>
      <c r="BZ199" s="13"/>
      <c r="CA199" s="13"/>
      <c r="CB199" s="13"/>
      <c r="CC199" s="13">
        <v>-0.14099999999999999</v>
      </c>
      <c r="CD199" s="13"/>
      <c r="CE199" s="13"/>
      <c r="CF199" s="13"/>
      <c r="CG199" s="13">
        <v>0.30099999999999999</v>
      </c>
      <c r="CH199" s="13"/>
      <c r="CI199" s="13"/>
      <c r="CJ199" s="13"/>
      <c r="CK199" s="13"/>
      <c r="CL199" s="13"/>
      <c r="CM199" s="13"/>
      <c r="CN199" s="13"/>
      <c r="CO199" s="13"/>
      <c r="CP199" s="13"/>
      <c r="CQ199" s="13"/>
      <c r="CR199" s="13"/>
      <c r="CS199" s="13"/>
      <c r="CT199" s="13"/>
      <c r="CU199" s="13"/>
      <c r="CV199" s="13"/>
      <c r="CW199" s="13" t="s">
        <v>3487</v>
      </c>
      <c r="CX199" s="13" t="s">
        <v>3488</v>
      </c>
      <c r="CY199" s="13">
        <v>2024</v>
      </c>
      <c r="CZ199" s="21">
        <v>45896</v>
      </c>
      <c r="DA199" s="13" t="s">
        <v>61</v>
      </c>
      <c r="DB199" s="13">
        <v>14</v>
      </c>
      <c r="DC199" s="13">
        <v>1</v>
      </c>
      <c r="DD199" s="13">
        <v>19796</v>
      </c>
      <c r="DE199" s="13" t="s">
        <v>3234</v>
      </c>
    </row>
    <row r="200" spans="1:109" ht="20">
      <c r="A200" s="13" t="s">
        <v>3379</v>
      </c>
      <c r="B200" s="13"/>
      <c r="C200" s="13" t="s">
        <v>3308</v>
      </c>
      <c r="D200" s="14" t="s">
        <v>831</v>
      </c>
      <c r="E200" s="13" t="s">
        <v>672</v>
      </c>
      <c r="F200" s="13" t="s">
        <v>2717</v>
      </c>
      <c r="G200" s="13"/>
      <c r="H200" s="14" t="s">
        <v>703</v>
      </c>
      <c r="I200" s="13" t="s">
        <v>4168</v>
      </c>
      <c r="J200" s="13" t="s">
        <v>3747</v>
      </c>
      <c r="K200" s="13" t="s">
        <v>3746</v>
      </c>
      <c r="L200" s="13" t="s">
        <v>639</v>
      </c>
      <c r="M200" s="13">
        <v>56</v>
      </c>
      <c r="N200" s="13"/>
      <c r="O200" s="15"/>
      <c r="P200" s="13"/>
      <c r="Q200" s="13"/>
      <c r="R200" s="13"/>
      <c r="S200" s="13">
        <v>62.7</v>
      </c>
      <c r="T200" s="13">
        <v>55.6</v>
      </c>
      <c r="U200" s="13">
        <v>72.099999999999994</v>
      </c>
      <c r="V200" s="13">
        <v>37</v>
      </c>
      <c r="W200" s="2">
        <f t="shared" si="18"/>
        <v>0.6607142857142857</v>
      </c>
      <c r="X200" s="13"/>
      <c r="Y200" s="13"/>
      <c r="Z200" s="13">
        <v>44</v>
      </c>
      <c r="AA200" s="13">
        <v>42</v>
      </c>
      <c r="AB200" s="13">
        <v>45</v>
      </c>
      <c r="AC200" s="13"/>
      <c r="AD200" s="13"/>
      <c r="AE200" s="13"/>
      <c r="AF200" s="13"/>
      <c r="AG200" s="13">
        <v>8.5</v>
      </c>
      <c r="AH200" s="13">
        <v>6</v>
      </c>
      <c r="AI200" s="13">
        <v>12</v>
      </c>
      <c r="AJ200" s="13"/>
      <c r="AK200" s="13"/>
      <c r="AL200" s="13"/>
      <c r="AM200" s="13"/>
      <c r="AN200" s="13"/>
      <c r="AO200" s="13"/>
      <c r="AP200" s="13"/>
      <c r="AQ200" s="13"/>
      <c r="AR200" s="13"/>
      <c r="AS200" s="13"/>
      <c r="AT200" s="13"/>
      <c r="AV200" s="13"/>
      <c r="AW200" s="13"/>
      <c r="AX200" s="13"/>
      <c r="AY200" s="13"/>
      <c r="AZ200" s="13"/>
      <c r="BA200" s="16"/>
      <c r="BB200" s="13"/>
      <c r="BC200" s="13"/>
      <c r="BD200" s="13"/>
      <c r="BE200" s="16"/>
      <c r="BF200" s="13"/>
      <c r="BG200" s="13"/>
      <c r="BH200" s="13"/>
      <c r="BI200" s="13"/>
      <c r="BJ200" s="16"/>
      <c r="BK200" s="13"/>
      <c r="BL200" s="13"/>
      <c r="BM200" s="13"/>
      <c r="BN200" s="16" t="s">
        <v>2231</v>
      </c>
      <c r="BO200" s="13"/>
      <c r="BP200" s="13"/>
      <c r="BQ200" s="13"/>
      <c r="BR200" s="13"/>
      <c r="BS200" s="13"/>
      <c r="BT200" s="13"/>
      <c r="BU200" s="13"/>
      <c r="BV200" s="13"/>
      <c r="BW200" s="13"/>
      <c r="BX200" s="13"/>
      <c r="BY200" s="13"/>
      <c r="BZ200" s="13"/>
      <c r="CA200" s="13"/>
      <c r="CB200" s="13"/>
      <c r="CC200" s="13">
        <v>-0.16500000000000001</v>
      </c>
      <c r="CD200" s="13"/>
      <c r="CE200" s="13"/>
      <c r="CF200" s="13"/>
      <c r="CG200" s="13">
        <v>0.224</v>
      </c>
      <c r="CH200" s="13"/>
      <c r="CI200" s="13"/>
      <c r="CJ200" s="13"/>
      <c r="CK200" s="13"/>
      <c r="CL200" s="13"/>
      <c r="CM200" s="13"/>
      <c r="CN200" s="13"/>
      <c r="CO200" s="13"/>
      <c r="CP200" s="13"/>
      <c r="CQ200" s="13"/>
      <c r="CR200" s="13"/>
      <c r="CS200" s="13"/>
      <c r="CT200" s="13"/>
      <c r="CU200" s="13"/>
      <c r="CV200" s="13"/>
      <c r="CW200" s="13" t="s">
        <v>3487</v>
      </c>
      <c r="CX200" s="13" t="s">
        <v>3488</v>
      </c>
      <c r="CY200" s="13">
        <v>2024</v>
      </c>
      <c r="CZ200" s="21">
        <v>45896</v>
      </c>
      <c r="DA200" s="13" t="s">
        <v>61</v>
      </c>
      <c r="DB200" s="13">
        <v>14</v>
      </c>
      <c r="DC200" s="13">
        <v>1</v>
      </c>
      <c r="DD200" s="13">
        <v>19796</v>
      </c>
      <c r="DE200" s="13" t="s">
        <v>3234</v>
      </c>
    </row>
    <row r="201" spans="1:109" ht="20">
      <c r="A201" s="13" t="s">
        <v>3379</v>
      </c>
      <c r="B201" s="13"/>
      <c r="C201" s="13" t="s">
        <v>3308</v>
      </c>
      <c r="D201" s="14" t="s">
        <v>831</v>
      </c>
      <c r="E201" s="13" t="s">
        <v>672</v>
      </c>
      <c r="F201" s="13" t="s">
        <v>3751</v>
      </c>
      <c r="G201" s="13"/>
      <c r="H201" s="14" t="s">
        <v>703</v>
      </c>
      <c r="I201" s="13" t="s">
        <v>4168</v>
      </c>
      <c r="J201" s="13" t="s">
        <v>3747</v>
      </c>
      <c r="K201" s="13" t="s">
        <v>3746</v>
      </c>
      <c r="L201" s="13" t="s">
        <v>639</v>
      </c>
      <c r="M201" s="13">
        <v>56</v>
      </c>
      <c r="N201" s="13"/>
      <c r="O201" s="15"/>
      <c r="P201" s="13"/>
      <c r="Q201" s="13"/>
      <c r="R201" s="13"/>
      <c r="S201" s="13">
        <v>62.7</v>
      </c>
      <c r="T201" s="13">
        <v>55.6</v>
      </c>
      <c r="U201" s="13">
        <v>72.099999999999994</v>
      </c>
      <c r="V201" s="13">
        <v>37</v>
      </c>
      <c r="W201" s="2">
        <f t="shared" si="18"/>
        <v>0.6607142857142857</v>
      </c>
      <c r="X201" s="13"/>
      <c r="Y201" s="13"/>
      <c r="Z201" s="13">
        <v>44</v>
      </c>
      <c r="AA201" s="13">
        <v>42</v>
      </c>
      <c r="AB201" s="13">
        <v>45</v>
      </c>
      <c r="AC201" s="13"/>
      <c r="AD201" s="13"/>
      <c r="AE201" s="13"/>
      <c r="AF201" s="13"/>
      <c r="AG201" s="13">
        <v>8.5</v>
      </c>
      <c r="AH201" s="13">
        <v>6</v>
      </c>
      <c r="AI201" s="13">
        <v>12</v>
      </c>
      <c r="AJ201" s="13"/>
      <c r="AK201" s="13"/>
      <c r="AL201" s="13"/>
      <c r="AM201" s="13"/>
      <c r="AN201" s="13"/>
      <c r="AO201" s="13"/>
      <c r="AP201" s="13"/>
      <c r="AQ201" s="13"/>
      <c r="AR201" s="13"/>
      <c r="AS201" s="13"/>
      <c r="AT201" s="13"/>
      <c r="AV201" s="13"/>
      <c r="AW201" s="13"/>
      <c r="AX201" s="13"/>
      <c r="AY201" s="13"/>
      <c r="AZ201" s="13"/>
      <c r="BA201" s="16"/>
      <c r="BB201" s="13"/>
      <c r="BC201" s="13"/>
      <c r="BD201" s="13"/>
      <c r="BE201" s="16"/>
      <c r="BF201" s="13"/>
      <c r="BG201" s="13"/>
      <c r="BH201" s="13"/>
      <c r="BI201" s="13"/>
      <c r="BJ201" s="16"/>
      <c r="BK201" s="13"/>
      <c r="BL201" s="13"/>
      <c r="BM201" s="13"/>
      <c r="BN201" s="16" t="s">
        <v>2231</v>
      </c>
      <c r="BO201" s="13"/>
      <c r="BP201" s="13"/>
      <c r="BQ201" s="13"/>
      <c r="BR201" s="13"/>
      <c r="BS201" s="13"/>
      <c r="BT201" s="13"/>
      <c r="BU201" s="13"/>
      <c r="BV201" s="13"/>
      <c r="BW201" s="13"/>
      <c r="BX201" s="13"/>
      <c r="BY201" s="13"/>
      <c r="BZ201" s="13"/>
      <c r="CA201" s="13"/>
      <c r="CB201" s="13"/>
      <c r="CC201" s="13">
        <v>-0.11600000000000001</v>
      </c>
      <c r="CD201" s="13"/>
      <c r="CE201" s="13"/>
      <c r="CF201" s="13"/>
      <c r="CG201" s="13">
        <v>0.39500000000000002</v>
      </c>
      <c r="CH201" s="13"/>
      <c r="CI201" s="13"/>
      <c r="CJ201" s="13"/>
      <c r="CK201" s="13"/>
      <c r="CL201" s="13"/>
      <c r="CM201" s="13"/>
      <c r="CN201" s="13"/>
      <c r="CO201" s="13"/>
      <c r="CP201" s="13"/>
      <c r="CQ201" s="13"/>
      <c r="CR201" s="13"/>
      <c r="CS201" s="13"/>
      <c r="CT201" s="13"/>
      <c r="CU201" s="13"/>
      <c r="CV201" s="13"/>
      <c r="CW201" s="13" t="s">
        <v>3487</v>
      </c>
      <c r="CX201" s="13" t="s">
        <v>3488</v>
      </c>
      <c r="CY201" s="13">
        <v>2024</v>
      </c>
      <c r="CZ201" s="21">
        <v>45896</v>
      </c>
      <c r="DA201" s="13" t="s">
        <v>61</v>
      </c>
      <c r="DB201" s="13">
        <v>14</v>
      </c>
      <c r="DC201" s="13">
        <v>1</v>
      </c>
      <c r="DD201" s="13">
        <v>19796</v>
      </c>
      <c r="DE201" s="13" t="s">
        <v>3234</v>
      </c>
    </row>
    <row r="202" spans="1:109" ht="20">
      <c r="A202" s="13" t="s">
        <v>3379</v>
      </c>
      <c r="B202" s="13"/>
      <c r="C202" s="13" t="s">
        <v>3308</v>
      </c>
      <c r="D202" s="14" t="s">
        <v>831</v>
      </c>
      <c r="E202" s="13" t="s">
        <v>672</v>
      </c>
      <c r="F202" s="13" t="s">
        <v>3752</v>
      </c>
      <c r="G202" s="13"/>
      <c r="H202" s="14" t="s">
        <v>703</v>
      </c>
      <c r="I202" s="13" t="s">
        <v>4168</v>
      </c>
      <c r="J202" s="13" t="s">
        <v>3747</v>
      </c>
      <c r="K202" s="13" t="s">
        <v>3746</v>
      </c>
      <c r="L202" s="13" t="s">
        <v>639</v>
      </c>
      <c r="M202" s="13">
        <v>56</v>
      </c>
      <c r="N202" s="13"/>
      <c r="O202" s="15"/>
      <c r="P202" s="13"/>
      <c r="Q202" s="13"/>
      <c r="R202" s="13"/>
      <c r="S202" s="13">
        <v>62.7</v>
      </c>
      <c r="T202" s="13">
        <v>55.6</v>
      </c>
      <c r="U202" s="13">
        <v>72.099999999999994</v>
      </c>
      <c r="V202" s="13">
        <v>37</v>
      </c>
      <c r="W202" s="2">
        <f t="shared" si="18"/>
        <v>0.6607142857142857</v>
      </c>
      <c r="X202" s="13"/>
      <c r="Y202" s="13"/>
      <c r="Z202" s="13">
        <v>44</v>
      </c>
      <c r="AA202" s="13">
        <v>42</v>
      </c>
      <c r="AB202" s="13">
        <v>45</v>
      </c>
      <c r="AC202" s="13"/>
      <c r="AD202" s="13"/>
      <c r="AE202" s="13"/>
      <c r="AF202" s="13"/>
      <c r="AG202" s="13">
        <v>8.5</v>
      </c>
      <c r="AH202" s="13">
        <v>6</v>
      </c>
      <c r="AI202" s="13">
        <v>12</v>
      </c>
      <c r="AJ202" s="13"/>
      <c r="AK202" s="13"/>
      <c r="AL202" s="13"/>
      <c r="AM202" s="13"/>
      <c r="AN202" s="13"/>
      <c r="AO202" s="13"/>
      <c r="AP202" s="13"/>
      <c r="AQ202" s="13"/>
      <c r="AR202" s="13"/>
      <c r="AS202" s="13"/>
      <c r="AT202" s="13"/>
      <c r="AV202" s="13"/>
      <c r="AW202" s="13"/>
      <c r="AX202" s="13"/>
      <c r="AY202" s="13"/>
      <c r="AZ202" s="13"/>
      <c r="BA202" s="16"/>
      <c r="BB202" s="13"/>
      <c r="BC202" s="13"/>
      <c r="BD202" s="13"/>
      <c r="BE202" s="16"/>
      <c r="BF202" s="13"/>
      <c r="BG202" s="13"/>
      <c r="BH202" s="13"/>
      <c r="BI202" s="13"/>
      <c r="BJ202" s="16"/>
      <c r="BK202" s="13"/>
      <c r="BL202" s="13"/>
      <c r="BM202" s="13"/>
      <c r="BN202" s="16" t="s">
        <v>2231</v>
      </c>
      <c r="BO202" s="13"/>
      <c r="BP202" s="13"/>
      <c r="BQ202" s="13"/>
      <c r="BR202" s="13"/>
      <c r="BS202" s="13"/>
      <c r="BT202" s="13"/>
      <c r="BU202" s="13"/>
      <c r="BV202" s="13"/>
      <c r="BW202" s="13"/>
      <c r="BX202" s="13"/>
      <c r="BY202" s="13"/>
      <c r="BZ202" s="13"/>
      <c r="CA202" s="13"/>
      <c r="CB202" s="13"/>
      <c r="CC202" s="13">
        <v>-6.4000000000000001E-2</v>
      </c>
      <c r="CD202" s="13"/>
      <c r="CE202" s="13"/>
      <c r="CF202" s="13"/>
      <c r="CG202" s="13">
        <v>0.64</v>
      </c>
      <c r="CH202" s="13"/>
      <c r="CI202" s="13"/>
      <c r="CJ202" s="13"/>
      <c r="CK202" s="13"/>
      <c r="CL202" s="13"/>
      <c r="CM202" s="13"/>
      <c r="CN202" s="13"/>
      <c r="CO202" s="13"/>
      <c r="CP202" s="13"/>
      <c r="CQ202" s="13"/>
      <c r="CR202" s="13"/>
      <c r="CS202" s="13"/>
      <c r="CT202" s="13"/>
      <c r="CU202" s="13"/>
      <c r="CV202" s="13"/>
      <c r="CW202" s="13" t="s">
        <v>3487</v>
      </c>
      <c r="CX202" s="13" t="s">
        <v>3488</v>
      </c>
      <c r="CY202" s="13">
        <v>2024</v>
      </c>
      <c r="CZ202" s="21">
        <v>45896</v>
      </c>
      <c r="DA202" s="13" t="s">
        <v>61</v>
      </c>
      <c r="DB202" s="13">
        <v>14</v>
      </c>
      <c r="DC202" s="13">
        <v>1</v>
      </c>
      <c r="DD202" s="13">
        <v>19796</v>
      </c>
      <c r="DE202" s="13" t="s">
        <v>3234</v>
      </c>
    </row>
    <row r="203" spans="1:109" ht="20">
      <c r="A203" s="13" t="s">
        <v>3379</v>
      </c>
      <c r="B203" s="13"/>
      <c r="C203" s="13" t="s">
        <v>3308</v>
      </c>
      <c r="D203" s="14" t="s">
        <v>831</v>
      </c>
      <c r="E203" s="13" t="s">
        <v>672</v>
      </c>
      <c r="F203" s="13" t="s">
        <v>3753</v>
      </c>
      <c r="G203" s="13"/>
      <c r="H203" s="14" t="s">
        <v>703</v>
      </c>
      <c r="I203" s="13" t="s">
        <v>4168</v>
      </c>
      <c r="J203" s="13" t="s">
        <v>3747</v>
      </c>
      <c r="K203" s="13" t="s">
        <v>3746</v>
      </c>
      <c r="L203" s="13" t="s">
        <v>639</v>
      </c>
      <c r="M203" s="13">
        <v>56</v>
      </c>
      <c r="N203" s="13"/>
      <c r="O203" s="15"/>
      <c r="P203" s="13"/>
      <c r="Q203" s="13"/>
      <c r="R203" s="13"/>
      <c r="S203" s="13">
        <v>62.7</v>
      </c>
      <c r="T203" s="13">
        <v>55.6</v>
      </c>
      <c r="U203" s="13">
        <v>72.099999999999994</v>
      </c>
      <c r="V203" s="13">
        <v>37</v>
      </c>
      <c r="W203" s="2">
        <f t="shared" si="18"/>
        <v>0.6607142857142857</v>
      </c>
      <c r="X203" s="13"/>
      <c r="Y203" s="13"/>
      <c r="Z203" s="13">
        <v>44</v>
      </c>
      <c r="AA203" s="13">
        <v>42</v>
      </c>
      <c r="AB203" s="13">
        <v>45</v>
      </c>
      <c r="AC203" s="13"/>
      <c r="AD203" s="13"/>
      <c r="AE203" s="13"/>
      <c r="AF203" s="13"/>
      <c r="AG203" s="13">
        <v>8.5</v>
      </c>
      <c r="AH203" s="13">
        <v>6</v>
      </c>
      <c r="AI203" s="13">
        <v>12</v>
      </c>
      <c r="AJ203" s="13"/>
      <c r="AK203" s="13"/>
      <c r="AL203" s="13"/>
      <c r="AM203" s="13"/>
      <c r="AN203" s="13"/>
      <c r="AO203" s="13"/>
      <c r="AP203" s="13"/>
      <c r="AQ203" s="13"/>
      <c r="AR203" s="13"/>
      <c r="AS203" s="13"/>
      <c r="AT203" s="13"/>
      <c r="AV203" s="13"/>
      <c r="AW203" s="13"/>
      <c r="AX203" s="13"/>
      <c r="AY203" s="13"/>
      <c r="AZ203" s="13"/>
      <c r="BA203" s="16"/>
      <c r="BB203" s="13"/>
      <c r="BC203" s="13"/>
      <c r="BD203" s="13"/>
      <c r="BE203" s="16"/>
      <c r="BF203" s="13"/>
      <c r="BG203" s="13"/>
      <c r="BH203" s="13"/>
      <c r="BI203" s="13"/>
      <c r="BJ203" s="16"/>
      <c r="BK203" s="13"/>
      <c r="BL203" s="13"/>
      <c r="BM203" s="13"/>
      <c r="BN203" s="16" t="s">
        <v>2231</v>
      </c>
      <c r="BO203" s="13"/>
      <c r="BP203" s="13"/>
      <c r="BQ203" s="13"/>
      <c r="BR203" s="13"/>
      <c r="BS203" s="13"/>
      <c r="BT203" s="13"/>
      <c r="BU203" s="13"/>
      <c r="BV203" s="13"/>
      <c r="BW203" s="13"/>
      <c r="BX203" s="13"/>
      <c r="BY203" s="13"/>
      <c r="BZ203" s="13"/>
      <c r="CA203" s="13"/>
      <c r="CB203" s="13"/>
      <c r="CC203" s="13">
        <v>-3.1E-2</v>
      </c>
      <c r="CD203" s="13"/>
      <c r="CE203" s="13"/>
      <c r="CF203" s="13"/>
      <c r="CG203" s="13">
        <v>0.82199999999999995</v>
      </c>
      <c r="CH203" s="13"/>
      <c r="CI203" s="13"/>
      <c r="CJ203" s="13"/>
      <c r="CK203" s="13"/>
      <c r="CL203" s="13"/>
      <c r="CM203" s="13"/>
      <c r="CN203" s="13"/>
      <c r="CO203" s="13"/>
      <c r="CP203" s="13"/>
      <c r="CQ203" s="13"/>
      <c r="CR203" s="13"/>
      <c r="CS203" s="13"/>
      <c r="CT203" s="13"/>
      <c r="CU203" s="13"/>
      <c r="CV203" s="13"/>
      <c r="CW203" s="13" t="s">
        <v>3487</v>
      </c>
      <c r="CX203" s="13" t="s">
        <v>3488</v>
      </c>
      <c r="CY203" s="13">
        <v>2024</v>
      </c>
      <c r="CZ203" s="21">
        <v>45896</v>
      </c>
      <c r="DA203" s="13" t="s">
        <v>61</v>
      </c>
      <c r="DB203" s="13">
        <v>14</v>
      </c>
      <c r="DC203" s="13">
        <v>1</v>
      </c>
      <c r="DD203" s="13">
        <v>19796</v>
      </c>
      <c r="DE203" s="13" t="s">
        <v>3234</v>
      </c>
    </row>
    <row r="204" spans="1:109" ht="20">
      <c r="A204" s="13" t="s">
        <v>3379</v>
      </c>
      <c r="B204" s="13"/>
      <c r="C204" s="13" t="s">
        <v>3308</v>
      </c>
      <c r="D204" s="14" t="s">
        <v>831</v>
      </c>
      <c r="E204" s="13" t="s">
        <v>672</v>
      </c>
      <c r="F204" s="13" t="s">
        <v>3754</v>
      </c>
      <c r="G204" s="13"/>
      <c r="H204" s="14" t="s">
        <v>703</v>
      </c>
      <c r="I204" s="13" t="s">
        <v>4168</v>
      </c>
      <c r="J204" s="13" t="s">
        <v>3747</v>
      </c>
      <c r="K204" s="13" t="s">
        <v>3746</v>
      </c>
      <c r="L204" s="13" t="s">
        <v>639</v>
      </c>
      <c r="M204" s="13">
        <v>56</v>
      </c>
      <c r="N204" s="13"/>
      <c r="O204" s="15"/>
      <c r="P204" s="13"/>
      <c r="Q204" s="13"/>
      <c r="R204" s="13"/>
      <c r="S204" s="13">
        <v>62.7</v>
      </c>
      <c r="T204" s="13">
        <v>55.6</v>
      </c>
      <c r="U204" s="13">
        <v>72.099999999999994</v>
      </c>
      <c r="V204" s="13">
        <v>37</v>
      </c>
      <c r="W204" s="2">
        <f t="shared" si="18"/>
        <v>0.6607142857142857</v>
      </c>
      <c r="X204" s="13"/>
      <c r="Y204" s="13"/>
      <c r="Z204" s="13">
        <v>44</v>
      </c>
      <c r="AA204" s="13">
        <v>42</v>
      </c>
      <c r="AB204" s="13">
        <v>45</v>
      </c>
      <c r="AC204" s="13"/>
      <c r="AD204" s="13"/>
      <c r="AE204" s="13"/>
      <c r="AF204" s="13"/>
      <c r="AG204" s="13">
        <v>8.5</v>
      </c>
      <c r="AH204" s="13">
        <v>6</v>
      </c>
      <c r="AI204" s="13">
        <v>12</v>
      </c>
      <c r="AJ204" s="13"/>
      <c r="AK204" s="13"/>
      <c r="AL204" s="13"/>
      <c r="AM204" s="13"/>
      <c r="AN204" s="13"/>
      <c r="AO204" s="13"/>
      <c r="AP204" s="13"/>
      <c r="AQ204" s="13"/>
      <c r="AR204" s="13"/>
      <c r="AS204" s="13"/>
      <c r="AT204" s="13"/>
      <c r="AV204" s="13"/>
      <c r="AW204" s="13"/>
      <c r="AX204" s="13"/>
      <c r="AY204" s="13"/>
      <c r="AZ204" s="13"/>
      <c r="BA204" s="16"/>
      <c r="BB204" s="13"/>
      <c r="BC204" s="13"/>
      <c r="BD204" s="13"/>
      <c r="BE204" s="16"/>
      <c r="BF204" s="13"/>
      <c r="BG204" s="13"/>
      <c r="BH204" s="13"/>
      <c r="BI204" s="13"/>
      <c r="BJ204" s="16"/>
      <c r="BK204" s="13"/>
      <c r="BL204" s="13"/>
      <c r="BM204" s="13"/>
      <c r="BN204" s="16" t="s">
        <v>2231</v>
      </c>
      <c r="BO204" s="13"/>
      <c r="BP204" s="13"/>
      <c r="BQ204" s="13"/>
      <c r="BR204" s="13"/>
      <c r="BS204" s="13"/>
      <c r="BT204" s="13"/>
      <c r="BU204" s="13"/>
      <c r="BV204" s="13"/>
      <c r="BW204" s="13"/>
      <c r="BX204" s="13"/>
      <c r="BY204" s="13"/>
      <c r="BZ204" s="13"/>
      <c r="CA204" s="13"/>
      <c r="CB204" s="13"/>
      <c r="CC204" s="13">
        <v>-0.32200000000000001</v>
      </c>
      <c r="CD204" s="13"/>
      <c r="CE204" s="13"/>
      <c r="CF204" s="13"/>
      <c r="CG204" s="13">
        <v>1.4999999999999999E-2</v>
      </c>
      <c r="CH204" s="13"/>
      <c r="CI204" s="13"/>
      <c r="CJ204" s="13"/>
      <c r="CK204" s="13"/>
      <c r="CL204" s="13"/>
      <c r="CM204" s="13"/>
      <c r="CN204" s="13"/>
      <c r="CO204" s="13"/>
      <c r="CP204" s="13"/>
      <c r="CQ204" s="13"/>
      <c r="CR204" s="13"/>
      <c r="CS204" s="13"/>
      <c r="CT204" s="13"/>
      <c r="CU204" s="13"/>
      <c r="CV204" s="13"/>
      <c r="CW204" s="13" t="s">
        <v>3487</v>
      </c>
      <c r="CX204" s="13" t="s">
        <v>3488</v>
      </c>
      <c r="CY204" s="13">
        <v>2024</v>
      </c>
      <c r="CZ204" s="21">
        <v>45896</v>
      </c>
      <c r="DA204" s="13" t="s">
        <v>61</v>
      </c>
      <c r="DB204" s="13">
        <v>14</v>
      </c>
      <c r="DC204" s="13">
        <v>1</v>
      </c>
      <c r="DD204" s="13">
        <v>19796</v>
      </c>
      <c r="DE204" s="13" t="s">
        <v>3234</v>
      </c>
    </row>
    <row r="205" spans="1:109" ht="20">
      <c r="A205" s="13" t="s">
        <v>3379</v>
      </c>
      <c r="B205" s="13"/>
      <c r="C205" s="13" t="s">
        <v>3308</v>
      </c>
      <c r="D205" s="14" t="s">
        <v>831</v>
      </c>
      <c r="E205" s="13" t="s">
        <v>672</v>
      </c>
      <c r="F205" s="13" t="s">
        <v>3755</v>
      </c>
      <c r="G205" s="13"/>
      <c r="H205" s="14" t="s">
        <v>703</v>
      </c>
      <c r="I205" s="13" t="s">
        <v>4168</v>
      </c>
      <c r="J205" s="13" t="s">
        <v>3747</v>
      </c>
      <c r="K205" s="13" t="s">
        <v>3746</v>
      </c>
      <c r="L205" s="13" t="s">
        <v>639</v>
      </c>
      <c r="M205" s="13">
        <v>56</v>
      </c>
      <c r="N205" s="13"/>
      <c r="O205" s="15"/>
      <c r="P205" s="13"/>
      <c r="Q205" s="13"/>
      <c r="R205" s="13"/>
      <c r="S205" s="13">
        <v>62.7</v>
      </c>
      <c r="T205" s="13">
        <v>55.6</v>
      </c>
      <c r="U205" s="13">
        <v>72.099999999999994</v>
      </c>
      <c r="V205" s="13">
        <v>37</v>
      </c>
      <c r="W205" s="2">
        <f t="shared" si="18"/>
        <v>0.6607142857142857</v>
      </c>
      <c r="X205" s="13"/>
      <c r="Y205" s="13"/>
      <c r="Z205" s="13">
        <v>44</v>
      </c>
      <c r="AA205" s="13">
        <v>42</v>
      </c>
      <c r="AB205" s="13">
        <v>45</v>
      </c>
      <c r="AC205" s="13"/>
      <c r="AD205" s="13"/>
      <c r="AE205" s="13"/>
      <c r="AF205" s="13"/>
      <c r="AG205" s="13">
        <v>8.5</v>
      </c>
      <c r="AH205" s="13">
        <v>6</v>
      </c>
      <c r="AI205" s="13">
        <v>12</v>
      </c>
      <c r="AJ205" s="13"/>
      <c r="AK205" s="13"/>
      <c r="AL205" s="13"/>
      <c r="AM205" s="13"/>
      <c r="AN205" s="13"/>
      <c r="AO205" s="13"/>
      <c r="AP205" s="13"/>
      <c r="AQ205" s="13"/>
      <c r="AR205" s="13"/>
      <c r="AS205" s="13"/>
      <c r="AT205" s="13"/>
      <c r="AV205" s="13"/>
      <c r="AW205" s="13"/>
      <c r="AX205" s="13"/>
      <c r="AY205" s="13"/>
      <c r="AZ205" s="13"/>
      <c r="BA205" s="16"/>
      <c r="BB205" s="13"/>
      <c r="BC205" s="13"/>
      <c r="BD205" s="13"/>
      <c r="BE205" s="16"/>
      <c r="BF205" s="13"/>
      <c r="BG205" s="13"/>
      <c r="BH205" s="13"/>
      <c r="BI205" s="13"/>
      <c r="BJ205" s="16"/>
      <c r="BK205" s="13"/>
      <c r="BL205" s="13"/>
      <c r="BM205" s="13"/>
      <c r="BN205" s="16" t="s">
        <v>2231</v>
      </c>
      <c r="BO205" s="13"/>
      <c r="BP205" s="13"/>
      <c r="BQ205" s="13"/>
      <c r="BR205" s="13"/>
      <c r="BS205" s="13"/>
      <c r="BT205" s="13"/>
      <c r="BU205" s="13"/>
      <c r="BV205" s="13"/>
      <c r="BW205" s="13"/>
      <c r="BX205" s="13"/>
      <c r="BY205" s="13"/>
      <c r="BZ205" s="13"/>
      <c r="CA205" s="13"/>
      <c r="CB205" s="13"/>
      <c r="CC205" s="13">
        <v>6.4000000000000001E-2</v>
      </c>
      <c r="CD205" s="13"/>
      <c r="CE205" s="13"/>
      <c r="CF205" s="13"/>
      <c r="CG205" s="13">
        <v>0.64100000000000001</v>
      </c>
      <c r="CH205" s="13"/>
      <c r="CI205" s="13"/>
      <c r="CJ205" s="13"/>
      <c r="CK205" s="13"/>
      <c r="CL205" s="13"/>
      <c r="CM205" s="13"/>
      <c r="CN205" s="13"/>
      <c r="CO205" s="13"/>
      <c r="CP205" s="13"/>
      <c r="CQ205" s="13"/>
      <c r="CR205" s="13"/>
      <c r="CS205" s="13"/>
      <c r="CT205" s="13"/>
      <c r="CU205" s="13"/>
      <c r="CV205" s="13"/>
      <c r="CW205" s="13" t="s">
        <v>3487</v>
      </c>
      <c r="CX205" s="13" t="s">
        <v>3488</v>
      </c>
      <c r="CY205" s="13">
        <v>2024</v>
      </c>
      <c r="CZ205" s="21">
        <v>45896</v>
      </c>
      <c r="DA205" s="13" t="s">
        <v>61</v>
      </c>
      <c r="DB205" s="13">
        <v>14</v>
      </c>
      <c r="DC205" s="13">
        <v>1</v>
      </c>
      <c r="DD205" s="13">
        <v>19796</v>
      </c>
      <c r="DE205" s="13" t="s">
        <v>3234</v>
      </c>
    </row>
    <row r="206" spans="1:109" ht="20">
      <c r="A206" s="13" t="s">
        <v>3379</v>
      </c>
      <c r="B206" s="13"/>
      <c r="C206" s="13" t="s">
        <v>3308</v>
      </c>
      <c r="D206" s="14" t="s">
        <v>831</v>
      </c>
      <c r="E206" s="13" t="s">
        <v>672</v>
      </c>
      <c r="F206" s="13" t="s">
        <v>3756</v>
      </c>
      <c r="G206" s="13"/>
      <c r="H206" s="14" t="s">
        <v>703</v>
      </c>
      <c r="I206" s="13" t="s">
        <v>4168</v>
      </c>
      <c r="J206" s="13" t="s">
        <v>3747</v>
      </c>
      <c r="K206" s="13" t="s">
        <v>3746</v>
      </c>
      <c r="L206" s="13" t="s">
        <v>639</v>
      </c>
      <c r="M206" s="13">
        <v>56</v>
      </c>
      <c r="N206" s="13"/>
      <c r="O206" s="15"/>
      <c r="P206" s="13"/>
      <c r="Q206" s="13"/>
      <c r="R206" s="13"/>
      <c r="S206" s="13">
        <v>62.7</v>
      </c>
      <c r="T206" s="13">
        <v>55.6</v>
      </c>
      <c r="U206" s="13">
        <v>72.099999999999994</v>
      </c>
      <c r="V206" s="13">
        <v>37</v>
      </c>
      <c r="W206" s="2">
        <f t="shared" si="18"/>
        <v>0.6607142857142857</v>
      </c>
      <c r="X206" s="13"/>
      <c r="Y206" s="13"/>
      <c r="Z206" s="13">
        <v>44</v>
      </c>
      <c r="AA206" s="13">
        <v>42</v>
      </c>
      <c r="AB206" s="13">
        <v>45</v>
      </c>
      <c r="AC206" s="13"/>
      <c r="AD206" s="13"/>
      <c r="AE206" s="13"/>
      <c r="AF206" s="13"/>
      <c r="AG206" s="13">
        <v>8.5</v>
      </c>
      <c r="AH206" s="13">
        <v>6</v>
      </c>
      <c r="AI206" s="13">
        <v>12</v>
      </c>
      <c r="AJ206" s="13"/>
      <c r="AK206" s="13"/>
      <c r="AL206" s="13"/>
      <c r="AM206" s="13"/>
      <c r="AN206" s="13"/>
      <c r="AO206" s="13"/>
      <c r="AP206" s="13"/>
      <c r="AQ206" s="13"/>
      <c r="AR206" s="13"/>
      <c r="AS206" s="13"/>
      <c r="AT206" s="13"/>
      <c r="AV206" s="13"/>
      <c r="AW206" s="13"/>
      <c r="AX206" s="13"/>
      <c r="AY206" s="13"/>
      <c r="AZ206" s="13"/>
      <c r="BA206" s="16"/>
      <c r="BB206" s="13"/>
      <c r="BC206" s="13"/>
      <c r="BD206" s="13"/>
      <c r="BE206" s="16"/>
      <c r="BF206" s="13"/>
      <c r="BG206" s="13"/>
      <c r="BH206" s="13"/>
      <c r="BI206" s="13"/>
      <c r="BJ206" s="16"/>
      <c r="BK206" s="13"/>
      <c r="BL206" s="13"/>
      <c r="BM206" s="13"/>
      <c r="BN206" s="16" t="s">
        <v>2231</v>
      </c>
      <c r="BO206" s="13"/>
      <c r="BP206" s="13"/>
      <c r="BQ206" s="13"/>
      <c r="BR206" s="13"/>
      <c r="BS206" s="13"/>
      <c r="BT206" s="13"/>
      <c r="BU206" s="13"/>
      <c r="BV206" s="13"/>
      <c r="BW206" s="13"/>
      <c r="BX206" s="13"/>
      <c r="BY206" s="13"/>
      <c r="BZ206" s="13"/>
      <c r="CA206" s="13"/>
      <c r="CB206" s="13"/>
      <c r="CC206" s="13">
        <v>-6.9000000000000006E-2</v>
      </c>
      <c r="CD206" s="13"/>
      <c r="CE206" s="13"/>
      <c r="CF206" s="13"/>
      <c r="CG206" s="13">
        <v>0.61099999999999999</v>
      </c>
      <c r="CH206" s="13"/>
      <c r="CI206" s="13"/>
      <c r="CJ206" s="13"/>
      <c r="CK206" s="13"/>
      <c r="CL206" s="13"/>
      <c r="CM206" s="13"/>
      <c r="CN206" s="13"/>
      <c r="CO206" s="13"/>
      <c r="CP206" s="13"/>
      <c r="CQ206" s="13"/>
      <c r="CR206" s="13"/>
      <c r="CS206" s="13"/>
      <c r="CT206" s="13"/>
      <c r="CU206" s="13"/>
      <c r="CV206" s="13"/>
      <c r="CW206" s="13" t="s">
        <v>3487</v>
      </c>
      <c r="CX206" s="13" t="s">
        <v>3488</v>
      </c>
      <c r="CY206" s="13">
        <v>2024</v>
      </c>
      <c r="CZ206" s="21">
        <v>45896</v>
      </c>
      <c r="DA206" s="13" t="s">
        <v>61</v>
      </c>
      <c r="DB206" s="13">
        <v>14</v>
      </c>
      <c r="DC206" s="13">
        <v>1</v>
      </c>
      <c r="DD206" s="13">
        <v>19796</v>
      </c>
      <c r="DE206" s="13" t="s">
        <v>3234</v>
      </c>
    </row>
    <row r="207" spans="1:109" ht="20">
      <c r="A207" s="13" t="s">
        <v>3379</v>
      </c>
      <c r="B207" s="13"/>
      <c r="C207" s="13" t="s">
        <v>3308</v>
      </c>
      <c r="D207" s="14" t="s">
        <v>831</v>
      </c>
      <c r="E207" s="13" t="s">
        <v>672</v>
      </c>
      <c r="F207" s="13" t="s">
        <v>3757</v>
      </c>
      <c r="G207" s="13"/>
      <c r="H207" s="14" t="s">
        <v>703</v>
      </c>
      <c r="I207" s="13" t="s">
        <v>4168</v>
      </c>
      <c r="J207" s="13" t="s">
        <v>3747</v>
      </c>
      <c r="K207" s="13" t="s">
        <v>3746</v>
      </c>
      <c r="L207" s="13" t="s">
        <v>639</v>
      </c>
      <c r="M207" s="13">
        <v>56</v>
      </c>
      <c r="N207" s="13"/>
      <c r="O207" s="15"/>
      <c r="P207" s="13"/>
      <c r="Q207" s="13"/>
      <c r="R207" s="13"/>
      <c r="S207" s="13">
        <v>62.7</v>
      </c>
      <c r="T207" s="13">
        <v>55.6</v>
      </c>
      <c r="U207" s="13">
        <v>72.099999999999994</v>
      </c>
      <c r="V207" s="13">
        <v>37</v>
      </c>
      <c r="W207" s="2">
        <f t="shared" si="18"/>
        <v>0.6607142857142857</v>
      </c>
      <c r="X207" s="13"/>
      <c r="Y207" s="13"/>
      <c r="Z207" s="13">
        <v>44</v>
      </c>
      <c r="AA207" s="13">
        <v>42</v>
      </c>
      <c r="AB207" s="13">
        <v>45</v>
      </c>
      <c r="AC207" s="13"/>
      <c r="AD207" s="13"/>
      <c r="AE207" s="13"/>
      <c r="AF207" s="13"/>
      <c r="AG207" s="13">
        <v>8.5</v>
      </c>
      <c r="AH207" s="13">
        <v>6</v>
      </c>
      <c r="AI207" s="13">
        <v>12</v>
      </c>
      <c r="AJ207" s="13"/>
      <c r="AK207" s="13"/>
      <c r="AL207" s="13"/>
      <c r="AM207" s="13"/>
      <c r="AN207" s="13"/>
      <c r="AO207" s="13"/>
      <c r="AP207" s="13"/>
      <c r="AQ207" s="13"/>
      <c r="AR207" s="13"/>
      <c r="AS207" s="13"/>
      <c r="AT207" s="13"/>
      <c r="AV207" s="13"/>
      <c r="AW207" s="13"/>
      <c r="AX207" s="13"/>
      <c r="AY207" s="13"/>
      <c r="AZ207" s="13"/>
      <c r="BA207" s="16"/>
      <c r="BB207" s="13"/>
      <c r="BC207" s="13"/>
      <c r="BD207" s="13"/>
      <c r="BE207" s="16"/>
      <c r="BF207" s="13"/>
      <c r="BG207" s="13"/>
      <c r="BH207" s="13"/>
      <c r="BI207" s="13"/>
      <c r="BJ207" s="16"/>
      <c r="BK207" s="13"/>
      <c r="BL207" s="13"/>
      <c r="BM207" s="13"/>
      <c r="BN207" s="16" t="s">
        <v>2231</v>
      </c>
      <c r="BO207" s="13"/>
      <c r="BP207" s="13"/>
      <c r="BQ207" s="13"/>
      <c r="BR207" s="13"/>
      <c r="BS207" s="13"/>
      <c r="BT207" s="13"/>
      <c r="BU207" s="13"/>
      <c r="BV207" s="13"/>
      <c r="BW207" s="13"/>
      <c r="BX207" s="13"/>
      <c r="BY207" s="13"/>
      <c r="BZ207" s="13"/>
      <c r="CA207" s="13"/>
      <c r="CB207" s="13"/>
      <c r="CC207" s="13">
        <v>0.106</v>
      </c>
      <c r="CD207" s="13"/>
      <c r="CE207" s="13"/>
      <c r="CF207" s="13"/>
      <c r="CG207" s="13">
        <v>0.437</v>
      </c>
      <c r="CH207" s="13"/>
      <c r="CI207" s="13"/>
      <c r="CJ207" s="13"/>
      <c r="CK207" s="13"/>
      <c r="CL207" s="13"/>
      <c r="CM207" s="13"/>
      <c r="CN207" s="13"/>
      <c r="CO207" s="13"/>
      <c r="CP207" s="13"/>
      <c r="CQ207" s="13"/>
      <c r="CR207" s="13"/>
      <c r="CS207" s="13"/>
      <c r="CT207" s="13"/>
      <c r="CU207" s="13"/>
      <c r="CV207" s="13"/>
      <c r="CW207" s="13" t="s">
        <v>3487</v>
      </c>
      <c r="CX207" s="13" t="s">
        <v>3488</v>
      </c>
      <c r="CY207" s="13">
        <v>2024</v>
      </c>
      <c r="CZ207" s="21">
        <v>45896</v>
      </c>
      <c r="DA207" s="13" t="s">
        <v>61</v>
      </c>
      <c r="DB207" s="13">
        <v>14</v>
      </c>
      <c r="DC207" s="13">
        <v>1</v>
      </c>
      <c r="DD207" s="13">
        <v>19796</v>
      </c>
      <c r="DE207" s="13" t="s">
        <v>3234</v>
      </c>
    </row>
    <row r="208" spans="1:109" ht="20">
      <c r="A208" s="13" t="s">
        <v>3379</v>
      </c>
      <c r="B208" s="13"/>
      <c r="C208" s="13" t="s">
        <v>3308</v>
      </c>
      <c r="D208" s="14" t="s">
        <v>831</v>
      </c>
      <c r="E208" s="13" t="s">
        <v>672</v>
      </c>
      <c r="F208" s="13" t="s">
        <v>3758</v>
      </c>
      <c r="G208" s="13"/>
      <c r="H208" s="14" t="s">
        <v>703</v>
      </c>
      <c r="I208" s="13" t="s">
        <v>4168</v>
      </c>
      <c r="J208" s="13" t="s">
        <v>3747</v>
      </c>
      <c r="K208" s="13" t="s">
        <v>3746</v>
      </c>
      <c r="L208" s="13" t="s">
        <v>639</v>
      </c>
      <c r="M208" s="13">
        <v>56</v>
      </c>
      <c r="N208" s="13"/>
      <c r="O208" s="15"/>
      <c r="P208" s="13"/>
      <c r="Q208" s="13"/>
      <c r="R208" s="13"/>
      <c r="S208" s="13">
        <v>62.7</v>
      </c>
      <c r="T208" s="13">
        <v>55.6</v>
      </c>
      <c r="U208" s="13">
        <v>72.099999999999994</v>
      </c>
      <c r="V208" s="13">
        <v>37</v>
      </c>
      <c r="W208" s="2">
        <f t="shared" si="18"/>
        <v>0.6607142857142857</v>
      </c>
      <c r="X208" s="13"/>
      <c r="Y208" s="13"/>
      <c r="Z208" s="13">
        <v>44</v>
      </c>
      <c r="AA208" s="13">
        <v>42</v>
      </c>
      <c r="AB208" s="13">
        <v>45</v>
      </c>
      <c r="AC208" s="13"/>
      <c r="AD208" s="13"/>
      <c r="AE208" s="13"/>
      <c r="AF208" s="13"/>
      <c r="AG208" s="13">
        <v>8.5</v>
      </c>
      <c r="AH208" s="13">
        <v>6</v>
      </c>
      <c r="AI208" s="13">
        <v>12</v>
      </c>
      <c r="AJ208" s="13"/>
      <c r="AK208" s="13"/>
      <c r="AL208" s="13"/>
      <c r="AM208" s="13"/>
      <c r="AN208" s="13"/>
      <c r="AO208" s="13"/>
      <c r="AP208" s="13"/>
      <c r="AQ208" s="13"/>
      <c r="AR208" s="13"/>
      <c r="AS208" s="13"/>
      <c r="AT208" s="13"/>
      <c r="AV208" s="13"/>
      <c r="AW208" s="13"/>
      <c r="AX208" s="13"/>
      <c r="AY208" s="13"/>
      <c r="AZ208" s="13"/>
      <c r="BA208" s="16"/>
      <c r="BB208" s="13"/>
      <c r="BC208" s="13"/>
      <c r="BD208" s="13"/>
      <c r="BE208" s="16"/>
      <c r="BF208" s="13"/>
      <c r="BG208" s="13"/>
      <c r="BH208" s="13"/>
      <c r="BI208" s="13"/>
      <c r="BJ208" s="16"/>
      <c r="BK208" s="13"/>
      <c r="BL208" s="13"/>
      <c r="BM208" s="13"/>
      <c r="BN208" s="16" t="s">
        <v>2231</v>
      </c>
      <c r="BO208" s="13"/>
      <c r="BP208" s="13"/>
      <c r="BQ208" s="13"/>
      <c r="BR208" s="13"/>
      <c r="BS208" s="13"/>
      <c r="BT208" s="13"/>
      <c r="BU208" s="13"/>
      <c r="BV208" s="13"/>
      <c r="BW208" s="13"/>
      <c r="BX208" s="13"/>
      <c r="BY208" s="13"/>
      <c r="BZ208" s="13"/>
      <c r="CA208" s="13"/>
      <c r="CB208" s="13"/>
      <c r="CC208" s="13">
        <v>7.1999999999999995E-2</v>
      </c>
      <c r="CD208" s="13"/>
      <c r="CE208" s="13"/>
      <c r="CF208" s="13"/>
      <c r="CG208" s="13">
        <v>0.59599999999999997</v>
      </c>
      <c r="CH208" s="13"/>
      <c r="CI208" s="13"/>
      <c r="CJ208" s="13"/>
      <c r="CK208" s="13"/>
      <c r="CL208" s="13"/>
      <c r="CM208" s="13"/>
      <c r="CN208" s="13"/>
      <c r="CO208" s="13"/>
      <c r="CP208" s="13"/>
      <c r="CQ208" s="13"/>
      <c r="CR208" s="13"/>
      <c r="CS208" s="13"/>
      <c r="CT208" s="13"/>
      <c r="CU208" s="13"/>
      <c r="CV208" s="13"/>
      <c r="CW208" s="13" t="s">
        <v>3487</v>
      </c>
      <c r="CX208" s="13" t="s">
        <v>3488</v>
      </c>
      <c r="CY208" s="13">
        <v>2024</v>
      </c>
      <c r="CZ208" s="21">
        <v>45896</v>
      </c>
      <c r="DA208" s="13" t="s">
        <v>61</v>
      </c>
      <c r="DB208" s="13">
        <v>14</v>
      </c>
      <c r="DC208" s="13">
        <v>1</v>
      </c>
      <c r="DD208" s="13">
        <v>19796</v>
      </c>
      <c r="DE208" s="13" t="s">
        <v>3234</v>
      </c>
    </row>
    <row r="209" spans="1:109" ht="20">
      <c r="A209" s="13" t="s">
        <v>3379</v>
      </c>
      <c r="B209" s="13"/>
      <c r="C209" s="13" t="s">
        <v>3308</v>
      </c>
      <c r="D209" s="14" t="s">
        <v>831</v>
      </c>
      <c r="E209" s="13" t="s">
        <v>672</v>
      </c>
      <c r="F209" s="13" t="s">
        <v>3759</v>
      </c>
      <c r="G209" s="13"/>
      <c r="H209" s="14" t="s">
        <v>703</v>
      </c>
      <c r="I209" s="13" t="s">
        <v>4168</v>
      </c>
      <c r="J209" s="13" t="s">
        <v>3747</v>
      </c>
      <c r="K209" s="13" t="s">
        <v>3746</v>
      </c>
      <c r="L209" s="13" t="s">
        <v>639</v>
      </c>
      <c r="M209" s="13">
        <v>56</v>
      </c>
      <c r="N209" s="13"/>
      <c r="O209" s="15"/>
      <c r="P209" s="13"/>
      <c r="Q209" s="13"/>
      <c r="R209" s="13"/>
      <c r="S209" s="13">
        <v>62.7</v>
      </c>
      <c r="T209" s="13">
        <v>55.6</v>
      </c>
      <c r="U209" s="13">
        <v>72.099999999999994</v>
      </c>
      <c r="V209" s="13">
        <v>37</v>
      </c>
      <c r="W209" s="2">
        <f t="shared" si="18"/>
        <v>0.6607142857142857</v>
      </c>
      <c r="X209" s="13"/>
      <c r="Y209" s="13"/>
      <c r="Z209" s="13">
        <v>44</v>
      </c>
      <c r="AA209" s="13">
        <v>42</v>
      </c>
      <c r="AB209" s="13">
        <v>45</v>
      </c>
      <c r="AC209" s="13"/>
      <c r="AD209" s="13"/>
      <c r="AE209" s="13"/>
      <c r="AF209" s="13"/>
      <c r="AG209" s="13">
        <v>8.5</v>
      </c>
      <c r="AH209" s="13">
        <v>6</v>
      </c>
      <c r="AI209" s="13">
        <v>12</v>
      </c>
      <c r="AJ209" s="13"/>
      <c r="AK209" s="13"/>
      <c r="AL209" s="13"/>
      <c r="AM209" s="13"/>
      <c r="AN209" s="13"/>
      <c r="AO209" s="13"/>
      <c r="AP209" s="13"/>
      <c r="AQ209" s="13"/>
      <c r="AR209" s="13"/>
      <c r="AS209" s="13"/>
      <c r="AT209" s="13"/>
      <c r="AV209" s="13"/>
      <c r="AW209" s="13"/>
      <c r="AX209" s="13"/>
      <c r="AY209" s="13"/>
      <c r="AZ209" s="13"/>
      <c r="BA209" s="16"/>
      <c r="BB209" s="13"/>
      <c r="BC209" s="13"/>
      <c r="BD209" s="13"/>
      <c r="BE209" s="16"/>
      <c r="BF209" s="13"/>
      <c r="BG209" s="13"/>
      <c r="BH209" s="13"/>
      <c r="BI209" s="13"/>
      <c r="BJ209" s="16"/>
      <c r="BK209" s="13"/>
      <c r="BL209" s="13"/>
      <c r="BM209" s="13"/>
      <c r="BN209" s="16" t="s">
        <v>2231</v>
      </c>
      <c r="BO209" s="13"/>
      <c r="BP209" s="13"/>
      <c r="BQ209" s="13"/>
      <c r="BR209" s="13"/>
      <c r="BS209" s="13"/>
      <c r="BT209" s="13"/>
      <c r="BU209" s="13"/>
      <c r="BV209" s="13"/>
      <c r="BW209" s="13"/>
      <c r="BX209" s="13"/>
      <c r="BY209" s="13"/>
      <c r="BZ209" s="13"/>
      <c r="CA209" s="13"/>
      <c r="CB209" s="13"/>
      <c r="CC209" s="13">
        <v>0.26500000000000001</v>
      </c>
      <c r="CD209" s="13"/>
      <c r="CE209" s="13"/>
      <c r="CF209" s="13"/>
      <c r="CG209" s="13">
        <v>4.8000000000000001E-2</v>
      </c>
      <c r="CH209" s="13"/>
      <c r="CI209" s="13"/>
      <c r="CJ209" s="13"/>
      <c r="CK209" s="13"/>
      <c r="CL209" s="13"/>
      <c r="CM209" s="13"/>
      <c r="CN209" s="13"/>
      <c r="CO209" s="13"/>
      <c r="CP209" s="13"/>
      <c r="CQ209" s="13"/>
      <c r="CR209" s="13"/>
      <c r="CS209" s="13"/>
      <c r="CT209" s="13"/>
      <c r="CU209" s="13"/>
      <c r="CV209" s="13"/>
      <c r="CW209" s="13" t="s">
        <v>3487</v>
      </c>
      <c r="CX209" s="13" t="s">
        <v>3488</v>
      </c>
      <c r="CY209" s="13">
        <v>2024</v>
      </c>
      <c r="CZ209" s="21">
        <v>45896</v>
      </c>
      <c r="DA209" s="13" t="s">
        <v>61</v>
      </c>
      <c r="DB209" s="13">
        <v>14</v>
      </c>
      <c r="DC209" s="13">
        <v>1</v>
      </c>
      <c r="DD209" s="13">
        <v>19796</v>
      </c>
      <c r="DE209" s="13" t="s">
        <v>3234</v>
      </c>
    </row>
    <row r="210" spans="1:109">
      <c r="A210" s="14" t="s">
        <v>1809</v>
      </c>
      <c r="B210" s="14" t="s">
        <v>1689</v>
      </c>
      <c r="C210" s="14" t="s">
        <v>192</v>
      </c>
      <c r="D210" s="14" t="s">
        <v>820</v>
      </c>
      <c r="E210" s="14" t="s">
        <v>672</v>
      </c>
      <c r="F210" s="14" t="s">
        <v>686</v>
      </c>
      <c r="H210" s="14" t="s">
        <v>703</v>
      </c>
      <c r="I210" s="14" t="s">
        <v>3111</v>
      </c>
      <c r="J210" s="14" t="s">
        <v>585</v>
      </c>
      <c r="L210" s="14" t="s">
        <v>639</v>
      </c>
      <c r="M210" s="14">
        <v>32</v>
      </c>
      <c r="Q210" s="14">
        <v>65.7</v>
      </c>
      <c r="R210" s="14">
        <v>10.8</v>
      </c>
      <c r="V210" s="14">
        <v>19</v>
      </c>
      <c r="W210" s="14">
        <f t="shared" si="18"/>
        <v>0.59375</v>
      </c>
      <c r="AC210" s="14">
        <v>25</v>
      </c>
      <c r="AD210" s="34">
        <f t="shared" ref="AD210:AD216" si="19">AC210/M210</f>
        <v>0.78125</v>
      </c>
      <c r="AE210" s="35">
        <v>15.9</v>
      </c>
      <c r="AF210" s="35">
        <v>18.3</v>
      </c>
      <c r="BN210" s="14" t="s">
        <v>2231</v>
      </c>
      <c r="BQ210" s="14">
        <v>0.443</v>
      </c>
      <c r="BU210" s="14">
        <v>1.2500000000000001E-2</v>
      </c>
      <c r="CV210" s="14" t="s">
        <v>2451</v>
      </c>
      <c r="CW210" s="14" t="s">
        <v>186</v>
      </c>
      <c r="CX210" s="14" t="s">
        <v>187</v>
      </c>
      <c r="CY210" s="14">
        <v>2021</v>
      </c>
      <c r="CZ210" s="36" t="s">
        <v>188</v>
      </c>
      <c r="DA210" s="14" t="s">
        <v>189</v>
      </c>
      <c r="DB210" s="14">
        <v>25</v>
      </c>
      <c r="DC210" s="14">
        <v>8</v>
      </c>
      <c r="DD210" s="14" t="s">
        <v>190</v>
      </c>
      <c r="DE210" s="14" t="s">
        <v>191</v>
      </c>
    </row>
    <row r="211" spans="1:109">
      <c r="A211" s="14" t="s">
        <v>1809</v>
      </c>
      <c r="B211" s="14" t="s">
        <v>1689</v>
      </c>
      <c r="C211" s="14" t="s">
        <v>192</v>
      </c>
      <c r="D211" s="14" t="s">
        <v>820</v>
      </c>
      <c r="E211" s="14" t="s">
        <v>672</v>
      </c>
      <c r="F211" s="14" t="s">
        <v>675</v>
      </c>
      <c r="H211" s="14" t="s">
        <v>703</v>
      </c>
      <c r="I211" s="14" t="s">
        <v>3111</v>
      </c>
      <c r="J211" s="14" t="s">
        <v>585</v>
      </c>
      <c r="L211" s="14" t="s">
        <v>639</v>
      </c>
      <c r="M211" s="14">
        <v>32</v>
      </c>
      <c r="Q211" s="14">
        <v>65.7</v>
      </c>
      <c r="R211" s="14">
        <v>10.8</v>
      </c>
      <c r="V211" s="14">
        <v>19</v>
      </c>
      <c r="W211" s="14">
        <f t="shared" si="18"/>
        <v>0.59375</v>
      </c>
      <c r="AC211" s="14">
        <v>25</v>
      </c>
      <c r="AD211" s="34">
        <f t="shared" si="19"/>
        <v>0.78125</v>
      </c>
      <c r="AE211" s="35">
        <v>15.9</v>
      </c>
      <c r="AF211" s="35">
        <v>18.3</v>
      </c>
      <c r="BN211" s="14" t="s">
        <v>2231</v>
      </c>
      <c r="BQ211" s="14">
        <v>0.45739999999999997</v>
      </c>
      <c r="BU211" s="14">
        <v>9.7000000000000003E-3</v>
      </c>
      <c r="CV211" s="14" t="s">
        <v>2451</v>
      </c>
      <c r="CW211" s="14" t="s">
        <v>186</v>
      </c>
      <c r="CX211" s="14" t="s">
        <v>187</v>
      </c>
      <c r="CY211" s="14">
        <v>2021</v>
      </c>
      <c r="CZ211" s="36" t="s">
        <v>188</v>
      </c>
      <c r="DA211" s="14" t="s">
        <v>189</v>
      </c>
      <c r="DB211" s="14">
        <v>25</v>
      </c>
      <c r="DC211" s="14">
        <v>8</v>
      </c>
      <c r="DD211" s="14" t="s">
        <v>190</v>
      </c>
      <c r="DE211" s="14" t="s">
        <v>191</v>
      </c>
    </row>
    <row r="212" spans="1:109" ht="20">
      <c r="A212" s="13" t="s">
        <v>3380</v>
      </c>
      <c r="B212" s="16"/>
      <c r="C212" s="13" t="s">
        <v>3309</v>
      </c>
      <c r="D212" s="14" t="s">
        <v>2039</v>
      </c>
      <c r="E212" s="13" t="s">
        <v>672</v>
      </c>
      <c r="F212" s="13" t="s">
        <v>675</v>
      </c>
      <c r="G212" s="13"/>
      <c r="H212" s="14" t="s">
        <v>3761</v>
      </c>
      <c r="I212" s="13" t="s">
        <v>3762</v>
      </c>
      <c r="J212" s="13" t="s">
        <v>585</v>
      </c>
      <c r="K212" s="13"/>
      <c r="L212" s="13" t="s">
        <v>639</v>
      </c>
      <c r="M212" s="13">
        <v>210</v>
      </c>
      <c r="N212" s="13"/>
      <c r="O212" s="15"/>
      <c r="P212" s="13">
        <v>34</v>
      </c>
      <c r="Q212" s="13"/>
      <c r="R212" s="13"/>
      <c r="S212" s="13">
        <v>62</v>
      </c>
      <c r="T212" s="13">
        <v>55</v>
      </c>
      <c r="U212" s="13">
        <v>69</v>
      </c>
      <c r="V212" s="13">
        <v>124</v>
      </c>
      <c r="W212" s="2">
        <f t="shared" si="18"/>
        <v>0.59047619047619049</v>
      </c>
      <c r="X212" s="13"/>
      <c r="Y212" s="13"/>
      <c r="Z212" s="13">
        <v>41</v>
      </c>
      <c r="AA212" s="13">
        <v>36</v>
      </c>
      <c r="AB212" s="13">
        <v>44</v>
      </c>
      <c r="AC212" s="13">
        <v>147</v>
      </c>
      <c r="AD212" s="13">
        <f t="shared" si="19"/>
        <v>0.7</v>
      </c>
      <c r="AE212" s="13"/>
      <c r="AF212" s="13"/>
      <c r="AG212" s="13">
        <v>12</v>
      </c>
      <c r="AH212" s="13">
        <v>7</v>
      </c>
      <c r="AI212" s="13">
        <v>18</v>
      </c>
      <c r="AJ212" s="13"/>
      <c r="AK212" s="13"/>
      <c r="AL212" s="13">
        <v>33</v>
      </c>
      <c r="AM212" s="13">
        <v>21</v>
      </c>
      <c r="AN212" s="13">
        <v>60.5</v>
      </c>
      <c r="AO212" s="13"/>
      <c r="AP212" s="13"/>
      <c r="AQ212" s="13"/>
      <c r="AR212" s="13"/>
      <c r="AS212" s="13"/>
      <c r="AT212" s="13">
        <v>144</v>
      </c>
      <c r="AU212" s="14" t="s">
        <v>2447</v>
      </c>
      <c r="AV212" s="13"/>
      <c r="AW212" s="13"/>
      <c r="AX212" s="13"/>
      <c r="AY212" s="13"/>
      <c r="AZ212" s="13"/>
      <c r="BA212" s="16"/>
      <c r="BB212" s="13"/>
      <c r="BC212" s="13"/>
      <c r="BD212" s="13"/>
      <c r="BE212" s="16" t="s">
        <v>3768</v>
      </c>
      <c r="BF212" s="13"/>
      <c r="BG212" s="13">
        <v>1</v>
      </c>
      <c r="BH212" s="13">
        <v>1</v>
      </c>
      <c r="BI212" s="13">
        <v>1</v>
      </c>
      <c r="BJ212" s="16"/>
      <c r="BK212" s="13"/>
      <c r="BL212" s="13"/>
      <c r="BM212" s="13"/>
      <c r="BN212" s="16" t="s">
        <v>2231</v>
      </c>
      <c r="BO212" s="13" t="s">
        <v>2490</v>
      </c>
      <c r="BP212" s="13"/>
      <c r="BQ212" s="13">
        <v>0.39300000000000002</v>
      </c>
      <c r="BR212" s="13"/>
      <c r="BS212" s="13"/>
      <c r="BT212" s="13"/>
      <c r="BU212" s="13" t="s">
        <v>701</v>
      </c>
      <c r="BV212" s="13"/>
      <c r="BW212" s="13"/>
      <c r="BX212" s="13"/>
      <c r="BY212" s="13"/>
      <c r="BZ212" s="13"/>
      <c r="CA212" s="13"/>
      <c r="CB212" s="13"/>
      <c r="CC212" s="13">
        <v>-0.219</v>
      </c>
      <c r="CD212" s="13"/>
      <c r="CE212" s="13"/>
      <c r="CF212" s="13"/>
      <c r="CG212" s="13">
        <v>4.0000000000000001E-3</v>
      </c>
      <c r="CH212" s="13"/>
      <c r="CI212" s="13"/>
      <c r="CJ212" s="13"/>
      <c r="CK212" s="13"/>
      <c r="CL212" s="13"/>
      <c r="CM212" s="13"/>
      <c r="CN212" s="13"/>
      <c r="CO212" s="13"/>
      <c r="CP212" s="13"/>
      <c r="CQ212" s="13"/>
      <c r="CR212" s="13"/>
      <c r="CS212" s="13"/>
      <c r="CT212" s="13"/>
      <c r="CU212" s="13"/>
      <c r="CV212" s="13" t="s">
        <v>3769</v>
      </c>
      <c r="CW212" s="13" t="s">
        <v>3489</v>
      </c>
      <c r="CX212" s="13" t="s">
        <v>3490</v>
      </c>
      <c r="CY212" s="13">
        <v>2024</v>
      </c>
      <c r="CZ212" s="13" t="s">
        <v>162</v>
      </c>
      <c r="DA212" s="13" t="s">
        <v>13</v>
      </c>
      <c r="DB212" s="13">
        <v>271</v>
      </c>
      <c r="DC212" s="13">
        <v>12</v>
      </c>
      <c r="DD212" s="13" t="s">
        <v>3491</v>
      </c>
      <c r="DE212" s="13" t="s">
        <v>3235</v>
      </c>
    </row>
    <row r="213" spans="1:109" ht="20">
      <c r="A213" s="13" t="s">
        <v>3380</v>
      </c>
      <c r="B213" s="16"/>
      <c r="C213" s="13" t="s">
        <v>3309</v>
      </c>
      <c r="D213" s="14" t="s">
        <v>2039</v>
      </c>
      <c r="E213" s="13" t="s">
        <v>672</v>
      </c>
      <c r="F213" s="13" t="s">
        <v>680</v>
      </c>
      <c r="G213" s="13"/>
      <c r="H213" s="14" t="s">
        <v>3761</v>
      </c>
      <c r="I213" s="13" t="s">
        <v>3762</v>
      </c>
      <c r="J213" s="13" t="s">
        <v>585</v>
      </c>
      <c r="K213" s="13"/>
      <c r="L213" s="13" t="s">
        <v>639</v>
      </c>
      <c r="M213" s="13">
        <v>210</v>
      </c>
      <c r="N213" s="13"/>
      <c r="O213" s="15"/>
      <c r="P213" s="13">
        <v>34</v>
      </c>
      <c r="Q213" s="13"/>
      <c r="R213" s="13"/>
      <c r="S213" s="13">
        <v>62</v>
      </c>
      <c r="T213" s="13">
        <v>55</v>
      </c>
      <c r="U213" s="13">
        <v>69</v>
      </c>
      <c r="V213" s="13">
        <v>124</v>
      </c>
      <c r="W213" s="2">
        <f t="shared" si="18"/>
        <v>0.59047619047619049</v>
      </c>
      <c r="X213" s="13"/>
      <c r="Y213" s="13"/>
      <c r="Z213" s="13">
        <v>41</v>
      </c>
      <c r="AA213" s="13">
        <v>36</v>
      </c>
      <c r="AB213" s="13">
        <v>44</v>
      </c>
      <c r="AC213" s="13">
        <v>147</v>
      </c>
      <c r="AD213" s="13">
        <f t="shared" si="19"/>
        <v>0.7</v>
      </c>
      <c r="AE213" s="13"/>
      <c r="AF213" s="13"/>
      <c r="AG213" s="13">
        <v>12</v>
      </c>
      <c r="AH213" s="13">
        <v>7</v>
      </c>
      <c r="AI213" s="13">
        <v>18</v>
      </c>
      <c r="AJ213" s="13"/>
      <c r="AK213" s="13"/>
      <c r="AL213" s="13">
        <v>33</v>
      </c>
      <c r="AM213" s="13">
        <v>21</v>
      </c>
      <c r="AN213" s="13">
        <v>60.5</v>
      </c>
      <c r="AO213" s="13"/>
      <c r="AP213" s="13"/>
      <c r="AQ213" s="13"/>
      <c r="AR213" s="13"/>
      <c r="AS213" s="13"/>
      <c r="AT213" s="13">
        <v>144</v>
      </c>
      <c r="AU213" s="14" t="s">
        <v>2447</v>
      </c>
      <c r="AV213" s="13"/>
      <c r="AW213" s="13"/>
      <c r="AX213" s="13"/>
      <c r="AY213" s="13"/>
      <c r="AZ213" s="13"/>
      <c r="BA213" s="16"/>
      <c r="BB213" s="13"/>
      <c r="BC213" s="13"/>
      <c r="BD213" s="13"/>
      <c r="BE213" s="16" t="s">
        <v>3768</v>
      </c>
      <c r="BF213" s="13"/>
      <c r="BG213" s="13">
        <v>2.3340000000000001</v>
      </c>
      <c r="BH213" s="13">
        <v>1.256</v>
      </c>
      <c r="BI213" s="13">
        <v>5.141</v>
      </c>
      <c r="BJ213" s="16"/>
      <c r="BK213" s="13"/>
      <c r="BL213" s="13"/>
      <c r="BM213" s="13"/>
      <c r="BN213" s="16" t="s">
        <v>2231</v>
      </c>
      <c r="BO213" s="13" t="s">
        <v>2490</v>
      </c>
      <c r="BP213" s="13"/>
      <c r="BQ213" s="13">
        <v>0.27400000000000002</v>
      </c>
      <c r="BR213" s="13"/>
      <c r="BS213" s="13"/>
      <c r="BT213" s="13"/>
      <c r="BU213" s="13">
        <v>8.9999999999999993E-3</v>
      </c>
      <c r="BV213" s="13"/>
      <c r="BW213" s="13"/>
      <c r="BX213" s="13"/>
      <c r="BY213" s="13"/>
      <c r="BZ213" s="13"/>
      <c r="CA213" s="13"/>
      <c r="CB213" s="13"/>
      <c r="CC213" s="13">
        <v>-0.26500000000000001</v>
      </c>
      <c r="CD213" s="13"/>
      <c r="CE213" s="13"/>
      <c r="CF213" s="13"/>
      <c r="CG213" s="13">
        <v>1.2E-2</v>
      </c>
      <c r="CH213" s="13"/>
      <c r="CI213" s="13"/>
      <c r="CJ213" s="13"/>
      <c r="CK213" s="13"/>
      <c r="CL213" s="13"/>
      <c r="CM213" s="13"/>
      <c r="CN213" s="13"/>
      <c r="CO213" s="13"/>
      <c r="CP213" s="13"/>
      <c r="CQ213" s="13"/>
      <c r="CR213" s="13"/>
      <c r="CS213" s="13"/>
      <c r="CT213" s="13"/>
      <c r="CU213" s="13"/>
      <c r="CV213" s="13" t="s">
        <v>3769</v>
      </c>
      <c r="CW213" s="13" t="s">
        <v>3489</v>
      </c>
      <c r="CX213" s="13" t="s">
        <v>3490</v>
      </c>
      <c r="CY213" s="13">
        <v>2024</v>
      </c>
      <c r="CZ213" s="13" t="s">
        <v>162</v>
      </c>
      <c r="DA213" s="13" t="s">
        <v>13</v>
      </c>
      <c r="DB213" s="13">
        <v>271</v>
      </c>
      <c r="DC213" s="13">
        <v>12</v>
      </c>
      <c r="DD213" s="13" t="s">
        <v>3491</v>
      </c>
      <c r="DE213" s="13" t="s">
        <v>3235</v>
      </c>
    </row>
    <row r="214" spans="1:109" ht="20">
      <c r="A214" s="13" t="s">
        <v>3380</v>
      </c>
      <c r="B214" s="16"/>
      <c r="C214" s="13" t="s">
        <v>3309</v>
      </c>
      <c r="D214" s="14" t="s">
        <v>2039</v>
      </c>
      <c r="E214" s="13" t="s">
        <v>672</v>
      </c>
      <c r="F214" s="13" t="s">
        <v>3763</v>
      </c>
      <c r="G214" s="13"/>
      <c r="H214" s="14" t="s">
        <v>3761</v>
      </c>
      <c r="I214" s="13" t="s">
        <v>3762</v>
      </c>
      <c r="J214" s="13" t="s">
        <v>778</v>
      </c>
      <c r="K214" s="13"/>
      <c r="L214" s="13" t="s">
        <v>3764</v>
      </c>
      <c r="M214" s="13">
        <v>210</v>
      </c>
      <c r="N214" s="13"/>
      <c r="O214" s="15"/>
      <c r="P214" s="13">
        <v>34</v>
      </c>
      <c r="Q214" s="13"/>
      <c r="R214" s="13"/>
      <c r="S214" s="13">
        <v>62</v>
      </c>
      <c r="T214" s="13">
        <v>55</v>
      </c>
      <c r="U214" s="13">
        <v>69</v>
      </c>
      <c r="V214" s="13">
        <v>124</v>
      </c>
      <c r="W214" s="2">
        <f t="shared" si="18"/>
        <v>0.59047619047619049</v>
      </c>
      <c r="X214" s="13"/>
      <c r="Y214" s="13"/>
      <c r="Z214" s="13">
        <v>41</v>
      </c>
      <c r="AA214" s="13">
        <v>36</v>
      </c>
      <c r="AB214" s="13">
        <v>44</v>
      </c>
      <c r="AC214" s="13">
        <v>147</v>
      </c>
      <c r="AD214" s="13">
        <f t="shared" si="19"/>
        <v>0.7</v>
      </c>
      <c r="AE214" s="13"/>
      <c r="AF214" s="13"/>
      <c r="AG214" s="13">
        <v>12</v>
      </c>
      <c r="AH214" s="13">
        <v>7</v>
      </c>
      <c r="AI214" s="13">
        <v>18</v>
      </c>
      <c r="AJ214" s="13"/>
      <c r="AK214" s="13"/>
      <c r="AL214" s="13">
        <v>33</v>
      </c>
      <c r="AM214" s="13">
        <v>21</v>
      </c>
      <c r="AN214" s="13">
        <v>60.5</v>
      </c>
      <c r="AO214" s="13"/>
      <c r="AP214" s="13"/>
      <c r="AQ214" s="13"/>
      <c r="AR214" s="13"/>
      <c r="AS214" s="13"/>
      <c r="AT214" s="13">
        <v>144</v>
      </c>
      <c r="AU214" s="14" t="s">
        <v>2447</v>
      </c>
      <c r="AV214" s="13"/>
      <c r="AW214" s="13"/>
      <c r="AX214" s="13"/>
      <c r="AY214" s="13"/>
      <c r="AZ214" s="13"/>
      <c r="BA214" s="16"/>
      <c r="BB214" s="13"/>
      <c r="BC214" s="13"/>
      <c r="BD214" s="13"/>
      <c r="BE214" s="16" t="s">
        <v>3768</v>
      </c>
      <c r="BF214" s="13"/>
      <c r="BG214" s="13">
        <v>0.95799999999999996</v>
      </c>
      <c r="BH214" s="13">
        <v>0.65700000000000003</v>
      </c>
      <c r="BI214" s="13">
        <v>1.292</v>
      </c>
      <c r="BJ214" s="16"/>
      <c r="BK214" s="13"/>
      <c r="BL214" s="13"/>
      <c r="BM214" s="13"/>
      <c r="BN214" s="16" t="s">
        <v>2231</v>
      </c>
      <c r="BO214" s="13" t="s">
        <v>2490</v>
      </c>
      <c r="BP214" s="13"/>
      <c r="BQ214" s="13">
        <v>6.9000000000000006E-2</v>
      </c>
      <c r="BR214" s="13"/>
      <c r="BS214" s="13"/>
      <c r="BT214" s="13"/>
      <c r="BU214" s="13">
        <v>0.53600000000000003</v>
      </c>
      <c r="BV214" s="13"/>
      <c r="BW214" s="13"/>
      <c r="BX214" s="13"/>
      <c r="BY214" s="13"/>
      <c r="BZ214" s="13"/>
      <c r="CA214" s="13"/>
      <c r="CB214" s="13"/>
      <c r="CC214" s="13">
        <v>-0.157</v>
      </c>
      <c r="CD214" s="13"/>
      <c r="CE214" s="13"/>
      <c r="CF214" s="13"/>
      <c r="CG214" s="13">
        <v>0.159</v>
      </c>
      <c r="CH214" s="13"/>
      <c r="CI214" s="13"/>
      <c r="CJ214" s="13"/>
      <c r="CK214" s="13"/>
      <c r="CL214" s="13"/>
      <c r="CM214" s="13"/>
      <c r="CN214" s="13"/>
      <c r="CO214" s="13"/>
      <c r="CP214" s="13"/>
      <c r="CQ214" s="13"/>
      <c r="CR214" s="13"/>
      <c r="CS214" s="13"/>
      <c r="CT214" s="13"/>
      <c r="CU214" s="13"/>
      <c r="CV214" s="13" t="s">
        <v>3769</v>
      </c>
      <c r="CW214" s="13" t="s">
        <v>3489</v>
      </c>
      <c r="CX214" s="13" t="s">
        <v>3490</v>
      </c>
      <c r="CY214" s="13">
        <v>2024</v>
      </c>
      <c r="CZ214" s="13" t="s">
        <v>162</v>
      </c>
      <c r="DA214" s="13" t="s">
        <v>13</v>
      </c>
      <c r="DB214" s="13">
        <v>271</v>
      </c>
      <c r="DC214" s="13">
        <v>12</v>
      </c>
      <c r="DD214" s="13" t="s">
        <v>3491</v>
      </c>
      <c r="DE214" s="13" t="s">
        <v>3235</v>
      </c>
    </row>
    <row r="215" spans="1:109" ht="20">
      <c r="A215" s="13" t="s">
        <v>3380</v>
      </c>
      <c r="B215" s="16"/>
      <c r="C215" s="13" t="s">
        <v>3309</v>
      </c>
      <c r="D215" s="14" t="s">
        <v>2039</v>
      </c>
      <c r="E215" s="13" t="s">
        <v>672</v>
      </c>
      <c r="F215" s="13" t="s">
        <v>684</v>
      </c>
      <c r="G215" s="13" t="s">
        <v>3767</v>
      </c>
      <c r="H215" s="14" t="s">
        <v>3761</v>
      </c>
      <c r="I215" s="13" t="s">
        <v>3762</v>
      </c>
      <c r="J215" s="13" t="s">
        <v>778</v>
      </c>
      <c r="K215" s="13"/>
      <c r="L215" s="13" t="s">
        <v>3764</v>
      </c>
      <c r="M215" s="13">
        <v>210</v>
      </c>
      <c r="N215" s="13"/>
      <c r="O215" s="15"/>
      <c r="P215" s="13">
        <v>34</v>
      </c>
      <c r="Q215" s="13"/>
      <c r="R215" s="13"/>
      <c r="S215" s="13">
        <v>62</v>
      </c>
      <c r="T215" s="13">
        <v>55</v>
      </c>
      <c r="U215" s="13">
        <v>69</v>
      </c>
      <c r="V215" s="13">
        <v>124</v>
      </c>
      <c r="W215" s="2">
        <f t="shared" si="18"/>
        <v>0.59047619047619049</v>
      </c>
      <c r="X215" s="13"/>
      <c r="Y215" s="13"/>
      <c r="Z215" s="13">
        <v>41</v>
      </c>
      <c r="AA215" s="13">
        <v>36</v>
      </c>
      <c r="AB215" s="13">
        <v>44</v>
      </c>
      <c r="AC215" s="13">
        <v>147</v>
      </c>
      <c r="AD215" s="13">
        <f t="shared" si="19"/>
        <v>0.7</v>
      </c>
      <c r="AE215" s="13"/>
      <c r="AF215" s="13"/>
      <c r="AG215" s="13">
        <v>12</v>
      </c>
      <c r="AH215" s="13">
        <v>7</v>
      </c>
      <c r="AI215" s="13">
        <v>18</v>
      </c>
      <c r="AJ215" s="13"/>
      <c r="AK215" s="13"/>
      <c r="AL215" s="13">
        <v>33</v>
      </c>
      <c r="AM215" s="13">
        <v>21</v>
      </c>
      <c r="AN215" s="13">
        <v>60.5</v>
      </c>
      <c r="AO215" s="13"/>
      <c r="AP215" s="13"/>
      <c r="AQ215" s="13"/>
      <c r="AR215" s="13"/>
      <c r="AS215" s="13"/>
      <c r="AT215" s="13">
        <v>144</v>
      </c>
      <c r="AU215" s="14" t="s">
        <v>2447</v>
      </c>
      <c r="AV215" s="13"/>
      <c r="AW215" s="13"/>
      <c r="AX215" s="13"/>
      <c r="AY215" s="13"/>
      <c r="AZ215" s="13"/>
      <c r="BA215" s="16"/>
      <c r="BB215" s="13"/>
      <c r="BC215" s="13"/>
      <c r="BD215" s="13"/>
      <c r="BE215" s="16"/>
      <c r="BF215" s="13"/>
      <c r="BG215" s="13"/>
      <c r="BH215" s="13"/>
      <c r="BI215" s="13"/>
      <c r="BJ215" s="16"/>
      <c r="BK215" s="13"/>
      <c r="BL215" s="13"/>
      <c r="BM215" s="13"/>
      <c r="BN215" s="16" t="s">
        <v>2231</v>
      </c>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t="s">
        <v>3489</v>
      </c>
      <c r="CX215" s="13" t="s">
        <v>3490</v>
      </c>
      <c r="CY215" s="13">
        <v>2024</v>
      </c>
      <c r="CZ215" s="13" t="s">
        <v>162</v>
      </c>
      <c r="DA215" s="13" t="s">
        <v>13</v>
      </c>
      <c r="DB215" s="13">
        <v>271</v>
      </c>
      <c r="DC215" s="13">
        <v>12</v>
      </c>
      <c r="DD215" s="13" t="s">
        <v>3491</v>
      </c>
      <c r="DE215" s="13" t="s">
        <v>3235</v>
      </c>
    </row>
    <row r="216" spans="1:109">
      <c r="A216" s="14" t="s">
        <v>1810</v>
      </c>
      <c r="C216" s="14" t="s">
        <v>1213</v>
      </c>
      <c r="D216" s="14" t="s">
        <v>2454</v>
      </c>
      <c r="E216" s="14" t="s">
        <v>673</v>
      </c>
      <c r="F216" s="14" t="s">
        <v>2198</v>
      </c>
      <c r="H216" s="14" t="s">
        <v>586</v>
      </c>
      <c r="I216" s="14" t="s">
        <v>2908</v>
      </c>
      <c r="J216" s="14" t="s">
        <v>4127</v>
      </c>
      <c r="K216" s="14" t="s">
        <v>4126</v>
      </c>
      <c r="L216" s="14" t="s">
        <v>714</v>
      </c>
      <c r="M216" s="14">
        <v>222</v>
      </c>
      <c r="S216" s="14">
        <v>64</v>
      </c>
      <c r="T216" s="14">
        <v>56.1</v>
      </c>
      <c r="U216" s="14">
        <v>71.900000000000006</v>
      </c>
      <c r="V216" s="14">
        <v>146</v>
      </c>
      <c r="W216" s="14">
        <f t="shared" si="18"/>
        <v>0.65765765765765771</v>
      </c>
      <c r="AC216" s="14">
        <v>159</v>
      </c>
      <c r="AD216" s="34">
        <f t="shared" si="19"/>
        <v>0.71621621621621623</v>
      </c>
      <c r="AG216" s="35">
        <v>18</v>
      </c>
      <c r="AH216" s="35">
        <v>6</v>
      </c>
      <c r="AI216" s="35">
        <v>30.5</v>
      </c>
      <c r="AU216" s="14" t="s">
        <v>2447</v>
      </c>
      <c r="AV216" s="14" t="s">
        <v>2380</v>
      </c>
      <c r="AW216" s="14">
        <v>217</v>
      </c>
      <c r="AX216" s="14">
        <v>0.75</v>
      </c>
      <c r="AY216" s="29"/>
      <c r="AZ216" s="29"/>
      <c r="BN216" s="14" t="s">
        <v>2231</v>
      </c>
      <c r="BO216" s="14" t="s">
        <v>2380</v>
      </c>
      <c r="BP216" s="14" t="s">
        <v>2380</v>
      </c>
      <c r="BQ216" s="14">
        <v>-0.15</v>
      </c>
      <c r="BU216" s="14">
        <v>3.3000000000000002E-2</v>
      </c>
      <c r="CW216" s="14" t="s">
        <v>1209</v>
      </c>
      <c r="CX216" s="14" t="s">
        <v>1210</v>
      </c>
      <c r="CY216" s="14">
        <v>2022</v>
      </c>
      <c r="CZ216" s="36" t="s">
        <v>32</v>
      </c>
      <c r="DA216" s="14" t="s">
        <v>13</v>
      </c>
      <c r="DB216" s="14">
        <v>269</v>
      </c>
      <c r="DC216" s="14">
        <v>10</v>
      </c>
      <c r="DD216" s="14" t="s">
        <v>1211</v>
      </c>
      <c r="DE216" s="14" t="s">
        <v>1212</v>
      </c>
    </row>
    <row r="217" spans="1:109">
      <c r="A217" s="14" t="s">
        <v>1810</v>
      </c>
      <c r="C217" s="14" t="s">
        <v>1213</v>
      </c>
      <c r="D217" s="14" t="s">
        <v>2454</v>
      </c>
      <c r="E217" s="14" t="s">
        <v>673</v>
      </c>
      <c r="F217" s="14" t="s">
        <v>2198</v>
      </c>
      <c r="H217" s="14" t="s">
        <v>586</v>
      </c>
      <c r="I217" s="14" t="s">
        <v>2908</v>
      </c>
      <c r="J217" s="14" t="s">
        <v>4127</v>
      </c>
      <c r="K217" s="14" t="s">
        <v>4126</v>
      </c>
      <c r="L217" s="14" t="s">
        <v>714</v>
      </c>
      <c r="M217" s="14">
        <v>108</v>
      </c>
      <c r="S217" s="14">
        <v>64</v>
      </c>
      <c r="T217" s="14">
        <v>56.1</v>
      </c>
      <c r="U217" s="14">
        <v>71.900000000000006</v>
      </c>
      <c r="AU217" s="14" t="s">
        <v>2447</v>
      </c>
      <c r="AV217" s="14" t="s">
        <v>2380</v>
      </c>
      <c r="AW217" s="14">
        <v>108</v>
      </c>
      <c r="BE217" s="29" t="s">
        <v>2452</v>
      </c>
      <c r="BG217" s="14">
        <v>0.9</v>
      </c>
      <c r="BH217" s="29"/>
      <c r="BI217" s="29"/>
      <c r="BN217" s="14" t="s">
        <v>2231</v>
      </c>
      <c r="CW217" s="14" t="s">
        <v>1209</v>
      </c>
      <c r="CX217" s="14" t="s">
        <v>1210</v>
      </c>
      <c r="CY217" s="14">
        <v>2022</v>
      </c>
      <c r="CZ217" s="36" t="s">
        <v>32</v>
      </c>
      <c r="DA217" s="14" t="s">
        <v>13</v>
      </c>
      <c r="DB217" s="14">
        <v>269</v>
      </c>
      <c r="DC217" s="14">
        <v>10</v>
      </c>
      <c r="DD217" s="14" t="s">
        <v>1211</v>
      </c>
      <c r="DE217" s="14" t="s">
        <v>1212</v>
      </c>
    </row>
    <row r="218" spans="1:109" ht="20">
      <c r="A218" s="14" t="s">
        <v>1811</v>
      </c>
      <c r="C218" s="14" t="s">
        <v>1220</v>
      </c>
      <c r="D218" s="14" t="s">
        <v>818</v>
      </c>
      <c r="E218" s="14" t="s">
        <v>673</v>
      </c>
      <c r="F218" s="14" t="s">
        <v>2337</v>
      </c>
      <c r="H218" s="14" t="s">
        <v>703</v>
      </c>
      <c r="I218" s="14" t="s">
        <v>2927</v>
      </c>
      <c r="J218" s="14" t="s">
        <v>4116</v>
      </c>
      <c r="L218" s="14" t="s">
        <v>2455</v>
      </c>
      <c r="M218" s="14">
        <v>836</v>
      </c>
      <c r="N218" s="14">
        <v>47</v>
      </c>
      <c r="P218" s="14">
        <v>47</v>
      </c>
      <c r="S218" s="14">
        <v>61</v>
      </c>
      <c r="V218" s="14">
        <v>527</v>
      </c>
      <c r="W218" s="14">
        <f>V218/M218</f>
        <v>0.63038277511961727</v>
      </c>
      <c r="Z218" s="14">
        <v>40</v>
      </c>
      <c r="AC218" s="14">
        <v>638</v>
      </c>
      <c r="AD218" s="34">
        <f>AC218/M218</f>
        <v>0.76315789473684215</v>
      </c>
      <c r="AG218" s="35">
        <v>12.5</v>
      </c>
      <c r="AQ218" s="35">
        <v>48</v>
      </c>
      <c r="AR218" s="35">
        <v>30</v>
      </c>
      <c r="AS218" s="35">
        <v>94</v>
      </c>
      <c r="AU218" s="14" t="s">
        <v>2447</v>
      </c>
      <c r="BE218" s="29" t="s">
        <v>2456</v>
      </c>
      <c r="BG218" s="14">
        <v>0.86</v>
      </c>
      <c r="BH218" s="29">
        <v>0.81</v>
      </c>
      <c r="BI218" s="29">
        <v>0.92</v>
      </c>
      <c r="BL218" s="29"/>
      <c r="BM218" s="29"/>
      <c r="BN218" s="14" t="s">
        <v>2231</v>
      </c>
      <c r="BQ218" s="14">
        <v>-0.06</v>
      </c>
      <c r="BU218" s="38" t="s">
        <v>761</v>
      </c>
      <c r="CC218" s="14">
        <v>0.33</v>
      </c>
      <c r="CG218" s="38">
        <v>1.5000000000000001E-12</v>
      </c>
      <c r="CW218" s="13" t="s">
        <v>1216</v>
      </c>
      <c r="CX218" s="13" t="s">
        <v>1217</v>
      </c>
      <c r="CY218" s="13">
        <v>2024</v>
      </c>
      <c r="CZ218" s="13" t="s">
        <v>253</v>
      </c>
      <c r="DA218" s="13" t="s">
        <v>13</v>
      </c>
      <c r="DB218" s="13">
        <v>271</v>
      </c>
      <c r="DC218" s="13">
        <v>2</v>
      </c>
      <c r="DD218" s="13" t="s">
        <v>1218</v>
      </c>
      <c r="DE218" s="13" t="s">
        <v>1219</v>
      </c>
    </row>
    <row r="219" spans="1:109" ht="20">
      <c r="A219" s="14" t="s">
        <v>1811</v>
      </c>
      <c r="C219" s="14" t="s">
        <v>1220</v>
      </c>
      <c r="D219" s="14" t="s">
        <v>818</v>
      </c>
      <c r="E219" s="14" t="s">
        <v>673</v>
      </c>
      <c r="F219" s="14" t="s">
        <v>2378</v>
      </c>
      <c r="H219" s="14" t="s">
        <v>703</v>
      </c>
      <c r="I219" s="14" t="s">
        <v>2927</v>
      </c>
      <c r="J219" s="14" t="s">
        <v>4116</v>
      </c>
      <c r="L219" s="14" t="s">
        <v>2455</v>
      </c>
      <c r="M219" s="14">
        <v>836</v>
      </c>
      <c r="N219" s="14">
        <v>47</v>
      </c>
      <c r="P219" s="14">
        <v>47</v>
      </c>
      <c r="S219" s="14">
        <v>61</v>
      </c>
      <c r="V219" s="14">
        <v>527</v>
      </c>
      <c r="W219" s="14">
        <f>V219/M219</f>
        <v>0.63038277511961727</v>
      </c>
      <c r="Z219" s="14">
        <v>40</v>
      </c>
      <c r="AC219" s="14">
        <v>638</v>
      </c>
      <c r="AD219" s="34">
        <f>AC219/M219</f>
        <v>0.76315789473684215</v>
      </c>
      <c r="AG219" s="35">
        <v>12.5</v>
      </c>
      <c r="AQ219" s="35">
        <v>48</v>
      </c>
      <c r="AR219" s="35">
        <v>30</v>
      </c>
      <c r="AS219" s="35">
        <v>94</v>
      </c>
      <c r="AU219" s="14" t="s">
        <v>2447</v>
      </c>
      <c r="BE219" s="29" t="s">
        <v>2456</v>
      </c>
      <c r="BG219" s="14">
        <v>0.74</v>
      </c>
      <c r="BH219" s="29">
        <v>0.57999999999999996</v>
      </c>
      <c r="BI219" s="29">
        <v>0.95</v>
      </c>
      <c r="BL219" s="29"/>
      <c r="BM219" s="29"/>
      <c r="BN219" s="14" t="s">
        <v>2231</v>
      </c>
      <c r="BQ219" s="14">
        <v>-7.0000000000000007E-2</v>
      </c>
      <c r="BU219" s="38" t="s">
        <v>761</v>
      </c>
      <c r="CC219" s="14">
        <v>0.15</v>
      </c>
      <c r="CG219" s="14" t="s">
        <v>761</v>
      </c>
      <c r="CW219" s="13" t="s">
        <v>1216</v>
      </c>
      <c r="CX219" s="13" t="s">
        <v>1217</v>
      </c>
      <c r="CY219" s="13">
        <v>2024</v>
      </c>
      <c r="CZ219" s="13" t="s">
        <v>253</v>
      </c>
      <c r="DA219" s="13" t="s">
        <v>13</v>
      </c>
      <c r="DB219" s="13">
        <v>271</v>
      </c>
      <c r="DC219" s="13">
        <v>2</v>
      </c>
      <c r="DD219" s="13" t="s">
        <v>1218</v>
      </c>
      <c r="DE219" s="13" t="s">
        <v>1219</v>
      </c>
    </row>
    <row r="220" spans="1:109" ht="20">
      <c r="A220" s="14" t="s">
        <v>1811</v>
      </c>
      <c r="C220" s="14" t="s">
        <v>1220</v>
      </c>
      <c r="D220" s="14" t="s">
        <v>818</v>
      </c>
      <c r="E220" s="14" t="s">
        <v>673</v>
      </c>
      <c r="F220" s="14" t="s">
        <v>2198</v>
      </c>
      <c r="H220" s="14" t="s">
        <v>703</v>
      </c>
      <c r="I220" s="14" t="s">
        <v>2927</v>
      </c>
      <c r="J220" s="14" t="s">
        <v>4116</v>
      </c>
      <c r="L220" s="14" t="s">
        <v>2455</v>
      </c>
      <c r="M220" s="14">
        <v>836</v>
      </c>
      <c r="N220" s="14">
        <v>47</v>
      </c>
      <c r="P220" s="14">
        <v>47</v>
      </c>
      <c r="S220" s="14">
        <v>61</v>
      </c>
      <c r="V220" s="14">
        <v>527</v>
      </c>
      <c r="W220" s="14">
        <f>V220/M220</f>
        <v>0.63038277511961727</v>
      </c>
      <c r="Z220" s="14">
        <v>40</v>
      </c>
      <c r="AC220" s="14">
        <v>638</v>
      </c>
      <c r="AD220" s="34">
        <f>AC220/M220</f>
        <v>0.76315789473684215</v>
      </c>
      <c r="AG220" s="35">
        <v>12.5</v>
      </c>
      <c r="AQ220" s="35">
        <v>48</v>
      </c>
      <c r="AR220" s="35">
        <v>30</v>
      </c>
      <c r="AS220" s="35">
        <v>94</v>
      </c>
      <c r="AU220" s="14" t="s">
        <v>2447</v>
      </c>
      <c r="BE220" s="29" t="s">
        <v>2456</v>
      </c>
      <c r="BG220" s="14">
        <v>0.74</v>
      </c>
      <c r="BH220" s="29">
        <v>0.57999999999999996</v>
      </c>
      <c r="BI220" s="29">
        <v>0.95</v>
      </c>
      <c r="BL220" s="29"/>
      <c r="BM220" s="29"/>
      <c r="BN220" s="14" t="s">
        <v>2231</v>
      </c>
      <c r="BQ220" s="14">
        <v>-0.09</v>
      </c>
      <c r="BU220" s="38" t="s">
        <v>761</v>
      </c>
      <c r="CC220" s="14">
        <v>0.18</v>
      </c>
      <c r="CG220" s="38">
        <v>7.3000000000000001E-3</v>
      </c>
      <c r="CW220" s="13" t="s">
        <v>1216</v>
      </c>
      <c r="CX220" s="13" t="s">
        <v>1217</v>
      </c>
      <c r="CY220" s="13">
        <v>2024</v>
      </c>
      <c r="CZ220" s="13" t="s">
        <v>253</v>
      </c>
      <c r="DA220" s="13" t="s">
        <v>13</v>
      </c>
      <c r="DB220" s="13">
        <v>271</v>
      </c>
      <c r="DC220" s="13">
        <v>2</v>
      </c>
      <c r="DD220" s="13" t="s">
        <v>1218</v>
      </c>
      <c r="DE220" s="13" t="s">
        <v>1219</v>
      </c>
    </row>
    <row r="221" spans="1:109" ht="20">
      <c r="A221" s="13" t="s">
        <v>3381</v>
      </c>
      <c r="B221" s="13"/>
      <c r="C221" s="13" t="s">
        <v>3310</v>
      </c>
      <c r="E221" s="13"/>
      <c r="F221" s="13"/>
      <c r="G221" s="13"/>
      <c r="I221" s="13"/>
      <c r="J221" s="13"/>
      <c r="K221" s="13"/>
      <c r="L221" s="13"/>
      <c r="M221" s="13"/>
      <c r="N221" s="13"/>
      <c r="O221" s="15"/>
      <c r="P221" s="13"/>
      <c r="Q221" s="13"/>
      <c r="R221" s="13"/>
      <c r="S221" s="13"/>
      <c r="T221" s="13"/>
      <c r="U221" s="13"/>
      <c r="V221" s="13"/>
      <c r="W221" s="2"/>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6"/>
      <c r="BB221" s="13"/>
      <c r="BC221" s="13"/>
      <c r="BD221" s="13"/>
      <c r="BE221" s="16"/>
      <c r="BF221" s="13"/>
      <c r="BG221" s="13"/>
      <c r="BH221" s="13"/>
      <c r="BI221" s="13"/>
      <c r="BJ221" s="16"/>
      <c r="BK221" s="13"/>
      <c r="BL221" s="13"/>
      <c r="BM221" s="13"/>
      <c r="BN221" s="16"/>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t="s">
        <v>3492</v>
      </c>
      <c r="CX221" s="13" t="s">
        <v>3493</v>
      </c>
      <c r="CY221" s="13">
        <v>2025</v>
      </c>
      <c r="CZ221" s="13" t="s">
        <v>253</v>
      </c>
      <c r="DA221" s="13" t="s">
        <v>471</v>
      </c>
      <c r="DB221" s="13">
        <v>249</v>
      </c>
      <c r="DC221" s="13"/>
      <c r="DD221" s="13">
        <v>108691</v>
      </c>
      <c r="DE221" s="13" t="s">
        <v>3236</v>
      </c>
    </row>
    <row r="222" spans="1:109">
      <c r="A222" s="14" t="s">
        <v>1812</v>
      </c>
      <c r="B222" s="14" t="s">
        <v>1690</v>
      </c>
      <c r="C222" s="14" t="s">
        <v>796</v>
      </c>
      <c r="D222" s="14" t="s">
        <v>820</v>
      </c>
      <c r="E222" s="14" t="s">
        <v>672</v>
      </c>
      <c r="F222" s="14" t="s">
        <v>680</v>
      </c>
      <c r="H222" s="14" t="s">
        <v>739</v>
      </c>
      <c r="I222" s="14" t="s">
        <v>3105</v>
      </c>
      <c r="J222" s="14" t="s">
        <v>585</v>
      </c>
      <c r="L222" s="14" t="s">
        <v>639</v>
      </c>
      <c r="M222" s="14">
        <v>105</v>
      </c>
      <c r="S222" s="14">
        <v>63</v>
      </c>
      <c r="T222" s="39">
        <v>56</v>
      </c>
      <c r="U222" s="14">
        <v>70</v>
      </c>
      <c r="V222" s="14">
        <v>60</v>
      </c>
      <c r="W222" s="14">
        <f>V222/M222</f>
        <v>0.5714285714285714</v>
      </c>
      <c r="Z222" s="14">
        <v>38</v>
      </c>
      <c r="AA222" s="14">
        <f>Z222-9/2</f>
        <v>33.5</v>
      </c>
      <c r="AB222" s="14">
        <f>AA222+9</f>
        <v>42.5</v>
      </c>
      <c r="AG222" s="35">
        <v>11</v>
      </c>
      <c r="AH222" s="35">
        <f>AG222-9/2</f>
        <v>6.5</v>
      </c>
      <c r="AI222" s="35">
        <f>AH222+9</f>
        <v>15.5</v>
      </c>
      <c r="AQ222" s="35">
        <v>25.6</v>
      </c>
      <c r="AU222" s="14" t="s">
        <v>2447</v>
      </c>
      <c r="BA222" s="29" t="s">
        <v>4107</v>
      </c>
      <c r="BB222" s="14">
        <v>2.73</v>
      </c>
      <c r="BC222" s="14">
        <v>1.4</v>
      </c>
      <c r="BD222" s="14">
        <v>5.45</v>
      </c>
      <c r="BE222" s="29" t="s">
        <v>2457</v>
      </c>
      <c r="BJ222" s="23" t="s">
        <v>4107</v>
      </c>
      <c r="BL222" s="29"/>
      <c r="BM222" s="29"/>
      <c r="BN222" s="14" t="s">
        <v>2231</v>
      </c>
      <c r="BQ222" s="14">
        <v>0.28000000000000003</v>
      </c>
      <c r="BU222" s="14">
        <v>8.9999999999999993E-3</v>
      </c>
      <c r="CH222" s="14">
        <v>-0.42</v>
      </c>
      <c r="CI222" s="14" t="s">
        <v>701</v>
      </c>
      <c r="CV222" s="14" t="s">
        <v>2453</v>
      </c>
      <c r="CW222" s="14" t="s">
        <v>193</v>
      </c>
      <c r="CX222" s="14" t="s">
        <v>194</v>
      </c>
      <c r="CY222" s="14">
        <v>2019</v>
      </c>
      <c r="CZ222" s="36" t="s">
        <v>162</v>
      </c>
      <c r="DA222" s="14" t="s">
        <v>195</v>
      </c>
      <c r="DB222" s="14">
        <v>90</v>
      </c>
      <c r="DC222" s="14">
        <v>12</v>
      </c>
      <c r="DD222" s="14" t="s">
        <v>196</v>
      </c>
      <c r="DE222" s="14" t="s">
        <v>197</v>
      </c>
    </row>
    <row r="223" spans="1:109">
      <c r="A223" s="14" t="s">
        <v>1812</v>
      </c>
      <c r="B223" s="14" t="s">
        <v>1690</v>
      </c>
      <c r="C223" s="14" t="s">
        <v>796</v>
      </c>
      <c r="D223" s="14" t="s">
        <v>820</v>
      </c>
      <c r="E223" s="14" t="s">
        <v>672</v>
      </c>
      <c r="F223" s="14" t="s">
        <v>679</v>
      </c>
      <c r="H223" s="14" t="s">
        <v>739</v>
      </c>
      <c r="I223" s="14" t="s">
        <v>3105</v>
      </c>
      <c r="J223" s="14" t="s">
        <v>585</v>
      </c>
      <c r="L223" s="14" t="s">
        <v>641</v>
      </c>
      <c r="M223" s="14">
        <v>105</v>
      </c>
      <c r="S223" s="14">
        <v>63</v>
      </c>
      <c r="T223" s="14">
        <v>56</v>
      </c>
      <c r="U223" s="14">
        <v>70</v>
      </c>
      <c r="V223" s="14">
        <v>60</v>
      </c>
      <c r="W223" s="14">
        <f>V223/M223</f>
        <v>0.5714285714285714</v>
      </c>
      <c r="Z223" s="14">
        <v>38</v>
      </c>
      <c r="AA223" s="14">
        <f>Z223-9/2</f>
        <v>33.5</v>
      </c>
      <c r="AB223" s="14">
        <f>AA223+9</f>
        <v>42.5</v>
      </c>
      <c r="AG223" s="35">
        <v>11</v>
      </c>
      <c r="AH223" s="35">
        <f>AG223-9/2</f>
        <v>6.5</v>
      </c>
      <c r="AI223" s="35">
        <f>AH223+9</f>
        <v>15.5</v>
      </c>
      <c r="AQ223" s="35">
        <v>25.6</v>
      </c>
      <c r="AU223" s="14" t="s">
        <v>2447</v>
      </c>
      <c r="BA223" s="29" t="s">
        <v>4107</v>
      </c>
      <c r="BB223" s="14">
        <v>5.95</v>
      </c>
      <c r="BC223" s="14">
        <v>2.67</v>
      </c>
      <c r="BD223" s="14">
        <v>13.26</v>
      </c>
      <c r="BE223" s="29" t="s">
        <v>2457</v>
      </c>
      <c r="BJ223" s="23" t="s">
        <v>4107</v>
      </c>
      <c r="BL223" s="29"/>
      <c r="BM223" s="29"/>
      <c r="BN223" s="14" t="s">
        <v>2231</v>
      </c>
      <c r="BQ223" s="14">
        <v>0.34</v>
      </c>
      <c r="BU223" s="14">
        <v>2E-3</v>
      </c>
      <c r="CH223" s="14">
        <v>-0.49</v>
      </c>
      <c r="CI223" s="14" t="s">
        <v>701</v>
      </c>
      <c r="CV223" s="14" t="s">
        <v>2453</v>
      </c>
      <c r="CW223" s="14" t="s">
        <v>193</v>
      </c>
      <c r="CX223" s="14" t="s">
        <v>194</v>
      </c>
      <c r="CY223" s="14">
        <v>2019</v>
      </c>
      <c r="CZ223" s="36" t="s">
        <v>162</v>
      </c>
      <c r="DA223" s="14" t="s">
        <v>195</v>
      </c>
      <c r="DB223" s="14">
        <v>90</v>
      </c>
      <c r="DC223" s="14">
        <v>12</v>
      </c>
      <c r="DD223" s="14" t="s">
        <v>196</v>
      </c>
      <c r="DE223" s="14" t="s">
        <v>197</v>
      </c>
    </row>
    <row r="224" spans="1:109">
      <c r="A224" s="14" t="s">
        <v>1812</v>
      </c>
      <c r="B224" s="14" t="s">
        <v>1690</v>
      </c>
      <c r="C224" s="14" t="s">
        <v>796</v>
      </c>
      <c r="D224" s="14" t="s">
        <v>820</v>
      </c>
      <c r="E224" s="14" t="s">
        <v>672</v>
      </c>
      <c r="F224" s="14" t="s">
        <v>767</v>
      </c>
      <c r="H224" s="14" t="s">
        <v>739</v>
      </c>
      <c r="I224" s="14" t="s">
        <v>3105</v>
      </c>
      <c r="J224" s="14" t="s">
        <v>768</v>
      </c>
      <c r="L224" s="14" t="s">
        <v>639</v>
      </c>
      <c r="M224" s="14">
        <v>105</v>
      </c>
      <c r="S224" s="14">
        <v>63</v>
      </c>
      <c r="T224" s="14">
        <v>56</v>
      </c>
      <c r="U224" s="14">
        <v>70</v>
      </c>
      <c r="V224" s="14">
        <v>60</v>
      </c>
      <c r="W224" s="14">
        <f>V224/M224</f>
        <v>0.5714285714285714</v>
      </c>
      <c r="Z224" s="14">
        <v>38</v>
      </c>
      <c r="AA224" s="14">
        <f>Z224-9/2</f>
        <v>33.5</v>
      </c>
      <c r="AB224" s="14">
        <f>AA224+9</f>
        <v>42.5</v>
      </c>
      <c r="AG224" s="35">
        <v>11</v>
      </c>
      <c r="AH224" s="35">
        <f>AG224-9/2</f>
        <v>6.5</v>
      </c>
      <c r="AI224" s="35">
        <f>AH224+9</f>
        <v>15.5</v>
      </c>
      <c r="AQ224" s="35">
        <v>25.6</v>
      </c>
      <c r="AU224" s="14" t="s">
        <v>2447</v>
      </c>
      <c r="BA224" s="29" t="s">
        <v>4107</v>
      </c>
      <c r="BB224" s="14">
        <v>2.8</v>
      </c>
      <c r="BC224" s="14">
        <v>1.35</v>
      </c>
      <c r="BD224" s="14">
        <v>5.8</v>
      </c>
      <c r="BE224" s="29" t="s">
        <v>2457</v>
      </c>
      <c r="BJ224" s="23" t="s">
        <v>4107</v>
      </c>
      <c r="BL224" s="29"/>
      <c r="BM224" s="29"/>
      <c r="BN224" s="14" t="s">
        <v>2231</v>
      </c>
      <c r="BQ224" s="14">
        <v>0.13</v>
      </c>
      <c r="BU224" s="14">
        <v>0.23</v>
      </c>
      <c r="CH224" s="14">
        <v>-0.34</v>
      </c>
      <c r="CI224" s="14">
        <v>1.6000000000000001E-3</v>
      </c>
      <c r="CV224" s="14" t="s">
        <v>2453</v>
      </c>
      <c r="CW224" s="14" t="s">
        <v>193</v>
      </c>
      <c r="CX224" s="14" t="s">
        <v>194</v>
      </c>
      <c r="CY224" s="14">
        <v>2019</v>
      </c>
      <c r="CZ224" s="36" t="s">
        <v>162</v>
      </c>
      <c r="DA224" s="14" t="s">
        <v>195</v>
      </c>
      <c r="DB224" s="14">
        <v>90</v>
      </c>
      <c r="DC224" s="14">
        <v>12</v>
      </c>
      <c r="DD224" s="14" t="s">
        <v>196</v>
      </c>
      <c r="DE224" s="14" t="s">
        <v>197</v>
      </c>
    </row>
    <row r="225" spans="1:109">
      <c r="A225" s="14" t="s">
        <v>1812</v>
      </c>
      <c r="B225" s="14" t="s">
        <v>1690</v>
      </c>
      <c r="C225" s="14" t="s">
        <v>796</v>
      </c>
      <c r="D225" s="14" t="s">
        <v>820</v>
      </c>
      <c r="E225" s="14" t="s">
        <v>672</v>
      </c>
      <c r="F225" s="14" t="s">
        <v>680</v>
      </c>
      <c r="H225" s="14" t="s">
        <v>739</v>
      </c>
      <c r="I225" s="14" t="s">
        <v>3105</v>
      </c>
      <c r="J225" s="14" t="s">
        <v>585</v>
      </c>
      <c r="L225" s="14" t="s">
        <v>639</v>
      </c>
      <c r="M225" s="14">
        <v>54</v>
      </c>
      <c r="T225" s="39" t="s">
        <v>2547</v>
      </c>
      <c r="AU225" s="14" t="s">
        <v>2447</v>
      </c>
      <c r="BA225" s="29" t="s">
        <v>4107</v>
      </c>
      <c r="BE225" s="29" t="s">
        <v>2457</v>
      </c>
      <c r="BJ225" s="23" t="s">
        <v>4107</v>
      </c>
      <c r="BK225" s="14">
        <v>0.97</v>
      </c>
      <c r="BL225" s="14">
        <v>0.3</v>
      </c>
      <c r="BM225" s="14">
        <v>3.13</v>
      </c>
      <c r="BN225" s="14" t="s">
        <v>2231</v>
      </c>
      <c r="CV225" s="14" t="s">
        <v>2453</v>
      </c>
      <c r="CW225" s="14" t="s">
        <v>193</v>
      </c>
      <c r="CX225" s="14" t="s">
        <v>194</v>
      </c>
      <c r="CY225" s="14">
        <v>2019</v>
      </c>
      <c r="CZ225" s="36" t="s">
        <v>162</v>
      </c>
      <c r="DA225" s="14" t="s">
        <v>195</v>
      </c>
      <c r="DB225" s="14">
        <v>90</v>
      </c>
      <c r="DC225" s="14">
        <v>12</v>
      </c>
      <c r="DD225" s="14" t="s">
        <v>196</v>
      </c>
      <c r="DE225" s="14" t="s">
        <v>197</v>
      </c>
    </row>
    <row r="226" spans="1:109">
      <c r="A226" s="14" t="s">
        <v>1812</v>
      </c>
      <c r="B226" s="14" t="s">
        <v>1690</v>
      </c>
      <c r="C226" s="14" t="s">
        <v>796</v>
      </c>
      <c r="D226" s="14" t="s">
        <v>820</v>
      </c>
      <c r="E226" s="14" t="s">
        <v>672</v>
      </c>
      <c r="F226" s="14" t="s">
        <v>679</v>
      </c>
      <c r="H226" s="14" t="s">
        <v>739</v>
      </c>
      <c r="I226" s="14" t="s">
        <v>3105</v>
      </c>
      <c r="J226" s="14" t="s">
        <v>585</v>
      </c>
      <c r="L226" s="14" t="s">
        <v>641</v>
      </c>
      <c r="M226" s="14">
        <v>54</v>
      </c>
      <c r="AU226" s="14" t="s">
        <v>2447</v>
      </c>
      <c r="BA226" s="29" t="s">
        <v>4107</v>
      </c>
      <c r="BE226" s="29" t="s">
        <v>2457</v>
      </c>
      <c r="BJ226" s="23" t="s">
        <v>4107</v>
      </c>
      <c r="BK226" s="14">
        <v>29.68</v>
      </c>
      <c r="BL226" s="14">
        <v>4.6500000000000004</v>
      </c>
      <c r="BM226" s="14">
        <v>189.69</v>
      </c>
      <c r="BN226" s="14" t="s">
        <v>2231</v>
      </c>
      <c r="CV226" s="14" t="s">
        <v>2453</v>
      </c>
      <c r="CW226" s="14" t="s">
        <v>193</v>
      </c>
      <c r="CX226" s="14" t="s">
        <v>194</v>
      </c>
      <c r="CY226" s="14">
        <v>2019</v>
      </c>
      <c r="CZ226" s="36" t="s">
        <v>162</v>
      </c>
      <c r="DA226" s="14" t="s">
        <v>195</v>
      </c>
      <c r="DB226" s="14">
        <v>90</v>
      </c>
      <c r="DC226" s="14">
        <v>12</v>
      </c>
      <c r="DD226" s="14" t="s">
        <v>196</v>
      </c>
      <c r="DE226" s="14" t="s">
        <v>197</v>
      </c>
    </row>
    <row r="227" spans="1:109">
      <c r="A227" s="14" t="s">
        <v>1812</v>
      </c>
      <c r="B227" s="14" t="s">
        <v>1690</v>
      </c>
      <c r="C227" s="14" t="s">
        <v>796</v>
      </c>
      <c r="D227" s="14" t="s">
        <v>820</v>
      </c>
      <c r="E227" s="14" t="s">
        <v>672</v>
      </c>
      <c r="F227" s="14" t="s">
        <v>767</v>
      </c>
      <c r="H227" s="14" t="s">
        <v>739</v>
      </c>
      <c r="I227" s="14" t="s">
        <v>3105</v>
      </c>
      <c r="J227" s="14" t="s">
        <v>768</v>
      </c>
      <c r="L227" s="14" t="s">
        <v>639</v>
      </c>
      <c r="M227" s="14">
        <v>54</v>
      </c>
      <c r="AU227" s="14" t="s">
        <v>2447</v>
      </c>
      <c r="BA227" s="29" t="s">
        <v>4107</v>
      </c>
      <c r="BE227" s="29" t="s">
        <v>2457</v>
      </c>
      <c r="BJ227" s="23" t="s">
        <v>4107</v>
      </c>
      <c r="BK227" s="14">
        <v>6.14</v>
      </c>
      <c r="BL227" s="14">
        <v>2.04</v>
      </c>
      <c r="BM227" s="14">
        <v>18.48</v>
      </c>
      <c r="BN227" s="14" t="s">
        <v>2231</v>
      </c>
      <c r="CV227" s="14" t="s">
        <v>2453</v>
      </c>
      <c r="CW227" s="14" t="s">
        <v>193</v>
      </c>
      <c r="CX227" s="14" t="s">
        <v>194</v>
      </c>
      <c r="CY227" s="14">
        <v>2019</v>
      </c>
      <c r="CZ227" s="36" t="s">
        <v>162</v>
      </c>
      <c r="DA227" s="14" t="s">
        <v>195</v>
      </c>
      <c r="DB227" s="14">
        <v>90</v>
      </c>
      <c r="DC227" s="14">
        <v>12</v>
      </c>
      <c r="DD227" s="14" t="s">
        <v>196</v>
      </c>
      <c r="DE227" s="14" t="s">
        <v>197</v>
      </c>
    </row>
    <row r="228" spans="1:109">
      <c r="A228" s="14" t="s">
        <v>1813</v>
      </c>
      <c r="B228" s="14" t="s">
        <v>1691</v>
      </c>
      <c r="C228" s="14" t="s">
        <v>797</v>
      </c>
      <c r="D228" s="14" t="s">
        <v>820</v>
      </c>
      <c r="E228" s="14" t="s">
        <v>673</v>
      </c>
      <c r="F228" s="14" t="s">
        <v>675</v>
      </c>
      <c r="H228" s="14" t="s">
        <v>739</v>
      </c>
      <c r="I228" s="14" t="s">
        <v>3105</v>
      </c>
      <c r="J228" s="14" t="s">
        <v>1963</v>
      </c>
      <c r="K228" s="14" t="s">
        <v>770</v>
      </c>
      <c r="L228" s="14" t="s">
        <v>639</v>
      </c>
      <c r="M228" s="14">
        <v>149</v>
      </c>
      <c r="P228" s="14">
        <v>15</v>
      </c>
      <c r="S228" s="14">
        <v>62</v>
      </c>
      <c r="T228" s="14">
        <v>54</v>
      </c>
      <c r="U228" s="14">
        <v>70</v>
      </c>
      <c r="V228" s="14">
        <v>94</v>
      </c>
      <c r="W228" s="14">
        <f>V228/M228</f>
        <v>0.63087248322147649</v>
      </c>
      <c r="Z228" s="14">
        <v>37</v>
      </c>
      <c r="AA228" s="14">
        <f>Z228-12/2</f>
        <v>31</v>
      </c>
      <c r="AB228" s="14">
        <f>AA228+12</f>
        <v>43</v>
      </c>
      <c r="AC228" s="14">
        <v>105</v>
      </c>
      <c r="AD228" s="34">
        <f t="shared" ref="AD228:AD235" si="20">AC228/M228</f>
        <v>0.70469798657718119</v>
      </c>
      <c r="AG228" s="35">
        <v>13.7</v>
      </c>
      <c r="AH228" s="35">
        <f>AG228-12.5/2</f>
        <v>7.4499999999999993</v>
      </c>
      <c r="AI228" s="35">
        <f>AH228+12.5</f>
        <v>19.95</v>
      </c>
      <c r="AU228" s="14" t="s">
        <v>2447</v>
      </c>
      <c r="AV228" s="14" t="s">
        <v>2380</v>
      </c>
      <c r="BA228" s="29" t="s">
        <v>4107</v>
      </c>
      <c r="BB228" s="14">
        <v>10.49</v>
      </c>
      <c r="BC228" s="14">
        <v>3.57</v>
      </c>
      <c r="BD228" s="14">
        <v>30.88</v>
      </c>
      <c r="BE228" s="29" t="s">
        <v>2458</v>
      </c>
      <c r="BJ228" s="23" t="s">
        <v>4107</v>
      </c>
      <c r="BK228" s="14">
        <v>5.34</v>
      </c>
      <c r="BL228" s="14">
        <v>1.39</v>
      </c>
      <c r="BM228" s="14">
        <v>20.56</v>
      </c>
      <c r="BN228" s="14" t="s">
        <v>2231</v>
      </c>
      <c r="BQ228" s="14">
        <v>0.51</v>
      </c>
      <c r="BU228" s="14" t="s">
        <v>701</v>
      </c>
      <c r="CV228" s="14" t="s">
        <v>2459</v>
      </c>
      <c r="CW228" s="14" t="s">
        <v>198</v>
      </c>
      <c r="CX228" s="14" t="s">
        <v>199</v>
      </c>
      <c r="CY228" s="14">
        <v>2019</v>
      </c>
      <c r="CZ228" s="36" t="s">
        <v>188</v>
      </c>
      <c r="DA228" s="14" t="s">
        <v>200</v>
      </c>
      <c r="DB228" s="14">
        <v>45</v>
      </c>
      <c r="DC228" s="14">
        <v>3</v>
      </c>
      <c r="DD228" s="14" t="s">
        <v>201</v>
      </c>
      <c r="DE228" s="14" t="s">
        <v>202</v>
      </c>
    </row>
    <row r="229" spans="1:109" ht="20">
      <c r="A229" s="13" t="s">
        <v>1692</v>
      </c>
      <c r="B229" s="13" t="s">
        <v>1692</v>
      </c>
      <c r="C229" s="14" t="s">
        <v>207</v>
      </c>
      <c r="D229" s="14" t="s">
        <v>829</v>
      </c>
      <c r="E229" s="14" t="s">
        <v>674</v>
      </c>
      <c r="F229" s="14" t="s">
        <v>777</v>
      </c>
      <c r="H229" s="13" t="s">
        <v>716</v>
      </c>
      <c r="I229" s="14" t="s">
        <v>3180</v>
      </c>
      <c r="J229" s="13" t="s">
        <v>778</v>
      </c>
      <c r="M229" s="14">
        <v>35</v>
      </c>
      <c r="N229" s="13">
        <v>0</v>
      </c>
      <c r="O229" s="15">
        <v>0</v>
      </c>
      <c r="P229" s="13">
        <v>0</v>
      </c>
      <c r="Q229" s="13">
        <v>58.25</v>
      </c>
      <c r="R229" s="13">
        <v>10.81</v>
      </c>
      <c r="S229" s="13"/>
      <c r="T229" s="13"/>
      <c r="U229" s="13"/>
      <c r="AC229" s="14">
        <v>26</v>
      </c>
      <c r="AD229" s="34">
        <f t="shared" si="20"/>
        <v>0.74285714285714288</v>
      </c>
      <c r="AE229" s="35">
        <v>20.5</v>
      </c>
      <c r="AF229" s="35">
        <v>17.5</v>
      </c>
      <c r="CW229" s="13" t="s">
        <v>203</v>
      </c>
      <c r="CX229" s="13" t="s">
        <v>204</v>
      </c>
      <c r="CY229" s="13">
        <v>2023</v>
      </c>
      <c r="CZ229" s="13" t="s">
        <v>162</v>
      </c>
      <c r="DA229" s="13" t="s">
        <v>120</v>
      </c>
      <c r="DB229" s="13">
        <v>60</v>
      </c>
      <c r="DC229" s="13">
        <v>12</v>
      </c>
      <c r="DD229" s="13" t="s">
        <v>205</v>
      </c>
      <c r="DE229" s="13" t="s">
        <v>206</v>
      </c>
    </row>
    <row r="230" spans="1:109">
      <c r="A230" s="14" t="s">
        <v>1814</v>
      </c>
      <c r="B230" s="29" t="s">
        <v>4154</v>
      </c>
      <c r="C230" s="14" t="s">
        <v>4155</v>
      </c>
      <c r="D230" s="14" t="s">
        <v>827</v>
      </c>
      <c r="E230" s="14" t="s">
        <v>672</v>
      </c>
      <c r="F230" s="14" t="s">
        <v>677</v>
      </c>
      <c r="H230" s="14" t="s">
        <v>712</v>
      </c>
      <c r="I230" s="14" t="s">
        <v>3113</v>
      </c>
      <c r="J230" s="14" t="s">
        <v>585</v>
      </c>
      <c r="L230" s="14" t="s">
        <v>639</v>
      </c>
      <c r="M230" s="14">
        <v>90</v>
      </c>
      <c r="Q230" s="14">
        <v>60.16</v>
      </c>
      <c r="R230" s="14">
        <v>12.51</v>
      </c>
      <c r="V230" s="14">
        <v>54</v>
      </c>
      <c r="W230" s="14">
        <f t="shared" ref="W230:W247" si="21">V230/M230</f>
        <v>0.6</v>
      </c>
      <c r="X230" s="14">
        <v>35.94</v>
      </c>
      <c r="Y230" s="14">
        <v>6.98</v>
      </c>
      <c r="AC230" s="14">
        <v>53</v>
      </c>
      <c r="AD230" s="34">
        <f t="shared" si="20"/>
        <v>0.58888888888888891</v>
      </c>
      <c r="AE230" s="35">
        <v>13.26</v>
      </c>
      <c r="AF230" s="35">
        <v>0.81</v>
      </c>
      <c r="BN230" s="27" t="s">
        <v>2552</v>
      </c>
      <c r="BQ230" s="14" t="s">
        <v>2268</v>
      </c>
      <c r="BU230" s="14" t="s">
        <v>761</v>
      </c>
      <c r="CW230" s="14" t="s">
        <v>1221</v>
      </c>
      <c r="CX230" s="14" t="s">
        <v>1222</v>
      </c>
      <c r="CY230" s="14">
        <v>2022</v>
      </c>
      <c r="DA230" s="14" t="s">
        <v>416</v>
      </c>
      <c r="DB230" s="14">
        <v>13</v>
      </c>
      <c r="DD230" s="14" t="s">
        <v>2188</v>
      </c>
      <c r="DE230" s="14" t="s">
        <v>1223</v>
      </c>
    </row>
    <row r="231" spans="1:109">
      <c r="A231" s="14" t="s">
        <v>1815</v>
      </c>
      <c r="B231" s="14" t="s">
        <v>1693</v>
      </c>
      <c r="C231" s="14" t="s">
        <v>212</v>
      </c>
      <c r="D231" s="14" t="s">
        <v>831</v>
      </c>
      <c r="E231" s="14" t="s">
        <v>673</v>
      </c>
      <c r="F231" s="14" t="s">
        <v>783</v>
      </c>
      <c r="H231" s="14" t="s">
        <v>647</v>
      </c>
      <c r="I231" s="14" t="s">
        <v>3114</v>
      </c>
      <c r="J231" s="14" t="s">
        <v>1964</v>
      </c>
      <c r="K231" s="14" t="s">
        <v>784</v>
      </c>
      <c r="L231" s="14" t="s">
        <v>785</v>
      </c>
      <c r="M231" s="14">
        <v>26</v>
      </c>
      <c r="Q231" s="14">
        <v>58.24</v>
      </c>
      <c r="R231" s="14">
        <v>14.85</v>
      </c>
      <c r="V231" s="14">
        <v>15</v>
      </c>
      <c r="W231" s="14">
        <f t="shared" si="21"/>
        <v>0.57692307692307687</v>
      </c>
      <c r="AC231" s="14">
        <v>22</v>
      </c>
      <c r="AD231" s="34">
        <f t="shared" si="20"/>
        <v>0.84615384615384615</v>
      </c>
      <c r="CW231" s="14" t="s">
        <v>208</v>
      </c>
      <c r="CX231" s="14" t="s">
        <v>209</v>
      </c>
      <c r="CY231" s="14">
        <v>2023</v>
      </c>
      <c r="CZ231" s="36">
        <v>45431</v>
      </c>
      <c r="DA231" s="14" t="s">
        <v>210</v>
      </c>
      <c r="DB231" s="14">
        <v>12</v>
      </c>
      <c r="DC231" s="14">
        <v>10</v>
      </c>
      <c r="DE231" s="14" t="s">
        <v>211</v>
      </c>
    </row>
    <row r="232" spans="1:109">
      <c r="A232" s="14" t="s">
        <v>2035</v>
      </c>
      <c r="C232" s="14" t="s">
        <v>2062</v>
      </c>
      <c r="D232" s="14" t="s">
        <v>2454</v>
      </c>
      <c r="E232" s="14" t="s">
        <v>672</v>
      </c>
      <c r="F232" s="14" t="s">
        <v>680</v>
      </c>
      <c r="H232" s="14" t="s">
        <v>2462</v>
      </c>
      <c r="I232" s="14" t="s">
        <v>4181</v>
      </c>
      <c r="J232" s="14" t="s">
        <v>585</v>
      </c>
      <c r="L232" s="14" t="s">
        <v>641</v>
      </c>
      <c r="M232" s="14">
        <v>12</v>
      </c>
      <c r="N232" s="14">
        <v>5</v>
      </c>
      <c r="P232" s="14">
        <v>5</v>
      </c>
      <c r="Q232" s="14">
        <v>57.5</v>
      </c>
      <c r="R232" s="14">
        <v>7.2</v>
      </c>
      <c r="V232" s="14">
        <v>6</v>
      </c>
      <c r="W232" s="14">
        <f t="shared" si="21"/>
        <v>0.5</v>
      </c>
      <c r="Z232" s="14">
        <v>39</v>
      </c>
      <c r="AA232" s="14">
        <v>35.5</v>
      </c>
      <c r="AB232" s="14">
        <v>44.5</v>
      </c>
      <c r="AC232" s="14">
        <v>9</v>
      </c>
      <c r="AD232" s="34">
        <f t="shared" si="20"/>
        <v>0.75</v>
      </c>
      <c r="AG232" s="35">
        <v>13</v>
      </c>
      <c r="AH232" s="35">
        <v>7.8</v>
      </c>
      <c r="AI232" s="35">
        <v>22.2</v>
      </c>
      <c r="CW232" s="14" t="s">
        <v>2059</v>
      </c>
      <c r="CX232" s="14" t="s">
        <v>1224</v>
      </c>
      <c r="CY232" s="14">
        <v>2020</v>
      </c>
      <c r="CZ232" s="36" t="s">
        <v>119</v>
      </c>
      <c r="DA232" s="14" t="s">
        <v>26</v>
      </c>
      <c r="DB232" s="14">
        <v>7</v>
      </c>
      <c r="DC232" s="14">
        <v>8</v>
      </c>
      <c r="DD232" s="14" t="s">
        <v>2060</v>
      </c>
      <c r="DE232" s="14" t="s">
        <v>2061</v>
      </c>
    </row>
    <row r="233" spans="1:109">
      <c r="A233" s="14" t="s">
        <v>2035</v>
      </c>
      <c r="C233" s="14" t="s">
        <v>2062</v>
      </c>
      <c r="D233" s="14" t="s">
        <v>2454</v>
      </c>
      <c r="E233" s="14" t="s">
        <v>672</v>
      </c>
      <c r="F233" s="14" t="s">
        <v>679</v>
      </c>
      <c r="H233" s="14" t="s">
        <v>2462</v>
      </c>
      <c r="I233" s="14" t="s">
        <v>4182</v>
      </c>
      <c r="J233" s="14" t="s">
        <v>585</v>
      </c>
      <c r="L233" s="14" t="s">
        <v>641</v>
      </c>
      <c r="M233" s="14">
        <v>12</v>
      </c>
      <c r="N233" s="14">
        <v>5</v>
      </c>
      <c r="P233" s="14">
        <v>5</v>
      </c>
      <c r="Q233" s="14">
        <v>57.5</v>
      </c>
      <c r="R233" s="14">
        <v>7.2</v>
      </c>
      <c r="V233" s="14">
        <v>6</v>
      </c>
      <c r="W233" s="14">
        <f t="shared" si="21"/>
        <v>0.5</v>
      </c>
      <c r="Z233" s="14">
        <v>39</v>
      </c>
      <c r="AA233" s="14">
        <v>35.5</v>
      </c>
      <c r="AB233" s="14">
        <v>44.5</v>
      </c>
      <c r="AC233" s="14">
        <v>9</v>
      </c>
      <c r="AD233" s="34">
        <f t="shared" si="20"/>
        <v>0.75</v>
      </c>
      <c r="AG233" s="35">
        <v>13</v>
      </c>
      <c r="AH233" s="35">
        <v>7.8</v>
      </c>
      <c r="AI233" s="35">
        <v>22.2</v>
      </c>
      <c r="CW233" s="14" t="s">
        <v>2059</v>
      </c>
      <c r="CX233" s="14" t="s">
        <v>1224</v>
      </c>
      <c r="CY233" s="14">
        <v>2020</v>
      </c>
      <c r="CZ233" s="36" t="s">
        <v>119</v>
      </c>
      <c r="DA233" s="14" t="s">
        <v>26</v>
      </c>
      <c r="DB233" s="14">
        <v>7</v>
      </c>
      <c r="DC233" s="14">
        <v>8</v>
      </c>
      <c r="DD233" s="14" t="s">
        <v>2060</v>
      </c>
      <c r="DE233" s="14" t="s">
        <v>2061</v>
      </c>
    </row>
    <row r="234" spans="1:109">
      <c r="A234" s="14" t="s">
        <v>2035</v>
      </c>
      <c r="C234" s="14" t="s">
        <v>2062</v>
      </c>
      <c r="D234" s="14" t="s">
        <v>2454</v>
      </c>
      <c r="E234" s="14" t="s">
        <v>672</v>
      </c>
      <c r="F234" s="14" t="s">
        <v>1004</v>
      </c>
      <c r="H234" s="14" t="s">
        <v>2462</v>
      </c>
      <c r="I234" s="14" t="s">
        <v>4182</v>
      </c>
      <c r="J234" s="14" t="s">
        <v>585</v>
      </c>
      <c r="L234" s="14" t="s">
        <v>641</v>
      </c>
      <c r="M234" s="14">
        <v>12</v>
      </c>
      <c r="N234" s="14">
        <v>5</v>
      </c>
      <c r="P234" s="14">
        <v>5</v>
      </c>
      <c r="Q234" s="14">
        <v>57.5</v>
      </c>
      <c r="R234" s="14">
        <v>7.2</v>
      </c>
      <c r="V234" s="14">
        <v>6</v>
      </c>
      <c r="W234" s="14">
        <f t="shared" si="21"/>
        <v>0.5</v>
      </c>
      <c r="Z234" s="14">
        <v>39</v>
      </c>
      <c r="AA234" s="14">
        <v>35.5</v>
      </c>
      <c r="AB234" s="14">
        <v>44.5</v>
      </c>
      <c r="AC234" s="14">
        <v>9</v>
      </c>
      <c r="AD234" s="34">
        <f t="shared" si="20"/>
        <v>0.75</v>
      </c>
      <c r="AG234" s="35">
        <v>13</v>
      </c>
      <c r="AH234" s="35">
        <v>7.8</v>
      </c>
      <c r="AI234" s="35">
        <v>22.2</v>
      </c>
      <c r="CW234" s="14" t="s">
        <v>2059</v>
      </c>
      <c r="CX234" s="14" t="s">
        <v>1224</v>
      </c>
      <c r="CY234" s="14">
        <v>2020</v>
      </c>
      <c r="CZ234" s="36" t="s">
        <v>119</v>
      </c>
      <c r="DA234" s="14" t="s">
        <v>26</v>
      </c>
      <c r="DB234" s="14">
        <v>7</v>
      </c>
      <c r="DC234" s="14">
        <v>8</v>
      </c>
      <c r="DD234" s="14" t="s">
        <v>2060</v>
      </c>
      <c r="DE234" s="14" t="s">
        <v>2061</v>
      </c>
    </row>
    <row r="235" spans="1:109">
      <c r="A235" s="14" t="s">
        <v>1817</v>
      </c>
      <c r="B235" s="14" t="s">
        <v>1694</v>
      </c>
      <c r="C235" s="14" t="s">
        <v>222</v>
      </c>
      <c r="D235" s="14" t="s">
        <v>818</v>
      </c>
      <c r="E235" s="14" t="s">
        <v>725</v>
      </c>
      <c r="F235" s="14" t="s">
        <v>684</v>
      </c>
      <c r="G235" s="14" t="s">
        <v>787</v>
      </c>
      <c r="H235" s="14" t="s">
        <v>629</v>
      </c>
      <c r="I235" s="14" t="s">
        <v>3087</v>
      </c>
      <c r="J235" s="14" t="s">
        <v>576</v>
      </c>
      <c r="M235" s="14">
        <v>96</v>
      </c>
      <c r="P235" s="14">
        <v>10</v>
      </c>
      <c r="Q235" s="14">
        <v>60.3</v>
      </c>
      <c r="R235" s="14">
        <v>14</v>
      </c>
      <c r="V235" s="14">
        <v>58</v>
      </c>
      <c r="W235" s="14">
        <f t="shared" si="21"/>
        <v>0.60416666666666663</v>
      </c>
      <c r="AC235" s="14">
        <v>74</v>
      </c>
      <c r="AD235" s="34">
        <f t="shared" si="20"/>
        <v>0.77083333333333337</v>
      </c>
      <c r="AE235" s="35">
        <v>69.400000000000006</v>
      </c>
      <c r="AF235" s="35">
        <v>51.4</v>
      </c>
      <c r="CW235" s="14" t="s">
        <v>217</v>
      </c>
      <c r="CX235" s="14" t="s">
        <v>1225</v>
      </c>
      <c r="CY235" s="14">
        <v>2023</v>
      </c>
      <c r="CZ235" s="36" t="s">
        <v>162</v>
      </c>
      <c r="DA235" s="14" t="s">
        <v>200</v>
      </c>
      <c r="DB235" s="14">
        <v>49</v>
      </c>
      <c r="DC235" s="14">
        <v>6</v>
      </c>
      <c r="DD235" s="14" t="s">
        <v>220</v>
      </c>
      <c r="DE235" s="14" t="s">
        <v>221</v>
      </c>
    </row>
    <row r="236" spans="1:109">
      <c r="A236" s="14" t="s">
        <v>1818</v>
      </c>
      <c r="C236" s="14" t="s">
        <v>2469</v>
      </c>
      <c r="D236" s="14" t="s">
        <v>898</v>
      </c>
      <c r="E236" s="14" t="s">
        <v>673</v>
      </c>
      <c r="F236" s="14" t="s">
        <v>2337</v>
      </c>
      <c r="H236" s="14" t="s">
        <v>712</v>
      </c>
      <c r="I236" s="14" t="s">
        <v>3068</v>
      </c>
      <c r="J236" s="14" t="s">
        <v>4116</v>
      </c>
      <c r="K236" s="14" t="s">
        <v>4117</v>
      </c>
      <c r="L236" s="14" t="s">
        <v>2376</v>
      </c>
      <c r="M236" s="14">
        <v>128</v>
      </c>
      <c r="N236" s="14">
        <v>16</v>
      </c>
      <c r="Q236" s="14">
        <v>55.5</v>
      </c>
      <c r="R236" s="14">
        <v>12</v>
      </c>
      <c r="V236" s="14">
        <v>0</v>
      </c>
      <c r="W236" s="14">
        <f t="shared" si="21"/>
        <v>0</v>
      </c>
      <c r="AU236" s="14" t="s">
        <v>2449</v>
      </c>
      <c r="BA236" s="29" t="s">
        <v>4113</v>
      </c>
      <c r="BE236" s="29" t="s">
        <v>2467</v>
      </c>
      <c r="BJ236" s="29" t="s">
        <v>4113</v>
      </c>
      <c r="BK236" s="14">
        <v>1.677</v>
      </c>
      <c r="BL236" s="14">
        <v>1.042</v>
      </c>
      <c r="BM236" s="14">
        <v>2.6989999999999998</v>
      </c>
      <c r="BN236" s="14" t="s">
        <v>2231</v>
      </c>
      <c r="BQ236" s="14">
        <v>-0.1903</v>
      </c>
      <c r="BU236" s="14">
        <v>3.5799999999999998E-2</v>
      </c>
      <c r="CC236" s="14">
        <v>0.37190000000000001</v>
      </c>
      <c r="CG236" s="14" t="s">
        <v>701</v>
      </c>
      <c r="CW236" s="14" t="s">
        <v>1226</v>
      </c>
      <c r="CX236" s="14" t="s">
        <v>1227</v>
      </c>
      <c r="CY236" s="14">
        <v>2021</v>
      </c>
      <c r="CZ236" s="36" t="s">
        <v>253</v>
      </c>
      <c r="DA236" s="14" t="s">
        <v>26</v>
      </c>
      <c r="DB236" s="14">
        <v>8</v>
      </c>
      <c r="DC236" s="14">
        <v>2</v>
      </c>
      <c r="DD236" s="14" t="s">
        <v>1228</v>
      </c>
      <c r="DE236" s="14" t="s">
        <v>1229</v>
      </c>
    </row>
    <row r="237" spans="1:109">
      <c r="A237" s="14" t="s">
        <v>1818</v>
      </c>
      <c r="C237" s="14" t="s">
        <v>2469</v>
      </c>
      <c r="D237" s="14" t="s">
        <v>898</v>
      </c>
      <c r="E237" s="14" t="s">
        <v>673</v>
      </c>
      <c r="F237" s="14" t="s">
        <v>2198</v>
      </c>
      <c r="H237" s="14" t="s">
        <v>712</v>
      </c>
      <c r="I237" s="14" t="s">
        <v>3068</v>
      </c>
      <c r="J237" s="14" t="s">
        <v>4116</v>
      </c>
      <c r="K237" s="14" t="s">
        <v>4117</v>
      </c>
      <c r="L237" s="14" t="s">
        <v>2376</v>
      </c>
      <c r="M237" s="14">
        <v>128</v>
      </c>
      <c r="N237" s="14">
        <v>16</v>
      </c>
      <c r="Q237" s="14">
        <v>55.5</v>
      </c>
      <c r="R237" s="14">
        <v>12</v>
      </c>
      <c r="V237" s="14">
        <v>0</v>
      </c>
      <c r="W237" s="14">
        <f t="shared" si="21"/>
        <v>0</v>
      </c>
      <c r="AU237" s="14" t="s">
        <v>2449</v>
      </c>
      <c r="AV237" s="14" t="s">
        <v>2380</v>
      </c>
      <c r="BE237" s="29" t="s">
        <v>2467</v>
      </c>
      <c r="BG237" s="14">
        <v>1.165</v>
      </c>
      <c r="BH237" s="14">
        <v>0.48899999999999999</v>
      </c>
      <c r="BI237" s="14">
        <v>2.774</v>
      </c>
      <c r="BN237" s="14" t="s">
        <v>2231</v>
      </c>
      <c r="CW237" s="14" t="s">
        <v>1226</v>
      </c>
      <c r="CX237" s="14" t="s">
        <v>1227</v>
      </c>
      <c r="CY237" s="14">
        <v>2021</v>
      </c>
      <c r="CZ237" s="36" t="s">
        <v>253</v>
      </c>
      <c r="DA237" s="14" t="s">
        <v>26</v>
      </c>
      <c r="DB237" s="14">
        <v>8</v>
      </c>
      <c r="DC237" s="14">
        <v>2</v>
      </c>
      <c r="DD237" s="14" t="s">
        <v>1228</v>
      </c>
      <c r="DE237" s="14" t="s">
        <v>1229</v>
      </c>
    </row>
    <row r="238" spans="1:109">
      <c r="A238" s="14" t="s">
        <v>1818</v>
      </c>
      <c r="C238" s="14" t="s">
        <v>2468</v>
      </c>
      <c r="D238" s="14" t="s">
        <v>898</v>
      </c>
      <c r="E238" s="14" t="s">
        <v>673</v>
      </c>
      <c r="F238" s="14" t="s">
        <v>2337</v>
      </c>
      <c r="H238" s="14" t="s">
        <v>712</v>
      </c>
      <c r="I238" s="14" t="s">
        <v>3068</v>
      </c>
      <c r="J238" s="14" t="s">
        <v>4116</v>
      </c>
      <c r="K238" s="14" t="s">
        <v>4117</v>
      </c>
      <c r="L238" s="14" t="s">
        <v>2376</v>
      </c>
      <c r="M238" s="14">
        <v>218</v>
      </c>
      <c r="N238" s="14">
        <v>16</v>
      </c>
      <c r="Q238" s="14">
        <v>55.5</v>
      </c>
      <c r="R238" s="14">
        <v>12</v>
      </c>
      <c r="V238" s="14">
        <v>218</v>
      </c>
      <c r="W238" s="14">
        <f t="shared" si="21"/>
        <v>1</v>
      </c>
      <c r="AU238" s="14" t="s">
        <v>2449</v>
      </c>
      <c r="BA238" s="29" t="s">
        <v>4113</v>
      </c>
      <c r="BE238" s="29" t="s">
        <v>2467</v>
      </c>
      <c r="BJ238" s="29" t="s">
        <v>4113</v>
      </c>
      <c r="BK238" s="14">
        <v>1.629</v>
      </c>
      <c r="BL238" s="14">
        <v>1.1679999999999999</v>
      </c>
      <c r="BM238" s="14">
        <v>2.2730000000000001</v>
      </c>
      <c r="BN238" s="14" t="s">
        <v>2231</v>
      </c>
      <c r="BQ238" s="14">
        <v>-0.14879999999999999</v>
      </c>
      <c r="BU238" s="14">
        <v>3.2000000000000001E-2</v>
      </c>
      <c r="CC238" s="14">
        <v>0.34250000000000003</v>
      </c>
      <c r="CG238" s="14" t="s">
        <v>701</v>
      </c>
      <c r="CW238" s="14" t="s">
        <v>1226</v>
      </c>
      <c r="CX238" s="14" t="s">
        <v>1227</v>
      </c>
      <c r="CY238" s="14">
        <v>2021</v>
      </c>
      <c r="CZ238" s="36" t="s">
        <v>253</v>
      </c>
      <c r="DA238" s="14" t="s">
        <v>26</v>
      </c>
      <c r="DB238" s="14">
        <v>8</v>
      </c>
      <c r="DC238" s="14">
        <v>2</v>
      </c>
      <c r="DD238" s="14" t="s">
        <v>1228</v>
      </c>
      <c r="DE238" s="14" t="s">
        <v>1229</v>
      </c>
    </row>
    <row r="239" spans="1:109">
      <c r="A239" s="14" t="s">
        <v>1818</v>
      </c>
      <c r="C239" s="14" t="s">
        <v>2468</v>
      </c>
      <c r="D239" s="14" t="s">
        <v>898</v>
      </c>
      <c r="E239" s="14" t="s">
        <v>673</v>
      </c>
      <c r="F239" s="14" t="s">
        <v>2198</v>
      </c>
      <c r="H239" s="14" t="s">
        <v>712</v>
      </c>
      <c r="I239" s="14" t="s">
        <v>3068</v>
      </c>
      <c r="J239" s="14" t="s">
        <v>4116</v>
      </c>
      <c r="K239" s="14" t="s">
        <v>4117</v>
      </c>
      <c r="L239" s="14" t="s">
        <v>2376</v>
      </c>
      <c r="M239" s="14">
        <v>218</v>
      </c>
      <c r="N239" s="14">
        <v>16</v>
      </c>
      <c r="Q239" s="14">
        <v>55.5</v>
      </c>
      <c r="R239" s="14">
        <v>12</v>
      </c>
      <c r="V239" s="14">
        <v>218</v>
      </c>
      <c r="W239" s="14">
        <f t="shared" si="21"/>
        <v>1</v>
      </c>
      <c r="AU239" s="14" t="s">
        <v>2449</v>
      </c>
      <c r="AV239" s="14" t="s">
        <v>2380</v>
      </c>
      <c r="BE239" s="29" t="s">
        <v>2467</v>
      </c>
      <c r="BG239" s="14">
        <v>1.0620000000000001</v>
      </c>
      <c r="BH239" s="14">
        <v>6.5199999999999994E-2</v>
      </c>
      <c r="BI239" s="14">
        <v>1.7290000000000001</v>
      </c>
      <c r="BN239" s="14" t="s">
        <v>2231</v>
      </c>
      <c r="CW239" s="14" t="s">
        <v>1226</v>
      </c>
      <c r="CX239" s="14" t="s">
        <v>1227</v>
      </c>
      <c r="CY239" s="14">
        <v>2021</v>
      </c>
      <c r="CZ239" s="36" t="s">
        <v>253</v>
      </c>
      <c r="DA239" s="14" t="s">
        <v>26</v>
      </c>
      <c r="DB239" s="14">
        <v>8</v>
      </c>
      <c r="DC239" s="14">
        <v>2</v>
      </c>
      <c r="DD239" s="14" t="s">
        <v>1228</v>
      </c>
      <c r="DE239" s="14" t="s">
        <v>1229</v>
      </c>
    </row>
    <row r="240" spans="1:109">
      <c r="A240" s="14" t="s">
        <v>1818</v>
      </c>
      <c r="C240" s="14" t="s">
        <v>2470</v>
      </c>
      <c r="D240" s="14" t="s">
        <v>898</v>
      </c>
      <c r="E240" s="14" t="s">
        <v>673</v>
      </c>
      <c r="F240" s="14" t="s">
        <v>2337</v>
      </c>
      <c r="H240" s="14" t="s">
        <v>712</v>
      </c>
      <c r="I240" s="14" t="s">
        <v>3068</v>
      </c>
      <c r="J240" s="14" t="s">
        <v>4116</v>
      </c>
      <c r="K240" s="14" t="s">
        <v>4117</v>
      </c>
      <c r="L240" s="14" t="s">
        <v>2376</v>
      </c>
      <c r="M240" s="14">
        <v>346</v>
      </c>
      <c r="N240" s="14">
        <v>16</v>
      </c>
      <c r="Q240" s="14">
        <v>55.5</v>
      </c>
      <c r="R240" s="14">
        <v>12</v>
      </c>
      <c r="V240" s="14">
        <v>218</v>
      </c>
      <c r="W240" s="14">
        <f t="shared" si="21"/>
        <v>0.63005780346820806</v>
      </c>
      <c r="Z240" s="14">
        <v>41</v>
      </c>
      <c r="AA240" s="14">
        <v>38</v>
      </c>
      <c r="AB240" s="14">
        <v>44</v>
      </c>
      <c r="AC240" s="14">
        <v>270</v>
      </c>
      <c r="AD240" s="34">
        <f>AC240/M240</f>
        <v>0.78034682080924855</v>
      </c>
      <c r="AG240" s="35">
        <v>11</v>
      </c>
      <c r="AH240" s="35">
        <v>6</v>
      </c>
      <c r="AI240" s="35">
        <v>16</v>
      </c>
      <c r="AQ240" s="35">
        <v>35</v>
      </c>
      <c r="AU240" s="14" t="s">
        <v>2449</v>
      </c>
      <c r="BN240" s="14" t="s">
        <v>2231</v>
      </c>
      <c r="CW240" s="14" t="s">
        <v>1226</v>
      </c>
      <c r="CX240" s="14" t="s">
        <v>1227</v>
      </c>
      <c r="CY240" s="14">
        <v>2021</v>
      </c>
      <c r="CZ240" s="36" t="s">
        <v>253</v>
      </c>
      <c r="DA240" s="14" t="s">
        <v>26</v>
      </c>
      <c r="DB240" s="14">
        <v>8</v>
      </c>
      <c r="DC240" s="14">
        <v>2</v>
      </c>
      <c r="DD240" s="14" t="s">
        <v>1228</v>
      </c>
      <c r="DE240" s="14" t="s">
        <v>1229</v>
      </c>
    </row>
    <row r="241" spans="1:109" ht="20">
      <c r="A241" s="13" t="s">
        <v>3382</v>
      </c>
      <c r="B241" s="16"/>
      <c r="C241" s="13" t="s">
        <v>3311</v>
      </c>
      <c r="D241" s="14" t="s">
        <v>1015</v>
      </c>
      <c r="E241" s="13" t="s">
        <v>674</v>
      </c>
      <c r="F241" s="13" t="s">
        <v>684</v>
      </c>
      <c r="G241" s="13" t="s">
        <v>3770</v>
      </c>
      <c r="H241" s="13"/>
      <c r="I241" s="13"/>
      <c r="J241" s="13" t="s">
        <v>2342</v>
      </c>
      <c r="K241" s="13" t="s">
        <v>3771</v>
      </c>
      <c r="L241" s="13"/>
      <c r="M241" s="13">
        <v>317</v>
      </c>
      <c r="N241" s="13">
        <v>15</v>
      </c>
      <c r="O241" s="15">
        <f>N241/M241</f>
        <v>4.7318611987381701E-2</v>
      </c>
      <c r="P241" s="13">
        <v>21</v>
      </c>
      <c r="Q241" s="13"/>
      <c r="R241" s="13"/>
      <c r="S241" s="13">
        <v>64</v>
      </c>
      <c r="T241" s="13">
        <v>56</v>
      </c>
      <c r="U241" s="13">
        <v>71</v>
      </c>
      <c r="V241" s="13">
        <v>172</v>
      </c>
      <c r="W241" s="2">
        <f t="shared" si="21"/>
        <v>0.54258675078864349</v>
      </c>
      <c r="X241" s="13"/>
      <c r="Y241" s="13"/>
      <c r="Z241" s="13">
        <v>32</v>
      </c>
      <c r="AA241" s="13">
        <v>26</v>
      </c>
      <c r="AB241" s="13">
        <v>37</v>
      </c>
      <c r="AC241" s="13">
        <v>227</v>
      </c>
      <c r="AD241" s="13">
        <f>AC241/M241</f>
        <v>0.71608832807570977</v>
      </c>
      <c r="AE241" s="13"/>
      <c r="AF241" s="13"/>
      <c r="AG241" s="13">
        <f>1*12</f>
        <v>12</v>
      </c>
      <c r="AH241" s="13">
        <f>0.6*12</f>
        <v>7.1999999999999993</v>
      </c>
      <c r="AI241" s="13">
        <f>1.7*12</f>
        <v>20.399999999999999</v>
      </c>
      <c r="AJ241" s="13"/>
      <c r="AK241" s="13"/>
      <c r="AL241" s="13"/>
      <c r="AM241" s="13"/>
      <c r="AN241" s="13"/>
      <c r="AO241" s="13"/>
      <c r="AP241" s="13"/>
      <c r="AQ241" s="13"/>
      <c r="AR241" s="13"/>
      <c r="AS241" s="13"/>
      <c r="AT241" s="13"/>
      <c r="AU241" s="14" t="s">
        <v>3772</v>
      </c>
      <c r="AV241" s="13"/>
      <c r="AW241" s="13"/>
      <c r="AX241" s="13"/>
      <c r="AY241" s="13"/>
      <c r="AZ241" s="13"/>
      <c r="BA241" s="16"/>
      <c r="BB241" s="13"/>
      <c r="BC241" s="13"/>
      <c r="BD241" s="13"/>
      <c r="BE241" s="16" t="s">
        <v>3773</v>
      </c>
      <c r="BF241" s="13"/>
      <c r="BG241" s="13"/>
      <c r="BH241" s="13"/>
      <c r="BI241" s="13"/>
      <c r="BJ241" s="16"/>
      <c r="BK241" s="13"/>
      <c r="BL241" s="13"/>
      <c r="BM241" s="13"/>
      <c r="BN241" s="16"/>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t="s">
        <v>3774</v>
      </c>
      <c r="CW241" s="13" t="s">
        <v>3494</v>
      </c>
      <c r="CX241" s="13" t="s">
        <v>3495</v>
      </c>
      <c r="CY241" s="13">
        <v>2025</v>
      </c>
      <c r="CZ241" s="13"/>
      <c r="DA241" s="13" t="s">
        <v>1214</v>
      </c>
      <c r="DB241" s="13"/>
      <c r="DC241" s="13"/>
      <c r="DD241" s="13"/>
      <c r="DE241" s="13" t="s">
        <v>3237</v>
      </c>
    </row>
    <row r="242" spans="1:109" ht="20">
      <c r="A242" s="13" t="s">
        <v>3383</v>
      </c>
      <c r="B242" s="13"/>
      <c r="C242" s="13" t="s">
        <v>3312</v>
      </c>
      <c r="D242" s="14" t="s">
        <v>2371</v>
      </c>
      <c r="E242" s="13" t="s">
        <v>672</v>
      </c>
      <c r="F242" s="13" t="s">
        <v>675</v>
      </c>
      <c r="G242" s="13"/>
      <c r="H242" s="14" t="s">
        <v>868</v>
      </c>
      <c r="I242" s="13" t="s">
        <v>3775</v>
      </c>
      <c r="J242" s="13" t="s">
        <v>652</v>
      </c>
      <c r="K242" s="13"/>
      <c r="L242" s="13" t="s">
        <v>639</v>
      </c>
      <c r="M242" s="13">
        <v>34</v>
      </c>
      <c r="N242" s="13"/>
      <c r="O242" s="15"/>
      <c r="P242" s="13"/>
      <c r="Q242" s="13">
        <v>65.900000000000006</v>
      </c>
      <c r="R242" s="13">
        <v>11.3</v>
      </c>
      <c r="S242" s="13"/>
      <c r="T242" s="13"/>
      <c r="U242" s="13"/>
      <c r="V242" s="13">
        <v>18</v>
      </c>
      <c r="W242" s="2">
        <f t="shared" si="21"/>
        <v>0.52941176470588236</v>
      </c>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V242" s="13"/>
      <c r="AW242" s="13"/>
      <c r="AX242" s="13"/>
      <c r="AY242" s="13"/>
      <c r="AZ242" s="13"/>
      <c r="BA242" s="16"/>
      <c r="BB242" s="13"/>
      <c r="BC242" s="13"/>
      <c r="BD242" s="13"/>
      <c r="BE242" s="16"/>
      <c r="BF242" s="13"/>
      <c r="BG242" s="13"/>
      <c r="BH242" s="13"/>
      <c r="BI242" s="13"/>
      <c r="BJ242" s="16"/>
      <c r="BK242" s="13"/>
      <c r="BL242" s="13"/>
      <c r="BM242" s="13"/>
      <c r="BN242" s="16"/>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t="s">
        <v>3496</v>
      </c>
      <c r="CX242" s="13" t="s">
        <v>3497</v>
      </c>
      <c r="CY242" s="13">
        <v>2024</v>
      </c>
      <c r="CZ242" s="13" t="s">
        <v>44</v>
      </c>
      <c r="DA242" s="13" t="s">
        <v>13</v>
      </c>
      <c r="DB242" s="13">
        <v>271</v>
      </c>
      <c r="DC242" s="13">
        <v>11</v>
      </c>
      <c r="DD242" s="13" t="s">
        <v>3498</v>
      </c>
      <c r="DE242" s="13" t="s">
        <v>3238</v>
      </c>
    </row>
    <row r="243" spans="1:109" ht="20">
      <c r="A243" s="13" t="s">
        <v>3383</v>
      </c>
      <c r="B243" s="13"/>
      <c r="C243" s="13" t="s">
        <v>3312</v>
      </c>
      <c r="D243" s="14" t="s">
        <v>2371</v>
      </c>
      <c r="E243" s="13" t="s">
        <v>673</v>
      </c>
      <c r="F243" s="13" t="s">
        <v>675</v>
      </c>
      <c r="G243" s="13"/>
      <c r="H243" s="14" t="s">
        <v>868</v>
      </c>
      <c r="I243" s="13" t="s">
        <v>3775</v>
      </c>
      <c r="J243" s="13" t="s">
        <v>652</v>
      </c>
      <c r="K243" s="13"/>
      <c r="L243" s="13" t="s">
        <v>639</v>
      </c>
      <c r="M243" s="13">
        <v>34</v>
      </c>
      <c r="N243" s="13"/>
      <c r="O243" s="15"/>
      <c r="P243" s="13"/>
      <c r="Q243" s="13">
        <v>65.900000000000006</v>
      </c>
      <c r="R243" s="13">
        <v>11.3</v>
      </c>
      <c r="S243" s="13"/>
      <c r="T243" s="13"/>
      <c r="U243" s="13"/>
      <c r="V243" s="13">
        <v>18</v>
      </c>
      <c r="W243" s="2">
        <f t="shared" si="21"/>
        <v>0.52941176470588236</v>
      </c>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V243" s="13"/>
      <c r="AW243" s="13"/>
      <c r="AX243" s="13"/>
      <c r="AY243" s="13"/>
      <c r="AZ243" s="13"/>
      <c r="BA243" s="16"/>
      <c r="BB243" s="13"/>
      <c r="BC243" s="13"/>
      <c r="BD243" s="13"/>
      <c r="BE243" s="16"/>
      <c r="BF243" s="13"/>
      <c r="BG243" s="13"/>
      <c r="BH243" s="13"/>
      <c r="BI243" s="13"/>
      <c r="BJ243" s="16"/>
      <c r="BK243" s="13"/>
      <c r="BL243" s="13"/>
      <c r="BM243" s="13"/>
      <c r="BN243" s="16"/>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t="s">
        <v>3496</v>
      </c>
      <c r="CX243" s="13" t="s">
        <v>3497</v>
      </c>
      <c r="CY243" s="13">
        <v>2024</v>
      </c>
      <c r="CZ243" s="13" t="s">
        <v>44</v>
      </c>
      <c r="DA243" s="13" t="s">
        <v>13</v>
      </c>
      <c r="DB243" s="13">
        <v>271</v>
      </c>
      <c r="DC243" s="13">
        <v>11</v>
      </c>
      <c r="DD243" s="13" t="s">
        <v>3498</v>
      </c>
      <c r="DE243" s="13" t="s">
        <v>3238</v>
      </c>
    </row>
    <row r="244" spans="1:109" ht="20">
      <c r="A244" s="13" t="s">
        <v>3383</v>
      </c>
      <c r="B244" s="13"/>
      <c r="C244" s="13" t="s">
        <v>3312</v>
      </c>
      <c r="D244" s="14" t="s">
        <v>2371</v>
      </c>
      <c r="E244" s="13" t="s">
        <v>672</v>
      </c>
      <c r="F244" s="13" t="s">
        <v>3777</v>
      </c>
      <c r="G244" s="13" t="s">
        <v>3778</v>
      </c>
      <c r="H244" s="14" t="s">
        <v>868</v>
      </c>
      <c r="I244" s="13" t="s">
        <v>3775</v>
      </c>
      <c r="J244" s="13" t="s">
        <v>652</v>
      </c>
      <c r="K244" s="13"/>
      <c r="L244" s="13" t="s">
        <v>639</v>
      </c>
      <c r="M244" s="13">
        <v>34</v>
      </c>
      <c r="N244" s="13"/>
      <c r="O244" s="15"/>
      <c r="P244" s="13"/>
      <c r="Q244" s="13">
        <v>65.900000000000006</v>
      </c>
      <c r="R244" s="13">
        <v>11.3</v>
      </c>
      <c r="S244" s="13"/>
      <c r="T244" s="13"/>
      <c r="U244" s="13"/>
      <c r="V244" s="13">
        <v>18</v>
      </c>
      <c r="W244" s="2">
        <f t="shared" si="21"/>
        <v>0.52941176470588236</v>
      </c>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V244" s="13"/>
      <c r="AW244" s="13"/>
      <c r="AX244" s="13"/>
      <c r="AY244" s="13"/>
      <c r="AZ244" s="13"/>
      <c r="BA244" s="16"/>
      <c r="BB244" s="13"/>
      <c r="BC244" s="13"/>
      <c r="BD244" s="13"/>
      <c r="BE244" s="16"/>
      <c r="BF244" s="13"/>
      <c r="BG244" s="13"/>
      <c r="BH244" s="13"/>
      <c r="BI244" s="13"/>
      <c r="BJ244" s="16"/>
      <c r="BK244" s="13"/>
      <c r="BL244" s="13"/>
      <c r="BM244" s="13"/>
      <c r="BN244" s="16"/>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t="s">
        <v>3496</v>
      </c>
      <c r="CX244" s="13" t="s">
        <v>3497</v>
      </c>
      <c r="CY244" s="13">
        <v>2024</v>
      </c>
      <c r="CZ244" s="13" t="s">
        <v>44</v>
      </c>
      <c r="DA244" s="13" t="s">
        <v>13</v>
      </c>
      <c r="DB244" s="13">
        <v>271</v>
      </c>
      <c r="DC244" s="13">
        <v>11</v>
      </c>
      <c r="DD244" s="13" t="s">
        <v>3498</v>
      </c>
      <c r="DE244" s="13" t="s">
        <v>3238</v>
      </c>
    </row>
    <row r="245" spans="1:109">
      <c r="A245" s="14" t="s">
        <v>1819</v>
      </c>
      <c r="C245" s="14" t="s">
        <v>1233</v>
      </c>
      <c r="D245" s="14" t="s">
        <v>898</v>
      </c>
      <c r="E245" s="14" t="s">
        <v>673</v>
      </c>
      <c r="F245" s="14" t="s">
        <v>2377</v>
      </c>
      <c r="H245" s="14" t="s">
        <v>855</v>
      </c>
      <c r="I245" s="14" t="s">
        <v>3116</v>
      </c>
      <c r="J245" s="14" t="s">
        <v>902</v>
      </c>
      <c r="L245" s="14" t="s">
        <v>2455</v>
      </c>
      <c r="M245" s="14">
        <v>47</v>
      </c>
      <c r="Q245" s="14">
        <v>67.5</v>
      </c>
      <c r="R245" s="14">
        <v>10.3</v>
      </c>
      <c r="V245" s="14">
        <v>28</v>
      </c>
      <c r="W245" s="14">
        <f t="shared" si="21"/>
        <v>0.5957446808510638</v>
      </c>
      <c r="X245" s="14">
        <v>37.9</v>
      </c>
      <c r="Y245" s="14">
        <v>5.6</v>
      </c>
      <c r="AC245" s="14">
        <v>33</v>
      </c>
      <c r="AD245" s="34">
        <f>AC245/M245</f>
        <v>0.7021276595744681</v>
      </c>
      <c r="AE245" s="35">
        <v>13.3</v>
      </c>
      <c r="AF245" s="35">
        <v>6</v>
      </c>
      <c r="AU245" s="14" t="s">
        <v>2447</v>
      </c>
      <c r="AX245" s="14">
        <v>0.76</v>
      </c>
      <c r="AY245" s="14">
        <v>0.54</v>
      </c>
      <c r="AZ245" s="14">
        <v>1.07</v>
      </c>
      <c r="CW245" s="14" t="s">
        <v>1230</v>
      </c>
      <c r="CX245" s="14" t="s">
        <v>1231</v>
      </c>
      <c r="CY245" s="14">
        <v>2021</v>
      </c>
      <c r="CZ245" s="36" t="s">
        <v>188</v>
      </c>
      <c r="DA245" s="14" t="s">
        <v>471</v>
      </c>
      <c r="DB245" s="14">
        <v>203</v>
      </c>
      <c r="DD245" s="14" t="s">
        <v>2187</v>
      </c>
      <c r="DE245" s="14" t="s">
        <v>1232</v>
      </c>
    </row>
    <row r="246" spans="1:109">
      <c r="A246" s="14" t="s">
        <v>2003</v>
      </c>
      <c r="C246" s="14" t="s">
        <v>2004</v>
      </c>
      <c r="D246" s="14" t="s">
        <v>820</v>
      </c>
      <c r="E246" s="14" t="s">
        <v>673</v>
      </c>
      <c r="F246" s="14" t="s">
        <v>675</v>
      </c>
      <c r="H246" s="14" t="s">
        <v>855</v>
      </c>
      <c r="I246" s="14" t="s">
        <v>4067</v>
      </c>
      <c r="J246" s="14" t="s">
        <v>2041</v>
      </c>
      <c r="L246" s="14" t="s">
        <v>639</v>
      </c>
      <c r="M246" s="14">
        <v>58</v>
      </c>
      <c r="S246" s="14">
        <v>68</v>
      </c>
      <c r="T246" s="14">
        <v>59.3</v>
      </c>
      <c r="U246" s="14">
        <v>72.8</v>
      </c>
      <c r="V246" s="14">
        <v>40</v>
      </c>
      <c r="W246" s="14">
        <f t="shared" si="21"/>
        <v>0.68965517241379315</v>
      </c>
      <c r="Z246" s="14">
        <v>41</v>
      </c>
      <c r="AA246" s="14">
        <v>36</v>
      </c>
      <c r="AB246" s="14">
        <v>43</v>
      </c>
      <c r="AG246" s="35">
        <v>14</v>
      </c>
      <c r="AH246" s="35">
        <v>7.5</v>
      </c>
      <c r="AI246" s="35">
        <v>27</v>
      </c>
      <c r="CW246" s="14" t="s">
        <v>2063</v>
      </c>
      <c r="CX246" s="14" t="s">
        <v>2064</v>
      </c>
      <c r="CY246" s="14">
        <v>2022</v>
      </c>
      <c r="CZ246" s="36" t="s">
        <v>25</v>
      </c>
      <c r="DA246" s="14" t="s">
        <v>2065</v>
      </c>
      <c r="DB246" s="14">
        <v>129</v>
      </c>
      <c r="DC246" s="14">
        <v>3</v>
      </c>
      <c r="DD246" s="14" t="s">
        <v>2066</v>
      </c>
      <c r="DE246" s="14" t="s">
        <v>2067</v>
      </c>
    </row>
    <row r="247" spans="1:109">
      <c r="A247" s="14" t="s">
        <v>2003</v>
      </c>
      <c r="C247" s="14" t="s">
        <v>2004</v>
      </c>
      <c r="D247" s="14" t="s">
        <v>820</v>
      </c>
      <c r="E247" s="14" t="s">
        <v>673</v>
      </c>
      <c r="F247" s="14" t="s">
        <v>679</v>
      </c>
      <c r="H247" s="14" t="s">
        <v>855</v>
      </c>
      <c r="I247" s="14" t="s">
        <v>3116</v>
      </c>
      <c r="J247" s="14" t="s">
        <v>2041</v>
      </c>
      <c r="L247" s="14" t="s">
        <v>639</v>
      </c>
      <c r="M247" s="14">
        <v>58</v>
      </c>
      <c r="S247" s="14">
        <v>68</v>
      </c>
      <c r="T247" s="14">
        <v>59.3</v>
      </c>
      <c r="U247" s="14">
        <v>72.8</v>
      </c>
      <c r="V247" s="14">
        <v>40</v>
      </c>
      <c r="W247" s="14">
        <f t="shared" si="21"/>
        <v>0.68965517241379315</v>
      </c>
      <c r="Z247" s="14">
        <v>41</v>
      </c>
      <c r="AA247" s="14">
        <v>36</v>
      </c>
      <c r="AB247" s="14">
        <v>43</v>
      </c>
      <c r="AG247" s="35">
        <v>14</v>
      </c>
      <c r="AH247" s="35">
        <v>7.5</v>
      </c>
      <c r="AI247" s="35">
        <v>27</v>
      </c>
      <c r="CW247" s="14" t="s">
        <v>2063</v>
      </c>
      <c r="CX247" s="14" t="s">
        <v>2064</v>
      </c>
      <c r="CY247" s="14">
        <v>2022</v>
      </c>
      <c r="CZ247" s="36" t="s">
        <v>25</v>
      </c>
      <c r="DA247" s="14" t="s">
        <v>2065</v>
      </c>
      <c r="DB247" s="14">
        <v>129</v>
      </c>
      <c r="DC247" s="14">
        <v>3</v>
      </c>
      <c r="DD247" s="14" t="s">
        <v>2066</v>
      </c>
      <c r="DE247" s="14" t="s">
        <v>2067</v>
      </c>
    </row>
    <row r="248" spans="1:109" ht="20">
      <c r="A248" s="13" t="s">
        <v>1695</v>
      </c>
      <c r="B248" s="13" t="s">
        <v>1695</v>
      </c>
      <c r="C248" s="13" t="s">
        <v>794</v>
      </c>
      <c r="D248" s="13" t="s">
        <v>827</v>
      </c>
      <c r="E248" s="14" t="s">
        <v>672</v>
      </c>
      <c r="F248" s="14" t="s">
        <v>798</v>
      </c>
      <c r="H248" s="13" t="s">
        <v>669</v>
      </c>
      <c r="I248" s="14" t="s">
        <v>2936</v>
      </c>
      <c r="J248" s="13" t="s">
        <v>652</v>
      </c>
      <c r="M248" s="14">
        <v>20</v>
      </c>
      <c r="N248" s="13"/>
      <c r="O248" s="15"/>
      <c r="P248" s="13"/>
      <c r="Q248" s="13">
        <v>64</v>
      </c>
      <c r="R248" s="13">
        <v>13</v>
      </c>
      <c r="S248" s="13"/>
      <c r="T248" s="13"/>
      <c r="U248" s="13"/>
      <c r="CW248" s="13" t="s">
        <v>223</v>
      </c>
      <c r="CX248" s="13" t="s">
        <v>224</v>
      </c>
      <c r="CY248" s="13">
        <v>2022</v>
      </c>
      <c r="CZ248" s="13" t="s">
        <v>2221</v>
      </c>
      <c r="DA248" s="13" t="s">
        <v>225</v>
      </c>
      <c r="DB248" s="13">
        <v>14</v>
      </c>
      <c r="DC248" s="13">
        <v>1</v>
      </c>
      <c r="DD248" s="13" t="s">
        <v>2220</v>
      </c>
      <c r="DE248" s="13" t="s">
        <v>226</v>
      </c>
    </row>
    <row r="249" spans="1:109" ht="20">
      <c r="A249" s="13" t="s">
        <v>1695</v>
      </c>
      <c r="B249" s="13" t="s">
        <v>1695</v>
      </c>
      <c r="C249" s="13" t="s">
        <v>794</v>
      </c>
      <c r="D249" s="13" t="s">
        <v>827</v>
      </c>
      <c r="E249" s="14" t="s">
        <v>673</v>
      </c>
      <c r="F249" s="14" t="s">
        <v>798</v>
      </c>
      <c r="H249" s="13" t="s">
        <v>669</v>
      </c>
      <c r="I249" s="14" t="s">
        <v>2936</v>
      </c>
      <c r="J249" s="13" t="s">
        <v>652</v>
      </c>
      <c r="M249" s="14">
        <v>20</v>
      </c>
      <c r="N249" s="13"/>
      <c r="O249" s="15"/>
      <c r="P249" s="13"/>
      <c r="Q249" s="13">
        <v>64</v>
      </c>
      <c r="R249" s="13">
        <v>13</v>
      </c>
      <c r="S249" s="13"/>
      <c r="T249" s="13"/>
      <c r="U249" s="13"/>
      <c r="CW249" s="13" t="s">
        <v>223</v>
      </c>
      <c r="CX249" s="13" t="s">
        <v>224</v>
      </c>
      <c r="CY249" s="13">
        <v>2022</v>
      </c>
      <c r="CZ249" s="13" t="s">
        <v>2221</v>
      </c>
      <c r="DA249" s="13" t="s">
        <v>225</v>
      </c>
      <c r="DB249" s="13">
        <v>14</v>
      </c>
      <c r="DC249" s="13">
        <v>1</v>
      </c>
      <c r="DD249" s="13" t="s">
        <v>2220</v>
      </c>
      <c r="DE249" s="13" t="s">
        <v>226</v>
      </c>
    </row>
    <row r="250" spans="1:109" ht="20">
      <c r="A250" s="13" t="s">
        <v>1695</v>
      </c>
      <c r="B250" s="13" t="s">
        <v>1695</v>
      </c>
      <c r="C250" s="13" t="s">
        <v>794</v>
      </c>
      <c r="D250" s="13" t="s">
        <v>827</v>
      </c>
      <c r="E250" s="14" t="s">
        <v>672</v>
      </c>
      <c r="F250" s="14" t="s">
        <v>676</v>
      </c>
      <c r="H250" s="13" t="s">
        <v>669</v>
      </c>
      <c r="I250" s="14" t="s">
        <v>2936</v>
      </c>
      <c r="J250" s="13" t="s">
        <v>585</v>
      </c>
      <c r="M250" s="14">
        <v>20</v>
      </c>
      <c r="N250" s="13"/>
      <c r="O250" s="15"/>
      <c r="P250" s="13"/>
      <c r="Q250" s="13">
        <v>64</v>
      </c>
      <c r="R250" s="13">
        <v>13</v>
      </c>
      <c r="S250" s="13"/>
      <c r="T250" s="13"/>
      <c r="U250" s="13"/>
      <c r="CW250" s="13" t="s">
        <v>223</v>
      </c>
      <c r="CX250" s="13" t="s">
        <v>224</v>
      </c>
      <c r="CY250" s="13">
        <v>2022</v>
      </c>
      <c r="CZ250" s="13" t="s">
        <v>2221</v>
      </c>
      <c r="DA250" s="13" t="s">
        <v>225</v>
      </c>
      <c r="DB250" s="13">
        <v>14</v>
      </c>
      <c r="DC250" s="13">
        <v>1</v>
      </c>
      <c r="DD250" s="13" t="s">
        <v>2220</v>
      </c>
      <c r="DE250" s="13" t="s">
        <v>226</v>
      </c>
    </row>
    <row r="251" spans="1:109" ht="20">
      <c r="A251" s="13" t="s">
        <v>1695</v>
      </c>
      <c r="B251" s="13" t="s">
        <v>1695</v>
      </c>
      <c r="C251" s="13" t="s">
        <v>794</v>
      </c>
      <c r="D251" s="13" t="s">
        <v>827</v>
      </c>
      <c r="E251" s="14" t="s">
        <v>672</v>
      </c>
      <c r="F251" s="14" t="s">
        <v>721</v>
      </c>
      <c r="H251" s="13" t="s">
        <v>669</v>
      </c>
      <c r="I251" s="14" t="s">
        <v>2936</v>
      </c>
      <c r="J251" s="13" t="s">
        <v>585</v>
      </c>
      <c r="K251" s="14" t="s">
        <v>4148</v>
      </c>
      <c r="M251" s="14">
        <v>20</v>
      </c>
      <c r="N251" s="13"/>
      <c r="O251" s="15"/>
      <c r="P251" s="13"/>
      <c r="Q251" s="13">
        <v>64</v>
      </c>
      <c r="R251" s="13">
        <v>13</v>
      </c>
      <c r="S251" s="13"/>
      <c r="T251" s="13"/>
      <c r="U251" s="13"/>
      <c r="CW251" s="13" t="s">
        <v>223</v>
      </c>
      <c r="CX251" s="13" t="s">
        <v>224</v>
      </c>
      <c r="CY251" s="13">
        <v>2022</v>
      </c>
      <c r="CZ251" s="13" t="s">
        <v>2221</v>
      </c>
      <c r="DA251" s="13" t="s">
        <v>225</v>
      </c>
      <c r="DB251" s="13">
        <v>14</v>
      </c>
      <c r="DC251" s="13">
        <v>1</v>
      </c>
      <c r="DD251" s="13" t="s">
        <v>2220</v>
      </c>
      <c r="DE251" s="13" t="s">
        <v>226</v>
      </c>
    </row>
    <row r="252" spans="1:109" ht="20">
      <c r="A252" s="13" t="s">
        <v>1695</v>
      </c>
      <c r="B252" s="13" t="s">
        <v>1695</v>
      </c>
      <c r="C252" s="13" t="s">
        <v>794</v>
      </c>
      <c r="D252" s="13" t="s">
        <v>827</v>
      </c>
      <c r="E252" s="14" t="s">
        <v>672</v>
      </c>
      <c r="F252" s="14" t="s">
        <v>823</v>
      </c>
      <c r="H252" s="13" t="s">
        <v>669</v>
      </c>
      <c r="I252" s="14" t="s">
        <v>2936</v>
      </c>
      <c r="J252" s="13" t="s">
        <v>585</v>
      </c>
      <c r="M252" s="14">
        <v>20</v>
      </c>
      <c r="N252" s="13"/>
      <c r="O252" s="15"/>
      <c r="P252" s="13"/>
      <c r="Q252" s="13">
        <v>64</v>
      </c>
      <c r="R252" s="13">
        <v>13</v>
      </c>
      <c r="S252" s="13"/>
      <c r="T252" s="13"/>
      <c r="U252" s="13"/>
      <c r="CW252" s="13" t="s">
        <v>223</v>
      </c>
      <c r="CX252" s="13" t="s">
        <v>224</v>
      </c>
      <c r="CY252" s="13">
        <v>2022</v>
      </c>
      <c r="CZ252" s="13" t="s">
        <v>2221</v>
      </c>
      <c r="DA252" s="13" t="s">
        <v>225</v>
      </c>
      <c r="DB252" s="13">
        <v>14</v>
      </c>
      <c r="DC252" s="13">
        <v>1</v>
      </c>
      <c r="DD252" s="13" t="s">
        <v>2220</v>
      </c>
      <c r="DE252" s="13" t="s">
        <v>226</v>
      </c>
    </row>
    <row r="253" spans="1:109">
      <c r="A253" s="14" t="s">
        <v>2005</v>
      </c>
      <c r="B253" s="14" t="s">
        <v>1696</v>
      </c>
      <c r="C253" s="14" t="s">
        <v>4125</v>
      </c>
      <c r="D253" s="14" t="s">
        <v>827</v>
      </c>
      <c r="E253" s="14" t="s">
        <v>672</v>
      </c>
      <c r="F253" s="14" t="s">
        <v>675</v>
      </c>
      <c r="H253" s="14" t="s">
        <v>669</v>
      </c>
      <c r="I253" s="14" t="s">
        <v>3117</v>
      </c>
      <c r="J253" s="14" t="s">
        <v>808</v>
      </c>
      <c r="L253" s="14" t="s">
        <v>639</v>
      </c>
      <c r="M253" s="14">
        <v>70</v>
      </c>
      <c r="Q253" s="14">
        <v>62</v>
      </c>
      <c r="R253" s="14">
        <v>13</v>
      </c>
      <c r="V253" s="14">
        <v>46</v>
      </c>
      <c r="W253" s="14">
        <f>V253/M253</f>
        <v>0.65714285714285714</v>
      </c>
      <c r="BN253" s="14" t="s">
        <v>2231</v>
      </c>
      <c r="BQ253" s="14">
        <v>0.39</v>
      </c>
      <c r="BU253" s="14" t="s">
        <v>701</v>
      </c>
      <c r="CW253" s="14" t="s">
        <v>227</v>
      </c>
      <c r="CX253" s="14" t="s">
        <v>228</v>
      </c>
      <c r="CY253" s="14">
        <v>2022</v>
      </c>
      <c r="CZ253" s="36" t="s">
        <v>73</v>
      </c>
      <c r="DA253" s="14" t="s">
        <v>195</v>
      </c>
      <c r="DB253" s="14">
        <v>93</v>
      </c>
      <c r="DC253" s="14">
        <v>1</v>
      </c>
      <c r="DD253" s="14" t="s">
        <v>229</v>
      </c>
      <c r="DE253" s="14" t="s">
        <v>230</v>
      </c>
    </row>
    <row r="254" spans="1:109">
      <c r="A254" s="14" t="s">
        <v>2005</v>
      </c>
      <c r="B254" s="14" t="s">
        <v>1696</v>
      </c>
      <c r="C254" s="14" t="s">
        <v>4125</v>
      </c>
      <c r="D254" s="14" t="s">
        <v>827</v>
      </c>
      <c r="E254" s="14" t="s">
        <v>672</v>
      </c>
      <c r="F254" s="14" t="s">
        <v>807</v>
      </c>
      <c r="H254" s="14" t="s">
        <v>669</v>
      </c>
      <c r="I254" s="14" t="s">
        <v>3117</v>
      </c>
      <c r="J254" s="14" t="s">
        <v>808</v>
      </c>
      <c r="L254" s="14" t="s">
        <v>639</v>
      </c>
      <c r="M254" s="14">
        <v>68</v>
      </c>
      <c r="Q254" s="14">
        <v>62</v>
      </c>
      <c r="R254" s="14">
        <v>13</v>
      </c>
      <c r="V254" s="14">
        <v>46</v>
      </c>
      <c r="W254" s="14">
        <f>V254/M254</f>
        <v>0.67647058823529416</v>
      </c>
      <c r="BN254" s="14" t="s">
        <v>2231</v>
      </c>
      <c r="BQ254" s="14">
        <v>0.28999999999999998</v>
      </c>
      <c r="BU254" s="14" t="s">
        <v>701</v>
      </c>
      <c r="CW254" s="14" t="s">
        <v>227</v>
      </c>
      <c r="CX254" s="14" t="s">
        <v>228</v>
      </c>
      <c r="CY254" s="14">
        <v>2022</v>
      </c>
      <c r="CZ254" s="36" t="s">
        <v>73</v>
      </c>
      <c r="DA254" s="14" t="s">
        <v>195</v>
      </c>
      <c r="DB254" s="14">
        <v>93</v>
      </c>
      <c r="DC254" s="14">
        <v>1</v>
      </c>
      <c r="DD254" s="14" t="s">
        <v>229</v>
      </c>
      <c r="DE254" s="14" t="s">
        <v>230</v>
      </c>
    </row>
    <row r="255" spans="1:109">
      <c r="A255" s="14" t="s">
        <v>2005</v>
      </c>
      <c r="B255" s="14" t="s">
        <v>1696</v>
      </c>
      <c r="C255" s="14" t="s">
        <v>4125</v>
      </c>
      <c r="D255" s="14" t="s">
        <v>827</v>
      </c>
      <c r="E255" s="14" t="s">
        <v>673</v>
      </c>
      <c r="F255" s="14" t="s">
        <v>675</v>
      </c>
      <c r="H255" s="14" t="s">
        <v>669</v>
      </c>
      <c r="I255" s="14" t="s">
        <v>3117</v>
      </c>
      <c r="J255" s="14" t="s">
        <v>808</v>
      </c>
      <c r="L255" s="14" t="s">
        <v>639</v>
      </c>
      <c r="M255" s="14">
        <v>75</v>
      </c>
      <c r="Q255" s="14">
        <v>62</v>
      </c>
      <c r="R255" s="14">
        <v>13</v>
      </c>
      <c r="V255" s="14">
        <v>46</v>
      </c>
      <c r="W255" s="14">
        <f>V255/M255</f>
        <v>0.61333333333333329</v>
      </c>
      <c r="BN255" s="14" t="s">
        <v>2231</v>
      </c>
      <c r="BQ255" s="14">
        <v>0.38</v>
      </c>
      <c r="BU255" s="14">
        <v>1E-3</v>
      </c>
      <c r="CW255" s="14" t="s">
        <v>227</v>
      </c>
      <c r="CX255" s="14" t="s">
        <v>228</v>
      </c>
      <c r="CY255" s="14">
        <v>2022</v>
      </c>
      <c r="CZ255" s="36" t="s">
        <v>73</v>
      </c>
      <c r="DA255" s="14" t="s">
        <v>195</v>
      </c>
      <c r="DB255" s="14">
        <v>93</v>
      </c>
      <c r="DC255" s="14">
        <v>1</v>
      </c>
      <c r="DD255" s="14" t="s">
        <v>229</v>
      </c>
      <c r="DE255" s="14" t="s">
        <v>230</v>
      </c>
    </row>
    <row r="256" spans="1:109">
      <c r="A256" s="14" t="s">
        <v>2005</v>
      </c>
      <c r="B256" s="14" t="s">
        <v>1696</v>
      </c>
      <c r="C256" s="14" t="s">
        <v>4125</v>
      </c>
      <c r="D256" s="14" t="s">
        <v>827</v>
      </c>
      <c r="E256" s="14" t="s">
        <v>673</v>
      </c>
      <c r="F256" s="14" t="s">
        <v>807</v>
      </c>
      <c r="H256" s="14" t="s">
        <v>669</v>
      </c>
      <c r="I256" s="14" t="s">
        <v>3117</v>
      </c>
      <c r="J256" s="14" t="s">
        <v>808</v>
      </c>
      <c r="L256" s="14" t="s">
        <v>639</v>
      </c>
      <c r="M256" s="14">
        <v>75</v>
      </c>
      <c r="Q256" s="14">
        <v>62</v>
      </c>
      <c r="R256" s="14">
        <v>13</v>
      </c>
      <c r="V256" s="14">
        <v>46</v>
      </c>
      <c r="W256" s="14">
        <f>V256/M256</f>
        <v>0.61333333333333329</v>
      </c>
      <c r="BN256" s="14" t="s">
        <v>2231</v>
      </c>
      <c r="BQ256" s="14">
        <v>0.31</v>
      </c>
      <c r="BU256" s="14">
        <v>8.9999999999999993E-3</v>
      </c>
      <c r="CW256" s="14" t="s">
        <v>227</v>
      </c>
      <c r="CX256" s="14" t="s">
        <v>228</v>
      </c>
      <c r="CY256" s="14">
        <v>2022</v>
      </c>
      <c r="CZ256" s="36" t="s">
        <v>73</v>
      </c>
      <c r="DA256" s="14" t="s">
        <v>195</v>
      </c>
      <c r="DB256" s="14">
        <v>93</v>
      </c>
      <c r="DC256" s="14">
        <v>1</v>
      </c>
      <c r="DD256" s="14" t="s">
        <v>229</v>
      </c>
      <c r="DE256" s="14" t="s">
        <v>230</v>
      </c>
    </row>
    <row r="257" spans="1:109" ht="20">
      <c r="A257" s="13" t="s">
        <v>3384</v>
      </c>
      <c r="B257" s="13"/>
      <c r="C257" s="13" t="s">
        <v>3313</v>
      </c>
      <c r="D257" s="14" t="s">
        <v>4179</v>
      </c>
      <c r="E257" s="13"/>
      <c r="F257" s="13"/>
      <c r="G257" s="13"/>
      <c r="I257" s="13"/>
      <c r="J257" s="13"/>
      <c r="K257" s="13"/>
      <c r="L257" s="13"/>
      <c r="M257" s="13"/>
      <c r="N257" s="13"/>
      <c r="O257" s="15"/>
      <c r="P257" s="13"/>
      <c r="Q257" s="13"/>
      <c r="R257" s="13"/>
      <c r="S257" s="13"/>
      <c r="T257" s="13"/>
      <c r="U257" s="13"/>
      <c r="V257" s="13"/>
      <c r="W257" s="2"/>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6"/>
      <c r="BB257" s="13"/>
      <c r="BC257" s="13"/>
      <c r="BD257" s="13"/>
      <c r="BE257" s="16"/>
      <c r="BF257" s="13"/>
      <c r="BG257" s="13"/>
      <c r="BH257" s="13"/>
      <c r="BI257" s="13"/>
      <c r="BJ257" s="16"/>
      <c r="BK257" s="13"/>
      <c r="BL257" s="13"/>
      <c r="BM257" s="13"/>
      <c r="BN257" s="16"/>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t="s">
        <v>3499</v>
      </c>
      <c r="CX257" s="13" t="s">
        <v>3500</v>
      </c>
      <c r="CY257" s="13">
        <v>2025</v>
      </c>
      <c r="CZ257" s="21">
        <v>45674</v>
      </c>
      <c r="DA257" s="13" t="s">
        <v>545</v>
      </c>
      <c r="DB257" s="13"/>
      <c r="DC257" s="13"/>
      <c r="DD257" s="13"/>
      <c r="DE257" s="13" t="s">
        <v>3239</v>
      </c>
    </row>
    <row r="258" spans="1:109" ht="20">
      <c r="A258" s="13" t="s">
        <v>3385</v>
      </c>
      <c r="B258" s="16"/>
      <c r="C258" s="13" t="s">
        <v>3314</v>
      </c>
      <c r="D258" s="14" t="s">
        <v>830</v>
      </c>
      <c r="E258" s="13" t="s">
        <v>674</v>
      </c>
      <c r="F258" s="13" t="s">
        <v>3793</v>
      </c>
      <c r="G258" s="13"/>
      <c r="H258" s="14" t="s">
        <v>3780</v>
      </c>
      <c r="I258" s="13"/>
      <c r="J258" s="13" t="s">
        <v>3781</v>
      </c>
      <c r="K258" s="13" t="s">
        <v>3782</v>
      </c>
      <c r="L258" s="13"/>
      <c r="M258" s="13">
        <v>12</v>
      </c>
      <c r="N258" s="13"/>
      <c r="O258" s="15"/>
      <c r="P258" s="13"/>
      <c r="Q258" s="13"/>
      <c r="R258" s="13"/>
      <c r="S258" s="13"/>
      <c r="T258" s="13"/>
      <c r="U258" s="13"/>
      <c r="V258" s="13"/>
      <c r="W258" s="2"/>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V258" s="13"/>
      <c r="AW258" s="13"/>
      <c r="AX258" s="13"/>
      <c r="AY258" s="13"/>
      <c r="AZ258" s="13"/>
      <c r="BA258" s="16"/>
      <c r="BB258" s="13"/>
      <c r="BC258" s="13"/>
      <c r="BD258" s="13"/>
      <c r="BE258" s="16"/>
      <c r="BF258" s="13"/>
      <c r="BG258" s="13"/>
      <c r="BH258" s="13"/>
      <c r="BI258" s="13"/>
      <c r="BJ258" s="16"/>
      <c r="BK258" s="13"/>
      <c r="BL258" s="13"/>
      <c r="BM258" s="13"/>
      <c r="BN258" s="16"/>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t="s">
        <v>3501</v>
      </c>
      <c r="CX258" s="13" t="s">
        <v>3502</v>
      </c>
      <c r="CY258" s="13">
        <v>2025</v>
      </c>
      <c r="CZ258" s="13"/>
      <c r="DA258" s="13" t="s">
        <v>3503</v>
      </c>
      <c r="DB258" s="13">
        <v>18</v>
      </c>
      <c r="DC258" s="13">
        <v>1</v>
      </c>
      <c r="DD258" s="13"/>
      <c r="DE258" s="13" t="s">
        <v>3240</v>
      </c>
    </row>
    <row r="259" spans="1:109">
      <c r="A259" s="14" t="s">
        <v>1820</v>
      </c>
      <c r="B259" s="14" t="s">
        <v>1697</v>
      </c>
      <c r="C259" s="14" t="s">
        <v>235</v>
      </c>
      <c r="D259" s="14" t="s">
        <v>818</v>
      </c>
      <c r="E259" s="14" t="s">
        <v>673</v>
      </c>
      <c r="F259" s="14" t="s">
        <v>811</v>
      </c>
      <c r="H259" s="14" t="s">
        <v>712</v>
      </c>
      <c r="I259" s="37" t="s">
        <v>3118</v>
      </c>
      <c r="J259" s="14" t="s">
        <v>585</v>
      </c>
      <c r="M259" s="14">
        <v>100</v>
      </c>
      <c r="Q259" s="14">
        <v>49.99</v>
      </c>
      <c r="R259" s="14">
        <v>7.74</v>
      </c>
      <c r="V259" s="14">
        <v>56</v>
      </c>
      <c r="W259" s="14">
        <f t="shared" ref="W259:W279" si="22">V259/M259</f>
        <v>0.56000000000000005</v>
      </c>
      <c r="X259" s="14">
        <v>29.63</v>
      </c>
      <c r="Y259" s="14">
        <v>5.58</v>
      </c>
      <c r="AE259" s="35">
        <v>18.77</v>
      </c>
      <c r="AF259" s="35">
        <v>11.48</v>
      </c>
      <c r="BU259" s="14" t="s">
        <v>761</v>
      </c>
      <c r="CW259" s="14" t="s">
        <v>231</v>
      </c>
      <c r="CX259" s="14" t="s">
        <v>232</v>
      </c>
      <c r="CY259" s="14">
        <v>2024</v>
      </c>
      <c r="CZ259" s="36">
        <v>45505</v>
      </c>
      <c r="DA259" s="14" t="s">
        <v>110</v>
      </c>
      <c r="DB259" s="14">
        <v>19</v>
      </c>
      <c r="DC259" s="14">
        <v>8</v>
      </c>
      <c r="DD259" s="14" t="s">
        <v>233</v>
      </c>
      <c r="DE259" s="14" t="s">
        <v>234</v>
      </c>
    </row>
    <row r="260" spans="1:109">
      <c r="A260" s="14" t="s">
        <v>1820</v>
      </c>
      <c r="B260" s="14" t="s">
        <v>1697</v>
      </c>
      <c r="C260" s="14" t="s">
        <v>235</v>
      </c>
      <c r="D260" s="14" t="s">
        <v>818</v>
      </c>
      <c r="E260" s="14" t="s">
        <v>673</v>
      </c>
      <c r="F260" s="14" t="s">
        <v>684</v>
      </c>
      <c r="G260" s="14" t="s">
        <v>812</v>
      </c>
      <c r="H260" s="14" t="s">
        <v>712</v>
      </c>
      <c r="I260" s="37" t="s">
        <v>3118</v>
      </c>
      <c r="J260" s="14" t="s">
        <v>585</v>
      </c>
      <c r="M260" s="14">
        <v>100</v>
      </c>
      <c r="Q260" s="14">
        <v>49.99</v>
      </c>
      <c r="R260" s="14">
        <v>7.74</v>
      </c>
      <c r="V260" s="14">
        <v>56</v>
      </c>
      <c r="W260" s="14">
        <f t="shared" si="22"/>
        <v>0.56000000000000005</v>
      </c>
      <c r="X260" s="14">
        <v>29.63</v>
      </c>
      <c r="Y260" s="14">
        <v>5.58</v>
      </c>
      <c r="AE260" s="35">
        <v>18.77</v>
      </c>
      <c r="AF260" s="35">
        <v>11.48</v>
      </c>
      <c r="BU260" s="14" t="s">
        <v>761</v>
      </c>
      <c r="CW260" s="14" t="s">
        <v>231</v>
      </c>
      <c r="CX260" s="14" t="s">
        <v>232</v>
      </c>
      <c r="CY260" s="14">
        <v>2024</v>
      </c>
      <c r="CZ260" s="36">
        <v>45505</v>
      </c>
      <c r="DA260" s="14" t="s">
        <v>110</v>
      </c>
      <c r="DB260" s="14">
        <v>19</v>
      </c>
      <c r="DC260" s="14">
        <v>8</v>
      </c>
      <c r="DD260" s="14" t="s">
        <v>233</v>
      </c>
      <c r="DE260" s="14" t="s">
        <v>234</v>
      </c>
    </row>
    <row r="261" spans="1:109">
      <c r="A261" s="14" t="s">
        <v>1821</v>
      </c>
      <c r="C261" s="14" t="s">
        <v>1237</v>
      </c>
      <c r="D261" s="14" t="s">
        <v>1015</v>
      </c>
      <c r="E261" s="14" t="s">
        <v>725</v>
      </c>
      <c r="F261" s="14" t="s">
        <v>2198</v>
      </c>
      <c r="H261" s="14" t="s">
        <v>2471</v>
      </c>
      <c r="I261" s="14" t="s">
        <v>3119</v>
      </c>
      <c r="J261" s="14" t="s">
        <v>4116</v>
      </c>
      <c r="M261" s="14">
        <v>817</v>
      </c>
      <c r="Q261" s="14">
        <v>60.55</v>
      </c>
      <c r="R261" s="14">
        <v>13.24</v>
      </c>
      <c r="V261" s="14">
        <f>M261-341</f>
        <v>476</v>
      </c>
      <c r="W261" s="14">
        <f t="shared" si="22"/>
        <v>0.58261933904528762</v>
      </c>
      <c r="AC261" s="14">
        <v>589</v>
      </c>
      <c r="AD261" s="34">
        <f t="shared" ref="AD261:AD279" si="23">AC261/M261</f>
        <v>0.72093023255813948</v>
      </c>
      <c r="AE261" s="35">
        <v>17.53</v>
      </c>
      <c r="AF261" s="35">
        <v>23.65</v>
      </c>
      <c r="AU261" s="14" t="s">
        <v>2447</v>
      </c>
      <c r="AW261" s="14">
        <v>436</v>
      </c>
      <c r="AX261" s="14">
        <v>0.999</v>
      </c>
      <c r="AY261" s="14">
        <v>0.999</v>
      </c>
      <c r="AZ261" s="14">
        <v>1</v>
      </c>
      <c r="BE261" s="29" t="s">
        <v>2472</v>
      </c>
      <c r="BF261" s="29">
        <v>429</v>
      </c>
      <c r="BG261" s="14">
        <v>1</v>
      </c>
      <c r="BH261" s="14">
        <v>0.999</v>
      </c>
      <c r="BI261" s="14">
        <v>1.0009999999999999</v>
      </c>
      <c r="BV261" s="14" t="s">
        <v>2472</v>
      </c>
      <c r="BW261" s="14">
        <v>225</v>
      </c>
      <c r="BZ261" s="14">
        <v>-1E-3</v>
      </c>
      <c r="CA261" s="14">
        <v>1E-3</v>
      </c>
      <c r="CW261" s="14" t="s">
        <v>1234</v>
      </c>
      <c r="CX261" s="14" t="s">
        <v>1235</v>
      </c>
      <c r="CY261" s="14">
        <v>2022</v>
      </c>
      <c r="DA261" s="14" t="s">
        <v>416</v>
      </c>
      <c r="DB261" s="14">
        <v>13</v>
      </c>
      <c r="DD261" s="14" t="s">
        <v>2186</v>
      </c>
      <c r="DE261" s="14" t="s">
        <v>1236</v>
      </c>
    </row>
    <row r="262" spans="1:109">
      <c r="A262" s="14" t="s">
        <v>1821</v>
      </c>
      <c r="C262" s="14" t="s">
        <v>1237</v>
      </c>
      <c r="D262" s="14" t="s">
        <v>1015</v>
      </c>
      <c r="E262" s="14" t="s">
        <v>725</v>
      </c>
      <c r="F262" s="14" t="s">
        <v>2337</v>
      </c>
      <c r="H262" s="14" t="s">
        <v>2471</v>
      </c>
      <c r="I262" s="14" t="s">
        <v>3119</v>
      </c>
      <c r="J262" s="14" t="s">
        <v>4116</v>
      </c>
      <c r="M262" s="14">
        <v>991</v>
      </c>
      <c r="Q262" s="14">
        <v>61.23</v>
      </c>
      <c r="R262" s="14">
        <v>12.9</v>
      </c>
      <c r="V262" s="14">
        <f>M262-415</f>
        <v>576</v>
      </c>
      <c r="W262" s="14">
        <f t="shared" si="22"/>
        <v>0.58123107971745713</v>
      </c>
      <c r="AC262" s="14">
        <v>694</v>
      </c>
      <c r="AD262" s="34">
        <f t="shared" si="23"/>
        <v>0.7003027245206862</v>
      </c>
      <c r="AE262" s="35">
        <v>17.829999999999998</v>
      </c>
      <c r="AF262" s="35">
        <v>23.69</v>
      </c>
      <c r="AU262" s="14" t="s">
        <v>2447</v>
      </c>
      <c r="AW262" s="14">
        <v>524</v>
      </c>
      <c r="AX262" s="14">
        <v>0.78400000000000003</v>
      </c>
      <c r="AY262" s="14">
        <v>0.433</v>
      </c>
      <c r="AZ262" s="14">
        <v>1.419</v>
      </c>
      <c r="BE262" s="29" t="s">
        <v>2472</v>
      </c>
      <c r="BF262" s="29">
        <v>515</v>
      </c>
      <c r="BG262" s="14">
        <v>0.33700000000000002</v>
      </c>
      <c r="BH262" s="14">
        <v>0.16600000000000001</v>
      </c>
      <c r="BI262" s="14">
        <v>0.68500000000000005</v>
      </c>
      <c r="BV262" s="14" t="s">
        <v>2472</v>
      </c>
      <c r="BW262" s="14">
        <v>254</v>
      </c>
      <c r="BZ262" s="14">
        <v>-0.45700000000000002</v>
      </c>
      <c r="CA262" s="14">
        <v>1.016</v>
      </c>
      <c r="CW262" s="14" t="s">
        <v>1234</v>
      </c>
      <c r="CX262" s="14" t="s">
        <v>1235</v>
      </c>
      <c r="CY262" s="14">
        <v>2022</v>
      </c>
      <c r="DA262" s="14" t="s">
        <v>416</v>
      </c>
      <c r="DB262" s="14">
        <v>13</v>
      </c>
      <c r="DD262" s="14" t="s">
        <v>2186</v>
      </c>
      <c r="DE262" s="14" t="s">
        <v>1236</v>
      </c>
    </row>
    <row r="263" spans="1:109">
      <c r="A263" s="14" t="s">
        <v>1821</v>
      </c>
      <c r="C263" s="14" t="s">
        <v>1237</v>
      </c>
      <c r="D263" s="14" t="s">
        <v>1015</v>
      </c>
      <c r="E263" s="14" t="s">
        <v>725</v>
      </c>
      <c r="F263" s="14" t="s">
        <v>2378</v>
      </c>
      <c r="H263" s="14" t="s">
        <v>2471</v>
      </c>
      <c r="I263" s="14" t="s">
        <v>3119</v>
      </c>
      <c r="J263" s="14" t="s">
        <v>4116</v>
      </c>
      <c r="M263" s="14">
        <v>522</v>
      </c>
      <c r="Q263" s="14">
        <v>61.27</v>
      </c>
      <c r="R263" s="14">
        <v>13.01</v>
      </c>
      <c r="V263" s="14">
        <f>M263-222</f>
        <v>300</v>
      </c>
      <c r="W263" s="14">
        <f t="shared" si="22"/>
        <v>0.57471264367816088</v>
      </c>
      <c r="AC263" s="14">
        <v>377</v>
      </c>
      <c r="AD263" s="34">
        <f t="shared" si="23"/>
        <v>0.72222222222222221</v>
      </c>
      <c r="AE263" s="35">
        <v>18.239999999999998</v>
      </c>
      <c r="AF263" s="35">
        <v>22.43</v>
      </c>
      <c r="AU263" s="14" t="s">
        <v>2447</v>
      </c>
      <c r="AW263" s="14">
        <v>291</v>
      </c>
      <c r="AX263" s="14">
        <v>0.876</v>
      </c>
      <c r="AY263" s="14">
        <v>0.59799999999999998</v>
      </c>
      <c r="AZ263" s="14">
        <v>1.284</v>
      </c>
      <c r="BE263" s="29" t="s">
        <v>2472</v>
      </c>
      <c r="BF263" s="29">
        <v>286</v>
      </c>
      <c r="BG263" s="14">
        <v>0.98699999999999999</v>
      </c>
      <c r="BH263" s="14">
        <v>0.64800000000000002</v>
      </c>
      <c r="BI263" s="14">
        <v>1.5029999999999999</v>
      </c>
      <c r="BV263" s="14" t="s">
        <v>2472</v>
      </c>
      <c r="BW263" s="14">
        <v>147</v>
      </c>
      <c r="BZ263" s="14">
        <v>-0.82</v>
      </c>
      <c r="CA263" s="14">
        <v>0.108</v>
      </c>
      <c r="CW263" s="14" t="s">
        <v>1234</v>
      </c>
      <c r="CX263" s="14" t="s">
        <v>1235</v>
      </c>
      <c r="CY263" s="14">
        <v>2022</v>
      </c>
      <c r="DA263" s="14" t="s">
        <v>416</v>
      </c>
      <c r="DB263" s="14">
        <v>13</v>
      </c>
      <c r="DD263" s="14" t="s">
        <v>2186</v>
      </c>
      <c r="DE263" s="14" t="s">
        <v>1236</v>
      </c>
    </row>
    <row r="264" spans="1:109">
      <c r="A264" s="14" t="s">
        <v>1821</v>
      </c>
      <c r="C264" s="14" t="s">
        <v>1237</v>
      </c>
      <c r="D264" s="14" t="s">
        <v>1015</v>
      </c>
      <c r="E264" s="14" t="s">
        <v>725</v>
      </c>
      <c r="F264" s="14" t="s">
        <v>2476</v>
      </c>
      <c r="H264" s="14" t="s">
        <v>2471</v>
      </c>
      <c r="I264" s="14" t="s">
        <v>3119</v>
      </c>
      <c r="J264" s="14" t="s">
        <v>4116</v>
      </c>
      <c r="M264" s="14">
        <v>704</v>
      </c>
      <c r="Q264" s="14">
        <v>60.31</v>
      </c>
      <c r="R264" s="14">
        <v>12.93</v>
      </c>
      <c r="V264" s="14">
        <f>M264-303</f>
        <v>401</v>
      </c>
      <c r="W264" s="14">
        <f t="shared" si="22"/>
        <v>0.56960227272727271</v>
      </c>
      <c r="AC264" s="14">
        <v>502</v>
      </c>
      <c r="AD264" s="34">
        <f t="shared" si="23"/>
        <v>0.71306818181818177</v>
      </c>
      <c r="AE264" s="35">
        <v>17.93</v>
      </c>
      <c r="AF264" s="35">
        <v>23.56</v>
      </c>
      <c r="AU264" s="14" t="s">
        <v>2447</v>
      </c>
      <c r="AW264" s="14">
        <v>388</v>
      </c>
      <c r="AX264" s="14">
        <v>0.996</v>
      </c>
      <c r="AY264" s="14">
        <v>0.99199999999999999</v>
      </c>
      <c r="AZ264" s="14">
        <v>1</v>
      </c>
      <c r="BE264" s="29" t="s">
        <v>2472</v>
      </c>
      <c r="BF264" s="29">
        <v>382</v>
      </c>
      <c r="BG264" s="14">
        <v>0.998</v>
      </c>
      <c r="BH264" s="14">
        <v>0.99399999999999999</v>
      </c>
      <c r="BI264" s="14">
        <v>1.0009999999999999</v>
      </c>
      <c r="BV264" s="14" t="s">
        <v>2472</v>
      </c>
      <c r="BW264" s="14">
        <v>183</v>
      </c>
      <c r="BZ264" s="14">
        <v>-5.0000000000000001E-3</v>
      </c>
      <c r="CA264" s="14">
        <v>3.0000000000000001E-3</v>
      </c>
      <c r="CW264" s="14" t="s">
        <v>1234</v>
      </c>
      <c r="CX264" s="14" t="s">
        <v>1235</v>
      </c>
      <c r="CY264" s="14">
        <v>2022</v>
      </c>
      <c r="DA264" s="14" t="s">
        <v>416</v>
      </c>
      <c r="DB264" s="14">
        <v>13</v>
      </c>
      <c r="DD264" s="14" t="s">
        <v>2186</v>
      </c>
      <c r="DE264" s="14" t="s">
        <v>1236</v>
      </c>
    </row>
    <row r="265" spans="1:109">
      <c r="A265" s="14" t="s">
        <v>2121</v>
      </c>
      <c r="C265" s="14" t="s">
        <v>2073</v>
      </c>
      <c r="D265" s="14" t="s">
        <v>2038</v>
      </c>
      <c r="E265" s="14" t="s">
        <v>2478</v>
      </c>
      <c r="F265" s="14" t="s">
        <v>858</v>
      </c>
      <c r="H265" s="14" t="s">
        <v>855</v>
      </c>
      <c r="I265" s="14" t="s">
        <v>4068</v>
      </c>
      <c r="J265" s="14" t="s">
        <v>585</v>
      </c>
      <c r="K265" s="14" t="s">
        <v>2477</v>
      </c>
      <c r="M265" s="14">
        <v>19</v>
      </c>
      <c r="N265" s="14">
        <v>0</v>
      </c>
      <c r="O265" s="34">
        <v>0</v>
      </c>
      <c r="P265" s="14">
        <v>0</v>
      </c>
      <c r="Q265" s="14">
        <v>66.42</v>
      </c>
      <c r="R265" s="14">
        <v>7.34</v>
      </c>
      <c r="V265" s="14">
        <v>11</v>
      </c>
      <c r="W265" s="14">
        <f t="shared" si="22"/>
        <v>0.57894736842105265</v>
      </c>
      <c r="AC265" s="14">
        <v>11</v>
      </c>
      <c r="AD265" s="34">
        <f t="shared" si="23"/>
        <v>0.57894736842105265</v>
      </c>
      <c r="AG265" s="35">
        <v>29</v>
      </c>
      <c r="CW265" s="14" t="s">
        <v>2068</v>
      </c>
      <c r="CX265" s="14" t="s">
        <v>2069</v>
      </c>
      <c r="CY265" s="14">
        <v>2019</v>
      </c>
      <c r="CZ265" s="36" t="s">
        <v>25</v>
      </c>
      <c r="DA265" s="14" t="s">
        <v>2070</v>
      </c>
      <c r="DB265" s="14">
        <v>124</v>
      </c>
      <c r="DD265" s="14" t="s">
        <v>2071</v>
      </c>
      <c r="DE265" s="14" t="s">
        <v>2072</v>
      </c>
    </row>
    <row r="266" spans="1:109">
      <c r="A266" s="14" t="s">
        <v>1822</v>
      </c>
      <c r="C266" s="14" t="s">
        <v>1242</v>
      </c>
      <c r="D266" s="14" t="s">
        <v>2481</v>
      </c>
      <c r="E266" s="14" t="s">
        <v>673</v>
      </c>
      <c r="F266" s="14" t="s">
        <v>2482</v>
      </c>
      <c r="H266" s="14" t="s">
        <v>2483</v>
      </c>
      <c r="I266" s="14" t="s">
        <v>4069</v>
      </c>
      <c r="J266" s="14" t="s">
        <v>2484</v>
      </c>
      <c r="M266" s="14">
        <v>114</v>
      </c>
      <c r="S266" s="14">
        <v>68</v>
      </c>
      <c r="V266" s="14">
        <v>50</v>
      </c>
      <c r="W266" s="14">
        <f t="shared" si="22"/>
        <v>0.43859649122807015</v>
      </c>
      <c r="AC266" s="14">
        <v>42</v>
      </c>
      <c r="AD266" s="34">
        <f t="shared" si="23"/>
        <v>0.36842105263157893</v>
      </c>
      <c r="CV266" s="14" t="s">
        <v>2487</v>
      </c>
      <c r="CW266" s="14" t="s">
        <v>1238</v>
      </c>
      <c r="CX266" s="14" t="s">
        <v>1239</v>
      </c>
      <c r="CY266" s="14">
        <v>2020</v>
      </c>
      <c r="DA266" s="14" t="s">
        <v>135</v>
      </c>
      <c r="DB266" s="14">
        <v>2</v>
      </c>
      <c r="DC266" s="14">
        <v>2</v>
      </c>
      <c r="DD266" s="14" t="s">
        <v>1240</v>
      </c>
      <c r="DE266" s="14" t="s">
        <v>1241</v>
      </c>
    </row>
    <row r="267" spans="1:109">
      <c r="A267" s="14" t="s">
        <v>1824</v>
      </c>
      <c r="C267" s="14" t="s">
        <v>2493</v>
      </c>
      <c r="D267" s="14" t="s">
        <v>818</v>
      </c>
      <c r="E267" s="14" t="s">
        <v>725</v>
      </c>
      <c r="F267" s="14" t="s">
        <v>2337</v>
      </c>
      <c r="H267" s="14" t="s">
        <v>629</v>
      </c>
      <c r="I267" s="14" t="s">
        <v>3122</v>
      </c>
      <c r="K267" s="14" t="s">
        <v>2492</v>
      </c>
      <c r="M267" s="14">
        <v>69</v>
      </c>
      <c r="Q267" s="14">
        <v>58.36</v>
      </c>
      <c r="R267" s="14">
        <v>9.85</v>
      </c>
      <c r="V267" s="14">
        <v>53</v>
      </c>
      <c r="W267" s="14">
        <f t="shared" si="22"/>
        <v>0.76811594202898548</v>
      </c>
      <c r="X267" s="14">
        <v>37.590000000000003</v>
      </c>
      <c r="Y267" s="14">
        <v>5.49</v>
      </c>
      <c r="AC267" s="14">
        <v>53</v>
      </c>
      <c r="AD267" s="34">
        <f t="shared" si="23"/>
        <v>0.76811594202898548</v>
      </c>
      <c r="AE267" s="35">
        <v>12.84</v>
      </c>
      <c r="AF267" s="35">
        <v>9.18</v>
      </c>
      <c r="CJ267" s="14" t="s">
        <v>2497</v>
      </c>
      <c r="CW267" s="14" t="s">
        <v>1243</v>
      </c>
      <c r="CX267" s="14" t="s">
        <v>1244</v>
      </c>
      <c r="CY267" s="14">
        <v>2021</v>
      </c>
      <c r="CZ267" s="36" t="s">
        <v>44</v>
      </c>
      <c r="DA267" s="14" t="s">
        <v>349</v>
      </c>
      <c r="DB267" s="14">
        <v>28</v>
      </c>
      <c r="DC267" s="14">
        <v>11</v>
      </c>
      <c r="DD267" s="14" t="s">
        <v>1245</v>
      </c>
      <c r="DE267" s="14" t="s">
        <v>1246</v>
      </c>
    </row>
    <row r="268" spans="1:109" ht="20">
      <c r="A268" s="14" t="s">
        <v>1824</v>
      </c>
      <c r="C268" s="14" t="s">
        <v>2495</v>
      </c>
      <c r="D268" s="14" t="s">
        <v>818</v>
      </c>
      <c r="E268" s="14" t="s">
        <v>725</v>
      </c>
      <c r="F268" s="14" t="s">
        <v>2337</v>
      </c>
      <c r="H268" s="14" t="s">
        <v>2498</v>
      </c>
      <c r="I268" s="14" t="s">
        <v>3123</v>
      </c>
      <c r="K268" s="14" t="s">
        <v>2492</v>
      </c>
      <c r="M268" s="14">
        <v>107</v>
      </c>
      <c r="V268" s="14">
        <v>78</v>
      </c>
      <c r="W268" s="14">
        <f t="shared" si="22"/>
        <v>0.7289719626168224</v>
      </c>
      <c r="AC268" s="14">
        <v>81</v>
      </c>
      <c r="AD268" s="34">
        <f t="shared" si="23"/>
        <v>0.7570093457943925</v>
      </c>
      <c r="AU268" s="14" t="s">
        <v>2447</v>
      </c>
      <c r="BE268" s="29" t="s">
        <v>2496</v>
      </c>
      <c r="BF268" s="29">
        <v>71</v>
      </c>
      <c r="BG268" s="14">
        <v>0.94</v>
      </c>
      <c r="BH268" s="14">
        <v>0.9</v>
      </c>
      <c r="BI268" s="14">
        <v>0.98</v>
      </c>
      <c r="CC268" s="14" t="s">
        <v>2268</v>
      </c>
      <c r="CG268" s="14">
        <v>0.44700000000000001</v>
      </c>
      <c r="CJ268" s="13" t="s">
        <v>2497</v>
      </c>
      <c r="CK268" s="14">
        <v>-0.01</v>
      </c>
      <c r="CN268" s="14">
        <v>0.92100000000000004</v>
      </c>
      <c r="CW268" s="14" t="s">
        <v>1243</v>
      </c>
      <c r="CX268" s="14" t="s">
        <v>1244</v>
      </c>
      <c r="CY268" s="14">
        <v>2021</v>
      </c>
      <c r="CZ268" s="36" t="s">
        <v>44</v>
      </c>
      <c r="DA268" s="14" t="s">
        <v>349</v>
      </c>
      <c r="DB268" s="14">
        <v>28</v>
      </c>
      <c r="DC268" s="14">
        <v>11</v>
      </c>
      <c r="DD268" s="14" t="s">
        <v>1245</v>
      </c>
      <c r="DE268" s="14" t="s">
        <v>1246</v>
      </c>
    </row>
    <row r="269" spans="1:109" ht="20">
      <c r="A269" s="14" t="s">
        <v>1824</v>
      </c>
      <c r="C269" s="14" t="s">
        <v>2494</v>
      </c>
      <c r="D269" s="14" t="s">
        <v>818</v>
      </c>
      <c r="E269" s="14" t="s">
        <v>725</v>
      </c>
      <c r="F269" s="14" t="s">
        <v>2337</v>
      </c>
      <c r="H269" s="14" t="s">
        <v>2483</v>
      </c>
      <c r="I269" s="14" t="s">
        <v>3121</v>
      </c>
      <c r="K269" s="14" t="s">
        <v>2492</v>
      </c>
      <c r="M269" s="14">
        <v>38</v>
      </c>
      <c r="Q269" s="14">
        <v>59.19</v>
      </c>
      <c r="R269" s="14">
        <v>10.56</v>
      </c>
      <c r="V269" s="14">
        <v>25</v>
      </c>
      <c r="W269" s="14">
        <f t="shared" si="22"/>
        <v>0.65789473684210531</v>
      </c>
      <c r="X269" s="14">
        <v>38.71</v>
      </c>
      <c r="Y269" s="14">
        <v>4.78</v>
      </c>
      <c r="AC269" s="14">
        <v>28</v>
      </c>
      <c r="AD269" s="34">
        <f t="shared" si="23"/>
        <v>0.73684210526315785</v>
      </c>
      <c r="AE269" s="35">
        <v>16.190000000000001</v>
      </c>
      <c r="AF269" s="35">
        <v>21.7</v>
      </c>
      <c r="CJ269" s="13" t="s">
        <v>2497</v>
      </c>
      <c r="CW269" s="14" t="s">
        <v>1243</v>
      </c>
      <c r="CX269" s="14" t="s">
        <v>1244</v>
      </c>
      <c r="CY269" s="14">
        <v>2021</v>
      </c>
      <c r="CZ269" s="36" t="s">
        <v>44</v>
      </c>
      <c r="DA269" s="14" t="s">
        <v>349</v>
      </c>
      <c r="DB269" s="14">
        <v>28</v>
      </c>
      <c r="DC269" s="14">
        <v>11</v>
      </c>
      <c r="DD269" s="14" t="s">
        <v>1245</v>
      </c>
      <c r="DE269" s="14" t="s">
        <v>1246</v>
      </c>
    </row>
    <row r="270" spans="1:109">
      <c r="A270" s="14" t="s">
        <v>1823</v>
      </c>
      <c r="B270" s="14" t="s">
        <v>1698</v>
      </c>
      <c r="C270" s="14" t="s">
        <v>240</v>
      </c>
      <c r="D270" s="14" t="s">
        <v>832</v>
      </c>
      <c r="E270" s="14" t="s">
        <v>674</v>
      </c>
      <c r="F270" s="14" t="s">
        <v>814</v>
      </c>
      <c r="H270" s="14" t="s">
        <v>629</v>
      </c>
      <c r="I270" s="14" t="s">
        <v>3120</v>
      </c>
      <c r="J270" s="14" t="s">
        <v>585</v>
      </c>
      <c r="L270" s="14" t="s">
        <v>641</v>
      </c>
      <c r="M270" s="14">
        <v>62</v>
      </c>
      <c r="Q270" s="14">
        <v>60.91</v>
      </c>
      <c r="R270" s="14">
        <v>8.26</v>
      </c>
      <c r="V270" s="14">
        <v>40</v>
      </c>
      <c r="W270" s="14">
        <f t="shared" si="22"/>
        <v>0.64516129032258063</v>
      </c>
      <c r="X270" s="14">
        <v>33.9</v>
      </c>
      <c r="Y270" s="14">
        <v>7.04</v>
      </c>
      <c r="AC270" s="14">
        <v>43</v>
      </c>
      <c r="AD270" s="34">
        <f t="shared" si="23"/>
        <v>0.69354838709677424</v>
      </c>
      <c r="AE270" s="35">
        <v>27.03</v>
      </c>
      <c r="AF270" s="35">
        <v>17.7</v>
      </c>
      <c r="BE270" s="29" t="s">
        <v>2489</v>
      </c>
      <c r="BG270" s="14">
        <v>0.98099999999999998</v>
      </c>
      <c r="BH270" s="14">
        <v>0.96299999999999997</v>
      </c>
      <c r="BI270" s="14">
        <v>1</v>
      </c>
      <c r="BN270" s="14" t="s">
        <v>2270</v>
      </c>
      <c r="BO270" s="14" t="s">
        <v>2490</v>
      </c>
      <c r="BP270" s="14" t="s">
        <v>2490</v>
      </c>
      <c r="BQ270" s="14">
        <v>0.21</v>
      </c>
      <c r="BS270" s="14">
        <v>3.6999999999999998E-2</v>
      </c>
      <c r="BT270" s="14">
        <v>0.38200000000000001</v>
      </c>
      <c r="BU270" s="14">
        <v>1.7000000000000001E-2</v>
      </c>
      <c r="CC270" s="14">
        <v>0.19400000000000001</v>
      </c>
      <c r="CG270" s="14">
        <v>2.8000000000000001E-2</v>
      </c>
      <c r="CV270" s="14" t="s">
        <v>2491</v>
      </c>
      <c r="CW270" s="14" t="s">
        <v>236</v>
      </c>
      <c r="CX270" s="14" t="s">
        <v>237</v>
      </c>
      <c r="CY270" s="14">
        <v>2022</v>
      </c>
      <c r="CZ270" s="36" t="s">
        <v>253</v>
      </c>
      <c r="DA270" s="14" t="s">
        <v>64</v>
      </c>
      <c r="DB270" s="14">
        <v>23</v>
      </c>
      <c r="DC270" s="14">
        <v>45293</v>
      </c>
      <c r="DD270" s="14" t="s">
        <v>238</v>
      </c>
      <c r="DE270" s="14" t="s">
        <v>239</v>
      </c>
    </row>
    <row r="271" spans="1:109">
      <c r="A271" s="14" t="s">
        <v>1825</v>
      </c>
      <c r="C271" s="14" t="s">
        <v>1251</v>
      </c>
      <c r="D271" s="14" t="s">
        <v>827</v>
      </c>
      <c r="E271" s="14" t="s">
        <v>674</v>
      </c>
      <c r="F271" s="14" t="s">
        <v>2499</v>
      </c>
      <c r="H271" s="14" t="s">
        <v>629</v>
      </c>
      <c r="I271" s="14" t="s">
        <v>3120</v>
      </c>
      <c r="J271" s="14" t="s">
        <v>585</v>
      </c>
      <c r="L271" s="14" t="s">
        <v>928</v>
      </c>
      <c r="M271" s="14">
        <v>46</v>
      </c>
      <c r="Q271" s="14">
        <v>59.2</v>
      </c>
      <c r="R271" s="14">
        <v>7.94</v>
      </c>
      <c r="V271" s="14">
        <v>31</v>
      </c>
      <c r="W271" s="14">
        <f t="shared" si="22"/>
        <v>0.67391304347826086</v>
      </c>
      <c r="X271" s="14">
        <v>37</v>
      </c>
      <c r="Y271" s="14">
        <v>5.64</v>
      </c>
      <c r="AC271" s="14">
        <v>35</v>
      </c>
      <c r="AD271" s="34">
        <f t="shared" si="23"/>
        <v>0.76086956521739135</v>
      </c>
      <c r="AG271" s="35">
        <f>41.1/4</f>
        <v>10.275</v>
      </c>
      <c r="AH271" s="35">
        <f>30.3/4</f>
        <v>7.5750000000000002</v>
      </c>
      <c r="AI271" s="35">
        <f>63/4</f>
        <v>15.75</v>
      </c>
      <c r="AU271" s="14" t="s">
        <v>2447</v>
      </c>
      <c r="AV271" s="14" t="s">
        <v>2500</v>
      </c>
      <c r="AX271" s="14">
        <v>1.375</v>
      </c>
      <c r="AY271" s="14">
        <v>1.002</v>
      </c>
      <c r="AZ271" s="14">
        <v>1.8859999999999999</v>
      </c>
      <c r="BN271" s="14" t="s">
        <v>2270</v>
      </c>
      <c r="BO271" s="14" t="s">
        <v>2500</v>
      </c>
      <c r="BP271" s="14" t="s">
        <v>2500</v>
      </c>
      <c r="BQ271" s="14">
        <v>1.2E-2</v>
      </c>
      <c r="BS271" s="14">
        <v>-0.17</v>
      </c>
      <c r="BT271" s="14">
        <v>-0.214</v>
      </c>
      <c r="BU271" s="14">
        <v>0.91</v>
      </c>
      <c r="CC271" s="14">
        <v>0.108</v>
      </c>
      <c r="CE271" s="14">
        <v>-0.126</v>
      </c>
      <c r="CF271" s="14">
        <v>0.33400000000000002</v>
      </c>
      <c r="CG271" s="14">
        <v>0.30099999999999999</v>
      </c>
      <c r="CJ271" s="14" t="s">
        <v>2503</v>
      </c>
      <c r="CK271" s="14">
        <v>-1.6E-2</v>
      </c>
      <c r="CL271" s="14">
        <v>-0.23899999999999999</v>
      </c>
      <c r="CM271" s="14">
        <v>0.20200000000000001</v>
      </c>
      <c r="CN271" s="14">
        <v>0.872</v>
      </c>
      <c r="CW271" s="14" t="s">
        <v>1247</v>
      </c>
      <c r="CX271" s="14" t="s">
        <v>1248</v>
      </c>
      <c r="CY271" s="14">
        <v>2024</v>
      </c>
      <c r="CZ271" s="36" t="s">
        <v>73</v>
      </c>
      <c r="DA271" s="14" t="s">
        <v>19</v>
      </c>
      <c r="DB271" s="14">
        <v>31</v>
      </c>
      <c r="DC271" s="14">
        <v>1</v>
      </c>
      <c r="DD271" s="14" t="s">
        <v>1249</v>
      </c>
      <c r="DE271" s="14" t="s">
        <v>1250</v>
      </c>
    </row>
    <row r="272" spans="1:109">
      <c r="A272" s="14" t="s">
        <v>1825</v>
      </c>
      <c r="C272" s="14" t="s">
        <v>1251</v>
      </c>
      <c r="D272" s="14" t="s">
        <v>827</v>
      </c>
      <c r="E272" s="14" t="s">
        <v>674</v>
      </c>
      <c r="F272" s="14" t="s">
        <v>2506</v>
      </c>
      <c r="H272" s="14" t="s">
        <v>629</v>
      </c>
      <c r="I272" s="14" t="s">
        <v>3120</v>
      </c>
      <c r="J272" s="14" t="s">
        <v>585</v>
      </c>
      <c r="L272" s="14" t="s">
        <v>928</v>
      </c>
      <c r="M272" s="14">
        <v>46</v>
      </c>
      <c r="Q272" s="14">
        <v>59.2</v>
      </c>
      <c r="R272" s="14">
        <v>7.94</v>
      </c>
      <c r="V272" s="14">
        <v>31</v>
      </c>
      <c r="W272" s="14">
        <f t="shared" si="22"/>
        <v>0.67391304347826086</v>
      </c>
      <c r="X272" s="14">
        <v>37</v>
      </c>
      <c r="Y272" s="14">
        <v>5.64</v>
      </c>
      <c r="AC272" s="14">
        <v>35</v>
      </c>
      <c r="AD272" s="34">
        <f t="shared" si="23"/>
        <v>0.76086956521739135</v>
      </c>
      <c r="AG272" s="35">
        <f>41.1/4</f>
        <v>10.275</v>
      </c>
      <c r="AH272" s="35">
        <f>30.3/4</f>
        <v>7.5750000000000002</v>
      </c>
      <c r="AI272" s="35">
        <f>63/4</f>
        <v>15.75</v>
      </c>
      <c r="AU272" s="14" t="s">
        <v>2447</v>
      </c>
      <c r="AV272" s="14" t="s">
        <v>2500</v>
      </c>
      <c r="AX272" s="14">
        <v>0.57599999999999996</v>
      </c>
      <c r="AY272" s="14">
        <v>0.20200000000000001</v>
      </c>
      <c r="AZ272" s="14">
        <v>1.6479999999999999</v>
      </c>
      <c r="BN272" s="14" t="s">
        <v>2270</v>
      </c>
      <c r="BO272" s="14" t="s">
        <v>2500</v>
      </c>
      <c r="BP272" s="14" t="s">
        <v>2500</v>
      </c>
      <c r="BQ272" s="14">
        <v>5.8999999999999997E-2</v>
      </c>
      <c r="BS272" s="14">
        <v>-1.667</v>
      </c>
      <c r="BT272" s="14">
        <v>0.29399999999999998</v>
      </c>
      <c r="BU272" s="14">
        <v>0.56399999999999995</v>
      </c>
      <c r="CC272" s="14">
        <v>-0.19700000000000001</v>
      </c>
      <c r="CE272" s="14">
        <v>-0.41699999999999998</v>
      </c>
      <c r="CF272" s="14">
        <v>4.1000000000000002E-2</v>
      </c>
      <c r="CG272" s="14">
        <v>5.8000000000000003E-2</v>
      </c>
      <c r="CJ272" s="14" t="s">
        <v>2503</v>
      </c>
      <c r="CK272" s="14">
        <v>-2.7E-2</v>
      </c>
      <c r="CL272" s="14">
        <v>-2.0400000000000001E-2</v>
      </c>
      <c r="CM272" s="14">
        <v>0.154</v>
      </c>
      <c r="CN272" s="14">
        <v>0.79100000000000004</v>
      </c>
      <c r="CW272" s="14" t="s">
        <v>1247</v>
      </c>
      <c r="CX272" s="14" t="s">
        <v>1248</v>
      </c>
      <c r="CY272" s="14">
        <v>2024</v>
      </c>
      <c r="CZ272" s="36" t="s">
        <v>73</v>
      </c>
      <c r="DA272" s="14" t="s">
        <v>19</v>
      </c>
      <c r="DB272" s="14">
        <v>31</v>
      </c>
      <c r="DC272" s="14">
        <v>1</v>
      </c>
      <c r="DD272" s="14" t="s">
        <v>1249</v>
      </c>
      <c r="DE272" s="14" t="s">
        <v>1250</v>
      </c>
    </row>
    <row r="273" spans="1:109">
      <c r="A273" s="14" t="s">
        <v>1825</v>
      </c>
      <c r="C273" s="14" t="s">
        <v>1251</v>
      </c>
      <c r="D273" s="14" t="s">
        <v>827</v>
      </c>
      <c r="E273" s="14" t="s">
        <v>674</v>
      </c>
      <c r="F273" s="14" t="s">
        <v>2507</v>
      </c>
      <c r="H273" s="14" t="s">
        <v>629</v>
      </c>
      <c r="I273" s="14" t="s">
        <v>3120</v>
      </c>
      <c r="J273" s="14" t="s">
        <v>585</v>
      </c>
      <c r="M273" s="14">
        <v>46</v>
      </c>
      <c r="Q273" s="14">
        <v>59.2</v>
      </c>
      <c r="R273" s="14">
        <v>7.94</v>
      </c>
      <c r="V273" s="14">
        <v>31</v>
      </c>
      <c r="W273" s="14">
        <f t="shared" si="22"/>
        <v>0.67391304347826086</v>
      </c>
      <c r="X273" s="14">
        <v>37</v>
      </c>
      <c r="Y273" s="14">
        <v>5.64</v>
      </c>
      <c r="AC273" s="14">
        <v>35</v>
      </c>
      <c r="AD273" s="34">
        <f t="shared" si="23"/>
        <v>0.76086956521739135</v>
      </c>
      <c r="AG273" s="35">
        <f>41.1/4</f>
        <v>10.275</v>
      </c>
      <c r="AH273" s="35">
        <f>30.3/4</f>
        <v>7.5750000000000002</v>
      </c>
      <c r="AI273" s="35">
        <f>63/4</f>
        <v>15.75</v>
      </c>
      <c r="AU273" s="14" t="s">
        <v>2447</v>
      </c>
      <c r="AX273" s="14">
        <v>0.82799999999999996</v>
      </c>
      <c r="AY273" s="14">
        <v>0.68500000000000005</v>
      </c>
      <c r="AZ273" s="14">
        <v>1</v>
      </c>
      <c r="BN273" s="14" t="s">
        <v>2270</v>
      </c>
      <c r="BQ273" s="14">
        <v>2.5000000000000001E-2</v>
      </c>
      <c r="BS273" s="14">
        <v>-0.192</v>
      </c>
      <c r="BT273" s="14">
        <v>0.23899999999999999</v>
      </c>
      <c r="BU273" s="14">
        <v>0.80600000000000005</v>
      </c>
      <c r="CC273" s="14">
        <v>-0.17899999999999999</v>
      </c>
      <c r="CE273" s="14">
        <v>-0.38800000000000001</v>
      </c>
      <c r="CF273" s="14">
        <v>7.0000000000000007E-2</v>
      </c>
      <c r="CG273" s="14">
        <v>8.5999999999999993E-2</v>
      </c>
      <c r="CJ273" s="14" t="s">
        <v>2503</v>
      </c>
      <c r="CK273" s="14">
        <v>8.9999999999999993E-3</v>
      </c>
      <c r="CL273" s="14">
        <v>-0.19500000000000001</v>
      </c>
      <c r="CM273" s="14">
        <v>0.22800000000000001</v>
      </c>
      <c r="CN273" s="14">
        <v>0.93200000000000005</v>
      </c>
      <c r="CW273" s="14" t="s">
        <v>1247</v>
      </c>
      <c r="CX273" s="14" t="s">
        <v>1248</v>
      </c>
      <c r="CY273" s="14">
        <v>2024</v>
      </c>
      <c r="CZ273" s="36" t="s">
        <v>73</v>
      </c>
      <c r="DA273" s="14" t="s">
        <v>19</v>
      </c>
      <c r="DB273" s="14">
        <v>31</v>
      </c>
      <c r="DC273" s="14">
        <v>1</v>
      </c>
      <c r="DD273" s="14" t="s">
        <v>1249</v>
      </c>
      <c r="DE273" s="14" t="s">
        <v>1250</v>
      </c>
    </row>
    <row r="274" spans="1:109">
      <c r="A274" s="14" t="s">
        <v>1825</v>
      </c>
      <c r="C274" s="14" t="s">
        <v>1251</v>
      </c>
      <c r="D274" s="14" t="s">
        <v>827</v>
      </c>
      <c r="E274" s="14" t="s">
        <v>674</v>
      </c>
      <c r="F274" s="14" t="s">
        <v>683</v>
      </c>
      <c r="H274" s="14" t="s">
        <v>629</v>
      </c>
      <c r="I274" s="14" t="s">
        <v>4051</v>
      </c>
      <c r="J274" s="14" t="s">
        <v>585</v>
      </c>
      <c r="M274" s="14">
        <v>46</v>
      </c>
      <c r="Q274" s="14">
        <v>59.2</v>
      </c>
      <c r="R274" s="14">
        <v>7.94</v>
      </c>
      <c r="V274" s="14">
        <v>31</v>
      </c>
      <c r="W274" s="14">
        <f t="shared" si="22"/>
        <v>0.67391304347826086</v>
      </c>
      <c r="X274" s="14">
        <v>37</v>
      </c>
      <c r="Y274" s="14">
        <v>5.64</v>
      </c>
      <c r="AC274" s="14">
        <v>35</v>
      </c>
      <c r="AD274" s="34">
        <f t="shared" si="23"/>
        <v>0.76086956521739135</v>
      </c>
      <c r="AG274" s="35">
        <f>41.1/4</f>
        <v>10.275</v>
      </c>
      <c r="AH274" s="35">
        <f>30.3/4</f>
        <v>7.5750000000000002</v>
      </c>
      <c r="AI274" s="35">
        <f>63/4</f>
        <v>15.75</v>
      </c>
      <c r="AU274" s="14" t="s">
        <v>2447</v>
      </c>
      <c r="AV274" s="14" t="s">
        <v>2500</v>
      </c>
      <c r="AX274" s="14">
        <v>1.018</v>
      </c>
      <c r="AY274" s="14">
        <v>0.745</v>
      </c>
      <c r="AZ274" s="14">
        <v>1.296</v>
      </c>
      <c r="BN274" s="14" t="s">
        <v>2270</v>
      </c>
      <c r="BO274" s="14" t="s">
        <v>2500</v>
      </c>
      <c r="BP274" s="14" t="s">
        <v>2500</v>
      </c>
      <c r="BQ274" s="14">
        <v>0.158</v>
      </c>
      <c r="BS274" s="14">
        <v>-8.4000000000000005E-2</v>
      </c>
      <c r="BT274" s="14">
        <v>0.35199999999999998</v>
      </c>
      <c r="BU274" s="14">
        <v>0.13200000000000001</v>
      </c>
      <c r="CC274" s="14">
        <v>-0.28399999999999997</v>
      </c>
      <c r="CE274" s="14">
        <v>-0.48199999999999998</v>
      </c>
      <c r="CF274" s="14">
        <v>-6.5000000000000002E-2</v>
      </c>
      <c r="CG274" s="14">
        <v>8.0000000000000002E-3</v>
      </c>
      <c r="CJ274" s="14" t="s">
        <v>2503</v>
      </c>
      <c r="CK274" s="14">
        <v>3.7999999999999999E-2</v>
      </c>
      <c r="CL274" s="14">
        <v>-0.191</v>
      </c>
      <c r="CM274" s="14">
        <v>0.26900000000000002</v>
      </c>
      <c r="CN274" s="14">
        <v>0.71599999999999997</v>
      </c>
      <c r="CW274" s="14" t="s">
        <v>1247</v>
      </c>
      <c r="CX274" s="14" t="s">
        <v>1248</v>
      </c>
      <c r="CY274" s="14">
        <v>2024</v>
      </c>
      <c r="CZ274" s="36" t="s">
        <v>73</v>
      </c>
      <c r="DA274" s="14" t="s">
        <v>19</v>
      </c>
      <c r="DB274" s="14">
        <v>31</v>
      </c>
      <c r="DC274" s="14">
        <v>1</v>
      </c>
      <c r="DD274" s="14" t="s">
        <v>1249</v>
      </c>
      <c r="DE274" s="14" t="s">
        <v>1250</v>
      </c>
    </row>
    <row r="275" spans="1:109">
      <c r="A275" s="14" t="s">
        <v>1826</v>
      </c>
      <c r="C275" s="14" t="s">
        <v>1257</v>
      </c>
      <c r="D275" s="14" t="s">
        <v>898</v>
      </c>
      <c r="E275" s="14" t="s">
        <v>673</v>
      </c>
      <c r="F275" s="14" t="s">
        <v>2511</v>
      </c>
      <c r="H275" s="14" t="s">
        <v>712</v>
      </c>
      <c r="I275" s="14" t="s">
        <v>3124</v>
      </c>
      <c r="J275" s="14" t="s">
        <v>902</v>
      </c>
      <c r="L275" s="14" t="s">
        <v>2512</v>
      </c>
      <c r="M275" s="14">
        <v>191</v>
      </c>
      <c r="Q275" s="14">
        <v>51.59</v>
      </c>
      <c r="R275" s="14">
        <v>11.52</v>
      </c>
      <c r="V275" s="14">
        <v>94</v>
      </c>
      <c r="W275" s="14">
        <f t="shared" si="22"/>
        <v>0.49214659685863876</v>
      </c>
      <c r="X275" s="14">
        <v>39.28</v>
      </c>
      <c r="Y275" s="14">
        <v>5.0999999999999996</v>
      </c>
      <c r="AC275" s="14">
        <f>191-38</f>
        <v>153</v>
      </c>
      <c r="AD275" s="34">
        <f t="shared" si="23"/>
        <v>0.80104712041884818</v>
      </c>
      <c r="AE275" s="35">
        <v>17.98</v>
      </c>
      <c r="AF275" s="35">
        <v>19.12</v>
      </c>
      <c r="AO275" s="35">
        <v>42.5</v>
      </c>
      <c r="AP275" s="35">
        <v>23.89</v>
      </c>
      <c r="CG275" s="14">
        <v>7.5999999999999998E-2</v>
      </c>
      <c r="CW275" s="14" t="s">
        <v>1252</v>
      </c>
      <c r="CX275" s="14" t="s">
        <v>1253</v>
      </c>
      <c r="CY275" s="14">
        <v>2024</v>
      </c>
      <c r="CZ275" s="36" t="s">
        <v>12</v>
      </c>
      <c r="DA275" s="14" t="s">
        <v>1254</v>
      </c>
      <c r="DB275" s="14">
        <v>29</v>
      </c>
      <c r="DC275" s="14">
        <v>2</v>
      </c>
      <c r="DD275" s="14" t="s">
        <v>1255</v>
      </c>
      <c r="DE275" s="14" t="s">
        <v>1256</v>
      </c>
    </row>
    <row r="276" spans="1:109">
      <c r="A276" s="14" t="s">
        <v>1827</v>
      </c>
      <c r="B276" s="14" t="s">
        <v>1699</v>
      </c>
      <c r="C276" s="14" t="s">
        <v>245</v>
      </c>
      <c r="D276" s="14" t="s">
        <v>834</v>
      </c>
      <c r="E276" s="14" t="s">
        <v>4165</v>
      </c>
      <c r="F276" s="14" t="s">
        <v>675</v>
      </c>
      <c r="H276" s="14" t="s">
        <v>584</v>
      </c>
      <c r="I276" s="14" t="s">
        <v>4052</v>
      </c>
      <c r="J276" s="14" t="s">
        <v>652</v>
      </c>
      <c r="M276" s="14">
        <v>108</v>
      </c>
      <c r="N276" s="14">
        <v>17</v>
      </c>
      <c r="O276" s="34">
        <v>0.157407407407407</v>
      </c>
      <c r="P276" s="14">
        <v>10</v>
      </c>
      <c r="Q276" s="14">
        <v>56.9</v>
      </c>
      <c r="R276" s="14">
        <v>10</v>
      </c>
      <c r="V276" s="14">
        <v>60</v>
      </c>
      <c r="W276" s="14">
        <f t="shared" si="22"/>
        <v>0.55555555555555558</v>
      </c>
      <c r="X276" s="14">
        <v>36.700000000000003</v>
      </c>
      <c r="Y276" s="14">
        <v>6.9</v>
      </c>
      <c r="AC276" s="14">
        <v>86</v>
      </c>
      <c r="AD276" s="34">
        <f t="shared" si="23"/>
        <v>0.79629629629629628</v>
      </c>
      <c r="AU276" s="14" t="s">
        <v>2447</v>
      </c>
      <c r="AV276" s="14" t="s">
        <v>2380</v>
      </c>
      <c r="BE276" s="29" t="s">
        <v>2514</v>
      </c>
      <c r="BJ276" s="29" t="s">
        <v>2674</v>
      </c>
      <c r="BK276" s="14">
        <v>9.99</v>
      </c>
      <c r="BL276" s="14">
        <v>4.75</v>
      </c>
      <c r="BM276" s="14">
        <v>21</v>
      </c>
      <c r="CV276" s="14" t="s">
        <v>2513</v>
      </c>
      <c r="CW276" s="14" t="s">
        <v>241</v>
      </c>
      <c r="CX276" s="14" t="s">
        <v>242</v>
      </c>
      <c r="CY276" s="14">
        <v>2020</v>
      </c>
      <c r="CZ276" s="36" t="s">
        <v>53</v>
      </c>
      <c r="DA276" s="14" t="s">
        <v>26</v>
      </c>
      <c r="DB276" s="14">
        <v>7</v>
      </c>
      <c r="DC276" s="14">
        <v>7</v>
      </c>
      <c r="DD276" s="14" t="s">
        <v>243</v>
      </c>
      <c r="DE276" s="14" t="s">
        <v>244</v>
      </c>
    </row>
    <row r="277" spans="1:109">
      <c r="A277" s="14" t="s">
        <v>1827</v>
      </c>
      <c r="B277" s="14" t="s">
        <v>1699</v>
      </c>
      <c r="C277" s="14" t="s">
        <v>245</v>
      </c>
      <c r="D277" s="14" t="s">
        <v>834</v>
      </c>
      <c r="E277" s="14" t="s">
        <v>4165</v>
      </c>
      <c r="F277" s="14" t="s">
        <v>767</v>
      </c>
      <c r="H277" s="14" t="s">
        <v>584</v>
      </c>
      <c r="I277" s="14" t="s">
        <v>3181</v>
      </c>
      <c r="J277" s="14" t="s">
        <v>4166</v>
      </c>
      <c r="K277" s="14" t="s">
        <v>2515</v>
      </c>
      <c r="M277" s="14">
        <v>108</v>
      </c>
      <c r="N277" s="14">
        <v>17</v>
      </c>
      <c r="O277" s="34">
        <v>0.157407407407407</v>
      </c>
      <c r="P277" s="14">
        <v>10</v>
      </c>
      <c r="Q277" s="14">
        <v>56.9</v>
      </c>
      <c r="R277" s="14">
        <v>10</v>
      </c>
      <c r="V277" s="14">
        <v>60</v>
      </c>
      <c r="W277" s="14">
        <f t="shared" si="22"/>
        <v>0.55555555555555558</v>
      </c>
      <c r="X277" s="14">
        <v>36.700000000000003</v>
      </c>
      <c r="Y277" s="14">
        <v>6.9</v>
      </c>
      <c r="AC277" s="14">
        <v>86</v>
      </c>
      <c r="AD277" s="34">
        <f t="shared" si="23"/>
        <v>0.79629629629629628</v>
      </c>
      <c r="AU277" s="14" t="s">
        <v>2447</v>
      </c>
      <c r="AV277" s="14" t="s">
        <v>2380</v>
      </c>
      <c r="BE277" s="29" t="s">
        <v>2514</v>
      </c>
      <c r="BJ277" s="29" t="s">
        <v>2674</v>
      </c>
      <c r="BK277" s="14">
        <v>1.36</v>
      </c>
      <c r="BL277" s="14">
        <v>0.8</v>
      </c>
      <c r="BM277" s="14">
        <v>2.3199999999999998</v>
      </c>
      <c r="CV277" s="14" t="s">
        <v>2513</v>
      </c>
      <c r="CW277" s="14" t="s">
        <v>241</v>
      </c>
      <c r="CX277" s="14" t="s">
        <v>242</v>
      </c>
      <c r="CY277" s="14">
        <v>2020</v>
      </c>
      <c r="CZ277" s="36" t="s">
        <v>53</v>
      </c>
      <c r="DA277" s="14" t="s">
        <v>26</v>
      </c>
      <c r="DB277" s="14">
        <v>7</v>
      </c>
      <c r="DC277" s="14">
        <v>7</v>
      </c>
      <c r="DD277" s="14" t="s">
        <v>243</v>
      </c>
      <c r="DE277" s="14" t="s">
        <v>244</v>
      </c>
    </row>
    <row r="278" spans="1:109">
      <c r="A278" s="14" t="s">
        <v>1827</v>
      </c>
      <c r="B278" s="14" t="s">
        <v>1699</v>
      </c>
      <c r="C278" s="14" t="s">
        <v>245</v>
      </c>
      <c r="D278" s="14" t="s">
        <v>834</v>
      </c>
      <c r="E278" s="14" t="s">
        <v>4165</v>
      </c>
      <c r="F278" s="14" t="s">
        <v>844</v>
      </c>
      <c r="H278" s="14" t="s">
        <v>584</v>
      </c>
      <c r="I278" s="14" t="s">
        <v>3181</v>
      </c>
      <c r="K278" s="14" t="s">
        <v>2516</v>
      </c>
      <c r="M278" s="14">
        <v>108</v>
      </c>
      <c r="N278" s="14">
        <v>17</v>
      </c>
      <c r="O278" s="34">
        <v>0.157407407407407</v>
      </c>
      <c r="P278" s="14">
        <v>10</v>
      </c>
      <c r="Q278" s="14">
        <v>56.9</v>
      </c>
      <c r="R278" s="14">
        <v>10</v>
      </c>
      <c r="V278" s="14">
        <v>60</v>
      </c>
      <c r="W278" s="14">
        <f t="shared" si="22"/>
        <v>0.55555555555555558</v>
      </c>
      <c r="X278" s="14">
        <v>36.700000000000003</v>
      </c>
      <c r="Y278" s="14">
        <v>6.9</v>
      </c>
      <c r="AC278" s="14">
        <v>86</v>
      </c>
      <c r="AD278" s="34">
        <f t="shared" si="23"/>
        <v>0.79629629629629628</v>
      </c>
      <c r="AU278" s="14" t="s">
        <v>2447</v>
      </c>
      <c r="AV278" s="14" t="s">
        <v>2380</v>
      </c>
      <c r="BE278" s="29" t="s">
        <v>2514</v>
      </c>
      <c r="BJ278" s="29" t="s">
        <v>2674</v>
      </c>
      <c r="BK278" s="14">
        <v>1.36</v>
      </c>
      <c r="BL278" s="14">
        <v>0.77</v>
      </c>
      <c r="BM278" s="14">
        <v>2.41</v>
      </c>
      <c r="CV278" s="14" t="s">
        <v>2513</v>
      </c>
      <c r="CW278" s="14" t="s">
        <v>241</v>
      </c>
      <c r="CX278" s="14" t="s">
        <v>242</v>
      </c>
      <c r="CY278" s="14">
        <v>2020</v>
      </c>
      <c r="CZ278" s="36" t="s">
        <v>53</v>
      </c>
      <c r="DA278" s="14" t="s">
        <v>26</v>
      </c>
      <c r="DB278" s="14">
        <v>7</v>
      </c>
      <c r="DC278" s="14">
        <v>7</v>
      </c>
      <c r="DD278" s="14" t="s">
        <v>243</v>
      </c>
      <c r="DE278" s="14" t="s">
        <v>244</v>
      </c>
    </row>
    <row r="279" spans="1:109" ht="20">
      <c r="A279" s="13" t="s">
        <v>3386</v>
      </c>
      <c r="B279" s="13"/>
      <c r="C279" s="13" t="s">
        <v>3315</v>
      </c>
      <c r="D279" s="14" t="s">
        <v>830</v>
      </c>
      <c r="E279" s="13" t="s">
        <v>702</v>
      </c>
      <c r="F279" s="13" t="s">
        <v>3783</v>
      </c>
      <c r="G279" s="13"/>
      <c r="H279" s="14" t="s">
        <v>712</v>
      </c>
      <c r="I279" s="13" t="s">
        <v>2968</v>
      </c>
      <c r="J279" s="13" t="s">
        <v>778</v>
      </c>
      <c r="K279" s="13"/>
      <c r="L279" s="13"/>
      <c r="M279" s="13">
        <v>60</v>
      </c>
      <c r="N279" s="13"/>
      <c r="O279" s="15"/>
      <c r="P279" s="13"/>
      <c r="Q279" s="13">
        <v>52.85</v>
      </c>
      <c r="R279" s="13"/>
      <c r="S279" s="13"/>
      <c r="T279" s="13"/>
      <c r="U279" s="13"/>
      <c r="V279" s="13">
        <v>35</v>
      </c>
      <c r="W279" s="2">
        <f t="shared" si="22"/>
        <v>0.58333333333333337</v>
      </c>
      <c r="X279" s="13">
        <v>39.75</v>
      </c>
      <c r="Y279" s="13"/>
      <c r="Z279" s="13"/>
      <c r="AA279" s="13"/>
      <c r="AB279" s="13"/>
      <c r="AC279" s="13">
        <v>44</v>
      </c>
      <c r="AD279" s="13">
        <f t="shared" si="23"/>
        <v>0.73333333333333328</v>
      </c>
      <c r="AE279" s="13">
        <f>12*1.16</f>
        <v>13.919999999999998</v>
      </c>
      <c r="AF279" s="13"/>
      <c r="AG279" s="13"/>
      <c r="AH279" s="13"/>
      <c r="AI279" s="13"/>
      <c r="AJ279" s="13"/>
      <c r="AK279" s="13"/>
      <c r="AL279" s="13"/>
      <c r="AM279" s="13"/>
      <c r="AN279" s="13"/>
      <c r="AO279" s="13"/>
      <c r="AP279" s="13"/>
      <c r="AQ279" s="13"/>
      <c r="AR279" s="13"/>
      <c r="AS279" s="13"/>
      <c r="AT279" s="13"/>
      <c r="AV279" s="13"/>
      <c r="AW279" s="13"/>
      <c r="AX279" s="13"/>
      <c r="AY279" s="13"/>
      <c r="AZ279" s="13"/>
      <c r="BA279" s="16"/>
      <c r="BB279" s="13"/>
      <c r="BC279" s="13"/>
      <c r="BD279" s="13"/>
      <c r="BE279" s="16"/>
      <c r="BF279" s="13"/>
      <c r="BG279" s="13"/>
      <c r="BH279" s="13"/>
      <c r="BI279" s="13"/>
      <c r="BJ279" s="16"/>
      <c r="BK279" s="13"/>
      <c r="BL279" s="13"/>
      <c r="BM279" s="13"/>
      <c r="BN279" s="16"/>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t="s">
        <v>3504</v>
      </c>
      <c r="CX279" s="13" t="s">
        <v>3505</v>
      </c>
      <c r="CY279" s="13">
        <v>2024</v>
      </c>
      <c r="CZ279" s="13"/>
      <c r="DA279" s="13" t="s">
        <v>3506</v>
      </c>
      <c r="DB279" s="13">
        <v>61</v>
      </c>
      <c r="DC279" s="13">
        <v>7</v>
      </c>
      <c r="DD279" s="13" t="s">
        <v>3507</v>
      </c>
      <c r="DE279" s="13" t="s">
        <v>3241</v>
      </c>
    </row>
    <row r="280" spans="1:109">
      <c r="A280" s="14" t="s">
        <v>1828</v>
      </c>
      <c r="C280" s="14" t="s">
        <v>1263</v>
      </c>
      <c r="D280" s="14" t="s">
        <v>4179</v>
      </c>
      <c r="E280" s="14" t="s">
        <v>673</v>
      </c>
      <c r="F280" s="14" t="s">
        <v>2377</v>
      </c>
      <c r="CW280" s="14" t="s">
        <v>1258</v>
      </c>
      <c r="CX280" s="14" t="s">
        <v>1259</v>
      </c>
      <c r="CY280" s="14">
        <v>2023</v>
      </c>
      <c r="CZ280" s="36" t="s">
        <v>53</v>
      </c>
      <c r="DA280" s="14" t="s">
        <v>1260</v>
      </c>
      <c r="DB280" s="14">
        <v>15</v>
      </c>
      <c r="DC280" s="14">
        <v>7</v>
      </c>
      <c r="DD280" s="14" t="s">
        <v>1261</v>
      </c>
      <c r="DE280" s="14" t="s">
        <v>1262</v>
      </c>
    </row>
    <row r="281" spans="1:109" ht="20">
      <c r="A281" s="13" t="s">
        <v>1700</v>
      </c>
      <c r="B281" s="13" t="s">
        <v>1700</v>
      </c>
      <c r="C281" s="13" t="s">
        <v>250</v>
      </c>
      <c r="D281" s="13" t="s">
        <v>2038</v>
      </c>
      <c r="E281" s="13" t="s">
        <v>672</v>
      </c>
      <c r="F281" s="13" t="s">
        <v>837</v>
      </c>
      <c r="H281" s="13" t="s">
        <v>669</v>
      </c>
      <c r="I281" s="14" t="s">
        <v>3182</v>
      </c>
      <c r="J281" s="13" t="s">
        <v>1965</v>
      </c>
      <c r="K281" s="13" t="s">
        <v>839</v>
      </c>
      <c r="M281" s="13">
        <v>16</v>
      </c>
      <c r="N281" s="13"/>
      <c r="O281" s="15"/>
      <c r="P281" s="13"/>
      <c r="Q281" s="13">
        <v>63</v>
      </c>
      <c r="R281" s="13">
        <v>14.9</v>
      </c>
      <c r="S281" s="13"/>
      <c r="T281" s="13"/>
      <c r="U281" s="13"/>
      <c r="V281" s="14">
        <v>7</v>
      </c>
      <c r="W281" s="14">
        <f t="shared" ref="W281:W292" si="24">V281/M281</f>
        <v>0.4375</v>
      </c>
      <c r="CW281" s="13" t="s">
        <v>246</v>
      </c>
      <c r="CX281" s="13" t="s">
        <v>247</v>
      </c>
      <c r="CY281" s="13">
        <v>2022</v>
      </c>
      <c r="CZ281" s="13"/>
      <c r="DA281" s="13" t="s">
        <v>248</v>
      </c>
      <c r="DB281" s="13">
        <v>16</v>
      </c>
      <c r="DC281" s="13"/>
      <c r="DD281" s="13" t="s">
        <v>2219</v>
      </c>
      <c r="DE281" s="13" t="s">
        <v>249</v>
      </c>
    </row>
    <row r="282" spans="1:109" ht="20">
      <c r="A282" s="13" t="s">
        <v>1700</v>
      </c>
      <c r="B282" s="13" t="s">
        <v>1700</v>
      </c>
      <c r="C282" s="13" t="s">
        <v>250</v>
      </c>
      <c r="D282" s="13" t="s">
        <v>2038</v>
      </c>
      <c r="E282" s="13" t="s">
        <v>672</v>
      </c>
      <c r="F282" s="13" t="s">
        <v>838</v>
      </c>
      <c r="H282" s="13" t="s">
        <v>669</v>
      </c>
      <c r="I282" s="14" t="s">
        <v>3182</v>
      </c>
      <c r="J282" s="13" t="s">
        <v>1965</v>
      </c>
      <c r="K282" s="13" t="s">
        <v>839</v>
      </c>
      <c r="M282" s="13">
        <v>15</v>
      </c>
      <c r="N282" s="13"/>
      <c r="O282" s="15"/>
      <c r="P282" s="13"/>
      <c r="Q282" s="13">
        <v>63</v>
      </c>
      <c r="R282" s="13">
        <v>14.9</v>
      </c>
      <c r="S282" s="13"/>
      <c r="T282" s="13"/>
      <c r="U282" s="13"/>
      <c r="V282" s="14">
        <v>7</v>
      </c>
      <c r="W282" s="14">
        <f t="shared" si="24"/>
        <v>0.46666666666666667</v>
      </c>
      <c r="CW282" s="13" t="s">
        <v>246</v>
      </c>
      <c r="CX282" s="13" t="s">
        <v>247</v>
      </c>
      <c r="CY282" s="13">
        <v>2022</v>
      </c>
      <c r="CZ282" s="13"/>
      <c r="DA282" s="13" t="s">
        <v>248</v>
      </c>
      <c r="DB282" s="13">
        <v>16</v>
      </c>
      <c r="DC282" s="13"/>
      <c r="DD282" s="13" t="s">
        <v>2219</v>
      </c>
      <c r="DE282" s="13" t="s">
        <v>249</v>
      </c>
    </row>
    <row r="283" spans="1:109">
      <c r="A283" s="14" t="s">
        <v>1829</v>
      </c>
      <c r="C283" s="14" t="s">
        <v>1268</v>
      </c>
      <c r="D283" s="14" t="s">
        <v>898</v>
      </c>
      <c r="E283" s="14" t="s">
        <v>672</v>
      </c>
      <c r="F283" s="14" t="s">
        <v>2518</v>
      </c>
      <c r="H283" s="14" t="s">
        <v>855</v>
      </c>
      <c r="I283" s="14" t="s">
        <v>3126</v>
      </c>
      <c r="J283" s="14" t="s">
        <v>2522</v>
      </c>
      <c r="K283" s="14" t="s">
        <v>2517</v>
      </c>
      <c r="M283" s="14">
        <v>52</v>
      </c>
      <c r="N283" s="14">
        <v>0</v>
      </c>
      <c r="O283" s="34">
        <v>0</v>
      </c>
      <c r="S283" s="14">
        <v>65</v>
      </c>
      <c r="T283" s="14">
        <v>58.5</v>
      </c>
      <c r="U283" s="14">
        <v>71.5</v>
      </c>
      <c r="V283" s="14">
        <v>32</v>
      </c>
      <c r="W283" s="14">
        <f t="shared" si="24"/>
        <v>0.61538461538461542</v>
      </c>
      <c r="Z283" s="14">
        <v>39</v>
      </c>
      <c r="AA283" s="14">
        <v>34.5</v>
      </c>
      <c r="AB283" s="14">
        <v>43</v>
      </c>
      <c r="AC283" s="14">
        <v>42</v>
      </c>
      <c r="AD283" s="34">
        <f t="shared" ref="AD283:AD291" si="25">AC283/M283</f>
        <v>0.80769230769230771</v>
      </c>
      <c r="AG283" s="35">
        <v>13.6</v>
      </c>
      <c r="AH283" s="35">
        <v>10.7</v>
      </c>
      <c r="AI283" s="35">
        <v>25</v>
      </c>
      <c r="AQ283" s="35">
        <v>17.13</v>
      </c>
      <c r="AU283" s="14" t="s">
        <v>2449</v>
      </c>
      <c r="BE283" s="29" t="s">
        <v>2519</v>
      </c>
      <c r="BG283" s="14">
        <v>1.448</v>
      </c>
      <c r="BH283" s="14">
        <v>1.0569999999999999</v>
      </c>
      <c r="BI283" s="14">
        <v>1.982</v>
      </c>
      <c r="BN283" s="27" t="s">
        <v>2552</v>
      </c>
      <c r="BO283" s="14" t="s">
        <v>2490</v>
      </c>
      <c r="BP283" s="14" t="s">
        <v>2490</v>
      </c>
      <c r="BQ283" s="14">
        <v>0.29199999999999998</v>
      </c>
      <c r="BU283" s="14">
        <v>4.4999999999999998E-2</v>
      </c>
      <c r="CC283" s="14">
        <v>0.19700000000000001</v>
      </c>
      <c r="CG283" s="14">
        <v>0.16600000000000001</v>
      </c>
      <c r="CH283" s="14">
        <v>-0.51200000000000001</v>
      </c>
      <c r="CI283" s="14">
        <v>5.0000000000000001E-3</v>
      </c>
      <c r="CJ283" s="14" t="s">
        <v>2520</v>
      </c>
      <c r="CK283" s="14">
        <v>0.40600000000000003</v>
      </c>
      <c r="CN283" s="14">
        <v>0.01</v>
      </c>
      <c r="CQ283" s="14" t="s">
        <v>2521</v>
      </c>
      <c r="CS283" s="14">
        <v>0.17199999999999999</v>
      </c>
      <c r="CT283" s="14">
        <v>1E-3</v>
      </c>
      <c r="CU283" s="14">
        <v>0.34300000000000003</v>
      </c>
      <c r="CW283" s="14" t="s">
        <v>1264</v>
      </c>
      <c r="CX283" s="14" t="s">
        <v>1265</v>
      </c>
      <c r="CY283" s="14">
        <v>2019</v>
      </c>
      <c r="CZ283" s="36">
        <v>45398</v>
      </c>
      <c r="DA283" s="14" t="s">
        <v>1096</v>
      </c>
      <c r="DB283" s="14">
        <v>92</v>
      </c>
      <c r="DC283" s="14">
        <v>16</v>
      </c>
      <c r="DD283" s="14" t="s">
        <v>1266</v>
      </c>
      <c r="DE283" s="14" t="s">
        <v>1267</v>
      </c>
    </row>
    <row r="284" spans="1:109">
      <c r="A284" s="14" t="s">
        <v>1830</v>
      </c>
      <c r="C284" s="14" t="s">
        <v>1273</v>
      </c>
      <c r="D284" s="14" t="s">
        <v>898</v>
      </c>
      <c r="E284" s="14" t="s">
        <v>673</v>
      </c>
      <c r="F284" s="14" t="s">
        <v>2332</v>
      </c>
      <c r="H284" s="14" t="s">
        <v>855</v>
      </c>
      <c r="I284" s="14" t="s">
        <v>3126</v>
      </c>
      <c r="J284" s="14" t="s">
        <v>2522</v>
      </c>
      <c r="K284" s="14" t="s">
        <v>2517</v>
      </c>
      <c r="L284" s="14" t="s">
        <v>641</v>
      </c>
      <c r="M284" s="14">
        <v>68</v>
      </c>
      <c r="N284" s="14">
        <v>0</v>
      </c>
      <c r="O284" s="34">
        <v>0</v>
      </c>
      <c r="S284" s="14">
        <v>63.5</v>
      </c>
      <c r="T284" s="14">
        <v>47.5</v>
      </c>
      <c r="U284" s="14">
        <v>79.5</v>
      </c>
      <c r="V284" s="14">
        <v>41</v>
      </c>
      <c r="W284" s="14">
        <f t="shared" si="24"/>
        <v>0.6029411764705882</v>
      </c>
      <c r="Z284" s="14">
        <v>38.700000000000003</v>
      </c>
      <c r="AA284" s="14">
        <v>32.5</v>
      </c>
      <c r="AB284" s="14">
        <v>44.9</v>
      </c>
      <c r="AC284" s="14">
        <v>55</v>
      </c>
      <c r="AD284" s="34">
        <f t="shared" si="25"/>
        <v>0.80882352941176472</v>
      </c>
      <c r="AG284" s="35">
        <v>21.1</v>
      </c>
      <c r="AH284" s="35">
        <v>5.12</v>
      </c>
      <c r="AI284" s="35">
        <v>37.1</v>
      </c>
      <c r="AO284" s="35">
        <v>23.64</v>
      </c>
      <c r="AP284" s="35">
        <v>14.33</v>
      </c>
      <c r="AU284" s="14" t="s">
        <v>2449</v>
      </c>
      <c r="BE284" s="29" t="s">
        <v>2523</v>
      </c>
      <c r="BG284" s="14">
        <v>1.008</v>
      </c>
      <c r="BH284" s="14">
        <v>1.002</v>
      </c>
      <c r="BI284" s="14">
        <v>1.0169999999999999</v>
      </c>
      <c r="BJ284" s="29" t="s">
        <v>2675</v>
      </c>
      <c r="BK284" s="14">
        <v>3.58</v>
      </c>
      <c r="BL284" s="14">
        <v>1.7</v>
      </c>
      <c r="BM284" s="14">
        <v>7.57</v>
      </c>
      <c r="BN284" s="27" t="s">
        <v>2552</v>
      </c>
      <c r="BO284" s="14" t="s">
        <v>2490</v>
      </c>
      <c r="BP284" s="14" t="s">
        <v>2490</v>
      </c>
      <c r="BQ284" s="14">
        <v>0.505</v>
      </c>
      <c r="BU284" s="14" t="s">
        <v>701</v>
      </c>
      <c r="CC284" s="14">
        <v>-0.26100000000000001</v>
      </c>
      <c r="CG284" s="14">
        <v>3.2000000000000001E-2</v>
      </c>
      <c r="CW284" s="14" t="s">
        <v>1269</v>
      </c>
      <c r="CX284" s="14" t="s">
        <v>1270</v>
      </c>
      <c r="CY284" s="14">
        <v>2022</v>
      </c>
      <c r="CZ284" s="36" t="s">
        <v>330</v>
      </c>
      <c r="DA284" s="14" t="s">
        <v>19</v>
      </c>
      <c r="DB284" s="14">
        <v>29</v>
      </c>
      <c r="DC284" s="14">
        <v>5</v>
      </c>
      <c r="DD284" s="14" t="s">
        <v>1271</v>
      </c>
      <c r="DE284" s="14" t="s">
        <v>1272</v>
      </c>
    </row>
    <row r="285" spans="1:109">
      <c r="A285" s="14" t="s">
        <v>1831</v>
      </c>
      <c r="C285" s="14" t="s">
        <v>1278</v>
      </c>
      <c r="D285" s="14" t="s">
        <v>827</v>
      </c>
      <c r="E285" s="14" t="s">
        <v>673</v>
      </c>
      <c r="F285" s="14" t="s">
        <v>2476</v>
      </c>
      <c r="H285" s="14" t="s">
        <v>868</v>
      </c>
      <c r="I285" s="14" t="s">
        <v>3127</v>
      </c>
      <c r="J285" s="14" t="s">
        <v>2524</v>
      </c>
      <c r="M285" s="14">
        <v>99</v>
      </c>
      <c r="Q285" s="14">
        <v>65.72</v>
      </c>
      <c r="R285" s="14">
        <v>10.09</v>
      </c>
      <c r="V285" s="14">
        <v>52</v>
      </c>
      <c r="W285" s="14">
        <f t="shared" si="24"/>
        <v>0.5252525252525253</v>
      </c>
      <c r="Z285" s="14">
        <v>39</v>
      </c>
      <c r="AA285" s="14">
        <v>33</v>
      </c>
      <c r="AB285" s="14">
        <v>43.5</v>
      </c>
      <c r="AC285" s="14">
        <v>61</v>
      </c>
      <c r="AD285" s="34">
        <f t="shared" si="25"/>
        <v>0.61616161616161613</v>
      </c>
      <c r="AG285" s="35">
        <v>13</v>
      </c>
      <c r="AH285" s="35">
        <v>8.6</v>
      </c>
      <c r="AI285" s="35">
        <v>19.100000000000001</v>
      </c>
      <c r="AU285" s="14" t="s">
        <v>2447</v>
      </c>
      <c r="AV285" s="14" t="s">
        <v>2656</v>
      </c>
      <c r="BE285" s="29" t="s">
        <v>2529</v>
      </c>
      <c r="BG285" s="14">
        <v>0.6</v>
      </c>
      <c r="BH285" s="14">
        <v>0.41</v>
      </c>
      <c r="BI285" s="14">
        <v>0.89</v>
      </c>
      <c r="BJ285" s="29" t="s">
        <v>4111</v>
      </c>
      <c r="BK285" s="14">
        <v>0.26</v>
      </c>
      <c r="BL285" s="14">
        <v>0.09</v>
      </c>
      <c r="BM285" s="14">
        <v>0.72</v>
      </c>
      <c r="CW285" s="14" t="s">
        <v>1274</v>
      </c>
      <c r="CX285" s="14" t="s">
        <v>1275</v>
      </c>
      <c r="CY285" s="14">
        <v>2020</v>
      </c>
      <c r="CZ285" s="36">
        <v>45410</v>
      </c>
      <c r="DA285" s="14" t="s">
        <v>1096</v>
      </c>
      <c r="DB285" s="14">
        <v>94</v>
      </c>
      <c r="DC285" s="14">
        <v>17</v>
      </c>
      <c r="DD285" s="14" t="s">
        <v>1276</v>
      </c>
      <c r="DE285" s="14" t="s">
        <v>1277</v>
      </c>
    </row>
    <row r="286" spans="1:109">
      <c r="A286" s="14" t="s">
        <v>1831</v>
      </c>
      <c r="C286" s="14" t="s">
        <v>1278</v>
      </c>
      <c r="D286" s="14" t="s">
        <v>827</v>
      </c>
      <c r="E286" s="14" t="s">
        <v>673</v>
      </c>
      <c r="F286" s="14" t="s">
        <v>2525</v>
      </c>
      <c r="H286" s="14" t="s">
        <v>868</v>
      </c>
      <c r="I286" s="14" t="s">
        <v>3127</v>
      </c>
      <c r="J286" s="14" t="s">
        <v>2524</v>
      </c>
      <c r="M286" s="14">
        <v>99</v>
      </c>
      <c r="Q286" s="14">
        <v>65.72</v>
      </c>
      <c r="R286" s="14">
        <v>10.09</v>
      </c>
      <c r="V286" s="14">
        <v>52</v>
      </c>
      <c r="W286" s="14">
        <f t="shared" si="24"/>
        <v>0.5252525252525253</v>
      </c>
      <c r="Z286" s="14">
        <v>39</v>
      </c>
      <c r="AA286" s="14">
        <v>33</v>
      </c>
      <c r="AB286" s="14">
        <v>43.5</v>
      </c>
      <c r="AC286" s="14">
        <v>61</v>
      </c>
      <c r="AD286" s="34">
        <f t="shared" si="25"/>
        <v>0.61616161616161613</v>
      </c>
      <c r="AG286" s="35">
        <v>13</v>
      </c>
      <c r="AH286" s="35">
        <v>8.6</v>
      </c>
      <c r="AI286" s="35">
        <v>19.100000000000001</v>
      </c>
      <c r="AU286" s="14" t="s">
        <v>2447</v>
      </c>
      <c r="AV286" s="14" t="s">
        <v>2656</v>
      </c>
      <c r="BE286" s="29" t="s">
        <v>2529</v>
      </c>
      <c r="BG286" s="14">
        <v>0.64</v>
      </c>
      <c r="BH286" s="14">
        <v>0.44</v>
      </c>
      <c r="BI286" s="14">
        <v>0.92</v>
      </c>
      <c r="BJ286" s="29" t="s">
        <v>4111</v>
      </c>
      <c r="BK286" s="14">
        <v>0.19</v>
      </c>
      <c r="BL286" s="14">
        <v>7.0000000000000007E-2</v>
      </c>
      <c r="BM286" s="14">
        <v>0.54</v>
      </c>
      <c r="CW286" s="14" t="s">
        <v>1274</v>
      </c>
      <c r="CX286" s="14" t="s">
        <v>1275</v>
      </c>
      <c r="CY286" s="14">
        <v>2020</v>
      </c>
      <c r="CZ286" s="36">
        <v>45410</v>
      </c>
      <c r="DA286" s="14" t="s">
        <v>1096</v>
      </c>
      <c r="DB286" s="14">
        <v>94</v>
      </c>
      <c r="DC286" s="14">
        <v>17</v>
      </c>
      <c r="DD286" s="14" t="s">
        <v>1276</v>
      </c>
      <c r="DE286" s="14" t="s">
        <v>1277</v>
      </c>
    </row>
    <row r="287" spans="1:109">
      <c r="A287" s="14" t="s">
        <v>1831</v>
      </c>
      <c r="C287" s="14" t="s">
        <v>1278</v>
      </c>
      <c r="D287" s="14" t="s">
        <v>827</v>
      </c>
      <c r="E287" s="14" t="s">
        <v>673</v>
      </c>
      <c r="F287" s="14" t="s">
        <v>2528</v>
      </c>
      <c r="H287" s="14" t="s">
        <v>868</v>
      </c>
      <c r="I287" s="14" t="s">
        <v>3127</v>
      </c>
      <c r="J287" s="14" t="s">
        <v>2524</v>
      </c>
      <c r="M287" s="14">
        <v>99</v>
      </c>
      <c r="Q287" s="14">
        <v>65.72</v>
      </c>
      <c r="R287" s="14">
        <v>10.09</v>
      </c>
      <c r="V287" s="14">
        <v>52</v>
      </c>
      <c r="W287" s="14">
        <f t="shared" si="24"/>
        <v>0.5252525252525253</v>
      </c>
      <c r="Z287" s="14">
        <v>39</v>
      </c>
      <c r="AA287" s="14">
        <v>33</v>
      </c>
      <c r="AB287" s="14">
        <v>43.5</v>
      </c>
      <c r="AC287" s="14">
        <v>61</v>
      </c>
      <c r="AD287" s="34">
        <f t="shared" si="25"/>
        <v>0.61616161616161613</v>
      </c>
      <c r="AG287" s="35">
        <v>13</v>
      </c>
      <c r="AH287" s="35">
        <v>8.6</v>
      </c>
      <c r="AI287" s="35">
        <v>19.100000000000001</v>
      </c>
      <c r="AU287" s="14" t="s">
        <v>2447</v>
      </c>
      <c r="AV287" s="14" t="s">
        <v>2656</v>
      </c>
      <c r="BE287" s="29" t="s">
        <v>2529</v>
      </c>
      <c r="BG287" s="14">
        <v>0.65</v>
      </c>
      <c r="BH287" s="14">
        <v>0.46</v>
      </c>
      <c r="BI287" s="14">
        <v>0.92</v>
      </c>
      <c r="BJ287" s="29" t="s">
        <v>4111</v>
      </c>
      <c r="BK287" s="14">
        <v>0.37</v>
      </c>
      <c r="BL287" s="14">
        <v>0.14000000000000001</v>
      </c>
      <c r="BM287" s="14">
        <v>0.98</v>
      </c>
      <c r="CW287" s="14" t="s">
        <v>1274</v>
      </c>
      <c r="CX287" s="14" t="s">
        <v>1275</v>
      </c>
      <c r="CY287" s="14">
        <v>2020</v>
      </c>
      <c r="CZ287" s="36">
        <v>45410</v>
      </c>
      <c r="DA287" s="14" t="s">
        <v>1096</v>
      </c>
      <c r="DB287" s="14">
        <v>94</v>
      </c>
      <c r="DC287" s="14">
        <v>17</v>
      </c>
      <c r="DD287" s="14" t="s">
        <v>1276</v>
      </c>
      <c r="DE287" s="14" t="s">
        <v>1277</v>
      </c>
    </row>
    <row r="288" spans="1:109">
      <c r="A288" s="14" t="s">
        <v>1831</v>
      </c>
      <c r="C288" s="14" t="s">
        <v>1278</v>
      </c>
      <c r="D288" s="14" t="s">
        <v>827</v>
      </c>
      <c r="E288" s="14" t="s">
        <v>673</v>
      </c>
      <c r="F288" s="14" t="s">
        <v>2530</v>
      </c>
      <c r="H288" s="14" t="s">
        <v>868</v>
      </c>
      <c r="I288" s="14" t="s">
        <v>3127</v>
      </c>
      <c r="J288" s="14" t="s">
        <v>2524</v>
      </c>
      <c r="M288" s="14">
        <v>99</v>
      </c>
      <c r="Q288" s="14">
        <v>65.72</v>
      </c>
      <c r="R288" s="14">
        <v>10.09</v>
      </c>
      <c r="V288" s="14">
        <v>52</v>
      </c>
      <c r="W288" s="14">
        <f t="shared" si="24"/>
        <v>0.5252525252525253</v>
      </c>
      <c r="Z288" s="14">
        <v>39</v>
      </c>
      <c r="AA288" s="14">
        <v>33</v>
      </c>
      <c r="AB288" s="14">
        <v>43.5</v>
      </c>
      <c r="AC288" s="14">
        <v>61</v>
      </c>
      <c r="AD288" s="34">
        <f t="shared" si="25"/>
        <v>0.61616161616161613</v>
      </c>
      <c r="AG288" s="35">
        <v>13</v>
      </c>
      <c r="AH288" s="35">
        <v>8.6</v>
      </c>
      <c r="AI288" s="35">
        <v>19.100000000000001</v>
      </c>
      <c r="AU288" s="14" t="s">
        <v>2447</v>
      </c>
      <c r="AV288" s="14" t="s">
        <v>2656</v>
      </c>
      <c r="BE288" s="29" t="s">
        <v>2529</v>
      </c>
      <c r="BG288" s="14">
        <v>0.88</v>
      </c>
      <c r="BH288" s="14">
        <v>0.57999999999999996</v>
      </c>
      <c r="BI288" s="14">
        <v>1.34</v>
      </c>
      <c r="BJ288" s="29" t="s">
        <v>4111</v>
      </c>
      <c r="BK288" s="14">
        <v>0.48</v>
      </c>
      <c r="BL288" s="14">
        <v>0.18</v>
      </c>
      <c r="BM288" s="14">
        <v>1.25</v>
      </c>
      <c r="CW288" s="14" t="s">
        <v>1274</v>
      </c>
      <c r="CX288" s="14" t="s">
        <v>1275</v>
      </c>
      <c r="CY288" s="14">
        <v>2020</v>
      </c>
      <c r="CZ288" s="36">
        <v>45410</v>
      </c>
      <c r="DA288" s="14" t="s">
        <v>1096</v>
      </c>
      <c r="DB288" s="14">
        <v>94</v>
      </c>
      <c r="DC288" s="14">
        <v>17</v>
      </c>
      <c r="DD288" s="14" t="s">
        <v>1276</v>
      </c>
      <c r="DE288" s="14" t="s">
        <v>1277</v>
      </c>
    </row>
    <row r="289" spans="1:109">
      <c r="A289" s="14" t="s">
        <v>1831</v>
      </c>
      <c r="C289" s="14" t="s">
        <v>1278</v>
      </c>
      <c r="D289" s="14" t="s">
        <v>827</v>
      </c>
      <c r="E289" s="14" t="s">
        <v>673</v>
      </c>
      <c r="F289" s="14" t="s">
        <v>2531</v>
      </c>
      <c r="H289" s="14" t="s">
        <v>868</v>
      </c>
      <c r="I289" s="14" t="s">
        <v>3127</v>
      </c>
      <c r="J289" s="14" t="s">
        <v>2524</v>
      </c>
      <c r="M289" s="14">
        <v>99</v>
      </c>
      <c r="Q289" s="14">
        <v>65.72</v>
      </c>
      <c r="R289" s="14">
        <v>10.09</v>
      </c>
      <c r="V289" s="14">
        <v>52</v>
      </c>
      <c r="W289" s="14">
        <f t="shared" si="24"/>
        <v>0.5252525252525253</v>
      </c>
      <c r="Z289" s="14">
        <v>39</v>
      </c>
      <c r="AA289" s="14">
        <v>33</v>
      </c>
      <c r="AB289" s="14">
        <v>43.5</v>
      </c>
      <c r="AC289" s="14">
        <v>61</v>
      </c>
      <c r="AD289" s="34">
        <f t="shared" si="25"/>
        <v>0.61616161616161613</v>
      </c>
      <c r="AG289" s="35">
        <v>13</v>
      </c>
      <c r="AH289" s="35">
        <v>8.6</v>
      </c>
      <c r="AI289" s="35">
        <v>19.100000000000001</v>
      </c>
      <c r="AU289" s="14" t="s">
        <v>2447</v>
      </c>
      <c r="AV289" s="14" t="s">
        <v>2656</v>
      </c>
      <c r="BE289" s="29" t="s">
        <v>2529</v>
      </c>
      <c r="BG289" s="14">
        <v>1.18</v>
      </c>
      <c r="BH289" s="14">
        <v>0.85</v>
      </c>
      <c r="BI289" s="14">
        <v>1.65</v>
      </c>
      <c r="BJ289" s="29" t="s">
        <v>4111</v>
      </c>
      <c r="BK289" s="14">
        <v>2.36</v>
      </c>
      <c r="BL289" s="14">
        <v>0.93</v>
      </c>
      <c r="BM289" s="14">
        <v>5.96</v>
      </c>
      <c r="CW289" s="14" t="s">
        <v>1274</v>
      </c>
      <c r="CX289" s="14" t="s">
        <v>1275</v>
      </c>
      <c r="CY289" s="14">
        <v>2020</v>
      </c>
      <c r="CZ289" s="36">
        <v>45410</v>
      </c>
      <c r="DA289" s="14" t="s">
        <v>1096</v>
      </c>
      <c r="DB289" s="14">
        <v>94</v>
      </c>
      <c r="DC289" s="14">
        <v>17</v>
      </c>
      <c r="DD289" s="14" t="s">
        <v>1276</v>
      </c>
      <c r="DE289" s="14" t="s">
        <v>1277</v>
      </c>
    </row>
    <row r="290" spans="1:109">
      <c r="A290" s="14" t="s">
        <v>1831</v>
      </c>
      <c r="C290" s="14" t="s">
        <v>1278</v>
      </c>
      <c r="D290" s="14" t="s">
        <v>827</v>
      </c>
      <c r="E290" s="14" t="s">
        <v>673</v>
      </c>
      <c r="F290" s="14" t="s">
        <v>2526</v>
      </c>
      <c r="H290" s="14" t="s">
        <v>868</v>
      </c>
      <c r="I290" s="14" t="s">
        <v>3127</v>
      </c>
      <c r="J290" s="14" t="s">
        <v>2524</v>
      </c>
      <c r="M290" s="14">
        <v>99</v>
      </c>
      <c r="Q290" s="14">
        <v>65.72</v>
      </c>
      <c r="R290" s="14">
        <v>10.09</v>
      </c>
      <c r="V290" s="14">
        <v>52</v>
      </c>
      <c r="W290" s="14">
        <f t="shared" si="24"/>
        <v>0.5252525252525253</v>
      </c>
      <c r="Z290" s="14">
        <v>39</v>
      </c>
      <c r="AA290" s="14">
        <v>33</v>
      </c>
      <c r="AB290" s="14">
        <v>43.5</v>
      </c>
      <c r="AC290" s="14">
        <v>61</v>
      </c>
      <c r="AD290" s="34">
        <f t="shared" si="25"/>
        <v>0.61616161616161613</v>
      </c>
      <c r="AG290" s="35">
        <v>13</v>
      </c>
      <c r="AH290" s="35">
        <v>8.6</v>
      </c>
      <c r="AI290" s="35">
        <v>19.100000000000001</v>
      </c>
      <c r="AU290" s="14" t="s">
        <v>2447</v>
      </c>
      <c r="AV290" s="14" t="s">
        <v>2656</v>
      </c>
      <c r="BE290" s="29" t="s">
        <v>2529</v>
      </c>
      <c r="BG290" s="14">
        <v>0.62</v>
      </c>
      <c r="BH290" s="14">
        <v>0.44</v>
      </c>
      <c r="BI290" s="14">
        <v>0.88</v>
      </c>
      <c r="BJ290" s="29" t="s">
        <v>4111</v>
      </c>
      <c r="BK290" s="14">
        <v>0.21</v>
      </c>
      <c r="BL290" s="14">
        <v>0.08</v>
      </c>
      <c r="BM290" s="14">
        <v>0.56000000000000005</v>
      </c>
      <c r="CW290" s="14" t="s">
        <v>1274</v>
      </c>
      <c r="CX290" s="14" t="s">
        <v>1275</v>
      </c>
      <c r="CY290" s="14">
        <v>2020</v>
      </c>
      <c r="CZ290" s="36">
        <v>45410</v>
      </c>
      <c r="DA290" s="14" t="s">
        <v>1096</v>
      </c>
      <c r="DB290" s="14">
        <v>94</v>
      </c>
      <c r="DC290" s="14">
        <v>17</v>
      </c>
      <c r="DD290" s="14" t="s">
        <v>1276</v>
      </c>
      <c r="DE290" s="14" t="s">
        <v>1277</v>
      </c>
    </row>
    <row r="291" spans="1:109">
      <c r="A291" s="14" t="s">
        <v>1831</v>
      </c>
      <c r="C291" s="14" t="s">
        <v>1278</v>
      </c>
      <c r="D291" s="14" t="s">
        <v>827</v>
      </c>
      <c r="E291" s="14" t="s">
        <v>673</v>
      </c>
      <c r="F291" s="14" t="s">
        <v>2527</v>
      </c>
      <c r="H291" s="14" t="s">
        <v>868</v>
      </c>
      <c r="I291" s="14" t="s">
        <v>3127</v>
      </c>
      <c r="J291" s="14" t="s">
        <v>2524</v>
      </c>
      <c r="M291" s="14">
        <v>99</v>
      </c>
      <c r="Q291" s="14">
        <v>65.72</v>
      </c>
      <c r="R291" s="14">
        <v>10.09</v>
      </c>
      <c r="V291" s="14">
        <v>52</v>
      </c>
      <c r="W291" s="14">
        <f t="shared" si="24"/>
        <v>0.5252525252525253</v>
      </c>
      <c r="Z291" s="14">
        <v>39</v>
      </c>
      <c r="AA291" s="14">
        <v>33</v>
      </c>
      <c r="AB291" s="14">
        <v>43.5</v>
      </c>
      <c r="AC291" s="14">
        <v>61</v>
      </c>
      <c r="AD291" s="34">
        <f t="shared" si="25"/>
        <v>0.61616161616161613</v>
      </c>
      <c r="AG291" s="35">
        <v>13</v>
      </c>
      <c r="AH291" s="35">
        <v>8.6</v>
      </c>
      <c r="AI291" s="35">
        <v>19.100000000000001</v>
      </c>
      <c r="AU291" s="14" t="s">
        <v>2447</v>
      </c>
      <c r="AV291" s="14" t="s">
        <v>2656</v>
      </c>
      <c r="BE291" s="29" t="s">
        <v>2529</v>
      </c>
      <c r="BG291" s="14">
        <v>0.61</v>
      </c>
      <c r="BH291" s="14">
        <v>0.43</v>
      </c>
      <c r="BI291" s="14">
        <v>0.86</v>
      </c>
      <c r="BJ291" s="29" t="s">
        <v>4111</v>
      </c>
      <c r="BK291" s="14">
        <v>0.47</v>
      </c>
      <c r="BL291" s="14">
        <v>0.19</v>
      </c>
      <c r="BM291" s="14">
        <v>1.1499999999999999</v>
      </c>
      <c r="CW291" s="14" t="s">
        <v>1274</v>
      </c>
      <c r="CX291" s="14" t="s">
        <v>1275</v>
      </c>
      <c r="CY291" s="14">
        <v>2020</v>
      </c>
      <c r="CZ291" s="36">
        <v>45410</v>
      </c>
      <c r="DA291" s="14" t="s">
        <v>1096</v>
      </c>
      <c r="DB291" s="14">
        <v>94</v>
      </c>
      <c r="DC291" s="14">
        <v>17</v>
      </c>
      <c r="DD291" s="14" t="s">
        <v>1276</v>
      </c>
      <c r="DE291" s="14" t="s">
        <v>1277</v>
      </c>
    </row>
    <row r="292" spans="1:109">
      <c r="A292" s="14" t="s">
        <v>2006</v>
      </c>
      <c r="B292" s="14" t="s">
        <v>1701</v>
      </c>
      <c r="C292" s="14" t="s">
        <v>257</v>
      </c>
      <c r="D292" s="14" t="s">
        <v>842</v>
      </c>
      <c r="E292" s="14" t="s">
        <v>674</v>
      </c>
      <c r="F292" s="14" t="s">
        <v>2532</v>
      </c>
      <c r="H292" s="14" t="s">
        <v>584</v>
      </c>
      <c r="I292" s="14" t="s">
        <v>4082</v>
      </c>
      <c r="J292" s="14" t="s">
        <v>585</v>
      </c>
      <c r="K292" s="14" t="s">
        <v>840</v>
      </c>
      <c r="L292" s="14" t="s">
        <v>641</v>
      </c>
      <c r="M292" s="14">
        <v>32</v>
      </c>
      <c r="N292" s="14">
        <v>32</v>
      </c>
      <c r="O292" s="34">
        <v>1</v>
      </c>
      <c r="P292" s="14">
        <v>32</v>
      </c>
      <c r="Q292" s="14">
        <v>57.4</v>
      </c>
      <c r="R292" s="14">
        <v>9.4</v>
      </c>
      <c r="V292" s="14">
        <v>20</v>
      </c>
      <c r="W292" s="14">
        <f t="shared" si="24"/>
        <v>0.625</v>
      </c>
      <c r="BN292" s="14" t="s">
        <v>2231</v>
      </c>
      <c r="CC292" s="14">
        <v>-0.31</v>
      </c>
      <c r="CG292" s="14">
        <v>0.13</v>
      </c>
      <c r="CW292" s="14" t="s">
        <v>251</v>
      </c>
      <c r="CX292" s="14" t="s">
        <v>252</v>
      </c>
      <c r="CY292" s="14">
        <v>2024</v>
      </c>
      <c r="CZ292" s="36" t="s">
        <v>253</v>
      </c>
      <c r="DA292" s="14" t="s">
        <v>254</v>
      </c>
      <c r="DB292" s="14">
        <v>30</v>
      </c>
      <c r="DC292" s="14">
        <v>2</v>
      </c>
      <c r="DD292" s="14" t="s">
        <v>255</v>
      </c>
      <c r="DE292" s="14" t="s">
        <v>256</v>
      </c>
    </row>
    <row r="293" spans="1:109" ht="20">
      <c r="A293" s="14" t="s">
        <v>1832</v>
      </c>
      <c r="C293" s="14" t="s">
        <v>1283</v>
      </c>
      <c r="D293" s="14" t="s">
        <v>898</v>
      </c>
      <c r="E293" s="14" t="s">
        <v>673</v>
      </c>
      <c r="F293" s="14" t="s">
        <v>2198</v>
      </c>
      <c r="H293" s="14" t="s">
        <v>855</v>
      </c>
      <c r="I293" s="14" t="s">
        <v>3126</v>
      </c>
      <c r="J293" s="13" t="s">
        <v>2533</v>
      </c>
      <c r="K293" s="14" t="s">
        <v>2534</v>
      </c>
      <c r="L293" s="14" t="s">
        <v>714</v>
      </c>
      <c r="M293" s="14">
        <v>39</v>
      </c>
      <c r="Q293" s="14">
        <v>66.400000000000006</v>
      </c>
      <c r="R293" s="14">
        <v>7.3</v>
      </c>
      <c r="W293" s="14">
        <v>0.64100000000000001</v>
      </c>
      <c r="X293" s="14">
        <v>40.9</v>
      </c>
      <c r="Y293" s="14">
        <v>4.7</v>
      </c>
      <c r="AC293" s="14">
        <v>27</v>
      </c>
      <c r="AD293" s="34">
        <f t="shared" ref="AD293:AD303" si="26">AC293/M293</f>
        <v>0.69230769230769229</v>
      </c>
      <c r="AE293" s="35">
        <v>12.6</v>
      </c>
      <c r="AF293" s="35">
        <v>5.3</v>
      </c>
      <c r="BN293" s="27" t="s">
        <v>2552</v>
      </c>
      <c r="BO293" s="14" t="s">
        <v>2380</v>
      </c>
      <c r="BP293" s="14" t="s">
        <v>2380</v>
      </c>
      <c r="CC293" s="14">
        <v>0.371</v>
      </c>
      <c r="CG293" s="14">
        <v>0.02</v>
      </c>
      <c r="CW293" s="14" t="s">
        <v>1279</v>
      </c>
      <c r="CX293" s="14" t="s">
        <v>1280</v>
      </c>
      <c r="CY293" s="14">
        <v>2019</v>
      </c>
      <c r="CZ293" s="36" t="s">
        <v>162</v>
      </c>
      <c r="DA293" s="14" t="s">
        <v>13</v>
      </c>
      <c r="DB293" s="14">
        <v>266</v>
      </c>
      <c r="DC293" s="14">
        <v>12</v>
      </c>
      <c r="DD293" s="14" t="s">
        <v>1281</v>
      </c>
      <c r="DE293" s="14" t="s">
        <v>1282</v>
      </c>
    </row>
    <row r="294" spans="1:109">
      <c r="A294" s="14" t="s">
        <v>1833</v>
      </c>
      <c r="C294" s="14" t="s">
        <v>1289</v>
      </c>
      <c r="D294" s="14" t="s">
        <v>827</v>
      </c>
      <c r="E294" s="14" t="s">
        <v>674</v>
      </c>
      <c r="F294" s="14" t="s">
        <v>2355</v>
      </c>
      <c r="H294" s="14" t="s">
        <v>2356</v>
      </c>
      <c r="I294" s="14" t="s">
        <v>4070</v>
      </c>
      <c r="J294" s="14" t="s">
        <v>585</v>
      </c>
      <c r="K294" s="14" t="s">
        <v>2538</v>
      </c>
      <c r="L294" s="14" t="s">
        <v>2537</v>
      </c>
      <c r="M294" s="14">
        <v>30</v>
      </c>
      <c r="N294" s="14">
        <v>6</v>
      </c>
      <c r="P294" s="14">
        <v>6</v>
      </c>
      <c r="S294" s="14">
        <v>55.5</v>
      </c>
      <c r="T294" s="14">
        <v>48</v>
      </c>
      <c r="U294" s="14">
        <v>65</v>
      </c>
      <c r="V294" s="14">
        <v>16</v>
      </c>
      <c r="W294" s="14">
        <f t="shared" ref="W294:W303" si="27">V294/M294</f>
        <v>0.53333333333333333</v>
      </c>
      <c r="Z294" s="14">
        <v>39</v>
      </c>
      <c r="AA294" s="14">
        <v>35</v>
      </c>
      <c r="AB294" s="14">
        <v>43</v>
      </c>
      <c r="AC294" s="14">
        <v>27</v>
      </c>
      <c r="AD294" s="34">
        <f t="shared" si="26"/>
        <v>0.9</v>
      </c>
      <c r="AG294" s="35">
        <v>24</v>
      </c>
      <c r="AH294" s="35">
        <v>13</v>
      </c>
      <c r="AI294" s="35">
        <v>48</v>
      </c>
      <c r="BN294" s="14" t="s">
        <v>2231</v>
      </c>
      <c r="BO294" s="14" t="s">
        <v>2490</v>
      </c>
      <c r="BP294" s="14" t="s">
        <v>2490</v>
      </c>
      <c r="CG294" s="14">
        <v>0.06</v>
      </c>
      <c r="CV294" s="14" t="s">
        <v>2539</v>
      </c>
      <c r="CW294" s="14" t="s">
        <v>1284</v>
      </c>
      <c r="CX294" s="14" t="s">
        <v>1285</v>
      </c>
      <c r="CY294" s="14">
        <v>2020</v>
      </c>
      <c r="CZ294" s="36" t="s">
        <v>53</v>
      </c>
      <c r="DA294" s="14" t="s">
        <v>1286</v>
      </c>
      <c r="DB294" s="14">
        <v>14</v>
      </c>
      <c r="DC294" s="14">
        <v>3</v>
      </c>
      <c r="DD294" s="14" t="s">
        <v>1287</v>
      </c>
      <c r="DE294" s="14" t="s">
        <v>1288</v>
      </c>
    </row>
    <row r="295" spans="1:109" ht="20">
      <c r="A295" s="13" t="s">
        <v>3387</v>
      </c>
      <c r="B295" s="16"/>
      <c r="C295" s="13" t="s">
        <v>3316</v>
      </c>
      <c r="D295" s="14" t="s">
        <v>820</v>
      </c>
      <c r="E295" s="13" t="s">
        <v>672</v>
      </c>
      <c r="F295" s="13" t="s">
        <v>675</v>
      </c>
      <c r="G295" s="13"/>
      <c r="H295" s="14" t="s">
        <v>2573</v>
      </c>
      <c r="I295" s="13" t="s">
        <v>3785</v>
      </c>
      <c r="J295" s="13" t="s">
        <v>652</v>
      </c>
      <c r="K295" s="13"/>
      <c r="L295" s="13" t="s">
        <v>639</v>
      </c>
      <c r="M295" s="13">
        <v>97</v>
      </c>
      <c r="N295" s="13"/>
      <c r="O295" s="15"/>
      <c r="P295" s="13"/>
      <c r="Q295" s="13">
        <v>67.099999999999994</v>
      </c>
      <c r="R295" s="13">
        <v>11.5</v>
      </c>
      <c r="S295" s="13"/>
      <c r="T295" s="13"/>
      <c r="U295" s="13"/>
      <c r="V295" s="13">
        <v>61</v>
      </c>
      <c r="W295" s="2">
        <f t="shared" si="27"/>
        <v>0.62886597938144329</v>
      </c>
      <c r="X295" s="13"/>
      <c r="Y295" s="13"/>
      <c r="Z295" s="13">
        <v>41</v>
      </c>
      <c r="AA295" s="13">
        <v>38</v>
      </c>
      <c r="AB295" s="13">
        <v>44</v>
      </c>
      <c r="AC295" s="13">
        <v>55</v>
      </c>
      <c r="AD295" s="13">
        <f t="shared" si="26"/>
        <v>0.5670103092783505</v>
      </c>
      <c r="AE295" s="13"/>
      <c r="AF295" s="13"/>
      <c r="AG295" s="13">
        <v>10</v>
      </c>
      <c r="AH295" s="13">
        <v>8</v>
      </c>
      <c r="AI295" s="13">
        <v>12</v>
      </c>
      <c r="AJ295" s="13"/>
      <c r="AK295" s="13"/>
      <c r="AL295" s="13"/>
      <c r="AM295" s="13"/>
      <c r="AN295" s="13"/>
      <c r="AO295" s="13"/>
      <c r="AP295" s="13"/>
      <c r="AQ295" s="13"/>
      <c r="AR295" s="13"/>
      <c r="AS295" s="13"/>
      <c r="AT295" s="13"/>
      <c r="AV295" s="13"/>
      <c r="AW295" s="13"/>
      <c r="AX295" s="13"/>
      <c r="AY295" s="13"/>
      <c r="AZ295" s="13"/>
      <c r="BA295" s="16"/>
      <c r="BB295" s="13"/>
      <c r="BC295" s="13"/>
      <c r="BD295" s="13"/>
      <c r="BE295" s="16"/>
      <c r="BF295" s="13"/>
      <c r="BG295" s="13"/>
      <c r="BH295" s="13"/>
      <c r="BI295" s="13"/>
      <c r="BJ295" s="16"/>
      <c r="BK295" s="13"/>
      <c r="BL295" s="13"/>
      <c r="BM295" s="13"/>
      <c r="BN295" s="16" t="s">
        <v>2231</v>
      </c>
      <c r="BO295" s="13"/>
      <c r="BP295" s="13"/>
      <c r="BQ295" s="13"/>
      <c r="BR295" s="13"/>
      <c r="BS295" s="13"/>
      <c r="BT295" s="13"/>
      <c r="BU295" s="13"/>
      <c r="BV295" s="13"/>
      <c r="BW295" s="13"/>
      <c r="BX295" s="13"/>
      <c r="BY295" s="13"/>
      <c r="BZ295" s="13"/>
      <c r="CA295" s="13"/>
      <c r="CB295" s="13"/>
      <c r="CC295" s="13">
        <v>-5.8000000000000003E-2</v>
      </c>
      <c r="CD295" s="13"/>
      <c r="CE295" s="13"/>
      <c r="CF295" s="13"/>
      <c r="CG295" s="13">
        <v>0.57999999999999996</v>
      </c>
      <c r="CH295" s="13"/>
      <c r="CI295" s="13"/>
      <c r="CJ295" s="13"/>
      <c r="CK295" s="13"/>
      <c r="CL295" s="13"/>
      <c r="CM295" s="13"/>
      <c r="CN295" s="13"/>
      <c r="CO295" s="13"/>
      <c r="CP295" s="13"/>
      <c r="CQ295" s="13"/>
      <c r="CR295" s="13"/>
      <c r="CS295" s="13"/>
      <c r="CT295" s="13"/>
      <c r="CU295" s="13"/>
      <c r="CV295" s="13"/>
      <c r="CW295" s="13" t="s">
        <v>3508</v>
      </c>
      <c r="CX295" s="13" t="s">
        <v>3509</v>
      </c>
      <c r="CY295" s="13">
        <v>2024</v>
      </c>
      <c r="CZ295" s="13"/>
      <c r="DA295" s="13" t="s">
        <v>523</v>
      </c>
      <c r="DB295" s="13">
        <v>11</v>
      </c>
      <c r="DC295" s="13">
        <v>7</v>
      </c>
      <c r="DD295" s="13" t="s">
        <v>3510</v>
      </c>
      <c r="DE295" s="13" t="s">
        <v>3242</v>
      </c>
    </row>
    <row r="296" spans="1:109" ht="20">
      <c r="A296" s="13" t="s">
        <v>3387</v>
      </c>
      <c r="B296" s="16"/>
      <c r="C296" s="13" t="s">
        <v>3316</v>
      </c>
      <c r="D296" s="14" t="s">
        <v>820</v>
      </c>
      <c r="E296" s="13" t="s">
        <v>672</v>
      </c>
      <c r="F296" s="13" t="s">
        <v>684</v>
      </c>
      <c r="G296" s="13" t="s">
        <v>3790</v>
      </c>
      <c r="H296" s="14" t="s">
        <v>2573</v>
      </c>
      <c r="I296" s="13" t="s">
        <v>3785</v>
      </c>
      <c r="J296" s="13" t="s">
        <v>652</v>
      </c>
      <c r="K296" s="13"/>
      <c r="L296" s="13"/>
      <c r="M296" s="13">
        <v>97</v>
      </c>
      <c r="N296" s="13"/>
      <c r="O296" s="15"/>
      <c r="P296" s="13"/>
      <c r="Q296" s="13">
        <v>67.099999999999994</v>
      </c>
      <c r="R296" s="13">
        <v>11.5</v>
      </c>
      <c r="S296" s="13"/>
      <c r="T296" s="13"/>
      <c r="U296" s="13"/>
      <c r="V296" s="13">
        <v>61</v>
      </c>
      <c r="W296" s="2">
        <f t="shared" si="27"/>
        <v>0.62886597938144329</v>
      </c>
      <c r="X296" s="13"/>
      <c r="Y296" s="13"/>
      <c r="Z296" s="13">
        <v>41</v>
      </c>
      <c r="AA296" s="13">
        <v>38</v>
      </c>
      <c r="AB296" s="13">
        <v>44</v>
      </c>
      <c r="AC296" s="13">
        <v>55</v>
      </c>
      <c r="AD296" s="13">
        <f t="shared" si="26"/>
        <v>0.5670103092783505</v>
      </c>
      <c r="AE296" s="13"/>
      <c r="AF296" s="13"/>
      <c r="AG296" s="13">
        <v>10</v>
      </c>
      <c r="AH296" s="13">
        <v>8</v>
      </c>
      <c r="AI296" s="13">
        <v>12</v>
      </c>
      <c r="AJ296" s="13"/>
      <c r="AK296" s="13"/>
      <c r="AL296" s="13"/>
      <c r="AM296" s="13"/>
      <c r="AN296" s="13"/>
      <c r="AO296" s="13"/>
      <c r="AP296" s="13"/>
      <c r="AQ296" s="13"/>
      <c r="AR296" s="13"/>
      <c r="AS296" s="13"/>
      <c r="AT296" s="13"/>
      <c r="AV296" s="13"/>
      <c r="AW296" s="13"/>
      <c r="AX296" s="13"/>
      <c r="AY296" s="13"/>
      <c r="AZ296" s="13"/>
      <c r="BA296" s="16"/>
      <c r="BB296" s="13"/>
      <c r="BC296" s="13"/>
      <c r="BD296" s="13"/>
      <c r="BE296" s="16"/>
      <c r="BF296" s="13"/>
      <c r="BG296" s="13"/>
      <c r="BH296" s="13"/>
      <c r="BI296" s="13"/>
      <c r="BJ296" s="16"/>
      <c r="BK296" s="13"/>
      <c r="BL296" s="13"/>
      <c r="BM296" s="13"/>
      <c r="BN296" s="16" t="s">
        <v>2231</v>
      </c>
      <c r="BO296" s="13"/>
      <c r="BP296" s="13"/>
      <c r="BQ296" s="13"/>
      <c r="BR296" s="13"/>
      <c r="BS296" s="13"/>
      <c r="BT296" s="13"/>
      <c r="BU296" s="13"/>
      <c r="BV296" s="13"/>
      <c r="BW296" s="13"/>
      <c r="BX296" s="13"/>
      <c r="BY296" s="13"/>
      <c r="BZ296" s="13"/>
      <c r="CA296" s="13"/>
      <c r="CB296" s="13"/>
      <c r="CC296" s="13">
        <v>-5.8000000000000003E-2</v>
      </c>
      <c r="CD296" s="13"/>
      <c r="CE296" s="13"/>
      <c r="CF296" s="13"/>
      <c r="CG296" s="13">
        <v>0.57999999999999996</v>
      </c>
      <c r="CH296" s="13"/>
      <c r="CI296" s="13"/>
      <c r="CJ296" s="13"/>
      <c r="CK296" s="13"/>
      <c r="CL296" s="13"/>
      <c r="CM296" s="13"/>
      <c r="CN296" s="13"/>
      <c r="CO296" s="13"/>
      <c r="CP296" s="13"/>
      <c r="CQ296" s="13"/>
      <c r="CR296" s="13"/>
      <c r="CS296" s="13"/>
      <c r="CT296" s="13"/>
      <c r="CU296" s="13"/>
      <c r="CV296" s="13"/>
      <c r="CW296" s="13" t="s">
        <v>3508</v>
      </c>
      <c r="CX296" s="13" t="s">
        <v>3509</v>
      </c>
      <c r="CY296" s="13">
        <v>2024</v>
      </c>
      <c r="CZ296" s="13"/>
      <c r="DA296" s="13" t="s">
        <v>523</v>
      </c>
      <c r="DB296" s="13">
        <v>11</v>
      </c>
      <c r="DC296" s="13">
        <v>7</v>
      </c>
      <c r="DD296" s="13" t="s">
        <v>3510</v>
      </c>
      <c r="DE296" s="13" t="s">
        <v>3242</v>
      </c>
    </row>
    <row r="297" spans="1:109">
      <c r="A297" s="14" t="s">
        <v>1834</v>
      </c>
      <c r="C297" s="14" t="s">
        <v>1294</v>
      </c>
      <c r="D297" s="14" t="s">
        <v>898</v>
      </c>
      <c r="E297" s="14" t="s">
        <v>673</v>
      </c>
      <c r="F297" s="14" t="s">
        <v>2476</v>
      </c>
      <c r="H297" s="14" t="s">
        <v>2483</v>
      </c>
      <c r="I297" s="14" t="s">
        <v>3128</v>
      </c>
      <c r="K297" s="14" t="s">
        <v>2540</v>
      </c>
      <c r="L297" s="14" t="s">
        <v>2542</v>
      </c>
      <c r="M297" s="14">
        <v>1324</v>
      </c>
      <c r="P297" s="14">
        <v>95</v>
      </c>
      <c r="Q297" s="14">
        <v>66</v>
      </c>
      <c r="R297" s="14">
        <v>11</v>
      </c>
      <c r="V297" s="14">
        <v>748</v>
      </c>
      <c r="W297" s="14">
        <f t="shared" si="27"/>
        <v>0.56495468277945615</v>
      </c>
      <c r="X297" s="14">
        <v>38</v>
      </c>
      <c r="Y297" s="14">
        <v>6</v>
      </c>
      <c r="AC297" s="14">
        <f>M297-449</f>
        <v>875</v>
      </c>
      <c r="AD297" s="34">
        <f t="shared" si="26"/>
        <v>0.66087613293051362</v>
      </c>
      <c r="AG297" s="35">
        <v>9</v>
      </c>
      <c r="AQ297" s="35">
        <v>16.5</v>
      </c>
      <c r="AU297" s="14" t="s">
        <v>2447</v>
      </c>
      <c r="AV297" s="14" t="s">
        <v>2490</v>
      </c>
      <c r="BE297" s="29" t="s">
        <v>2541</v>
      </c>
      <c r="BG297" s="14">
        <v>1.04</v>
      </c>
      <c r="BH297" s="14">
        <v>0.99</v>
      </c>
      <c r="BI297" s="14">
        <v>1.0900000000000001</v>
      </c>
      <c r="BN297" s="27" t="s">
        <v>2552</v>
      </c>
      <c r="CJ297" s="14" t="s">
        <v>2323</v>
      </c>
      <c r="CW297" s="14" t="s">
        <v>1290</v>
      </c>
      <c r="CX297" s="14" t="s">
        <v>1291</v>
      </c>
      <c r="CY297" s="14">
        <v>2023</v>
      </c>
      <c r="CZ297" s="36">
        <v>45358</v>
      </c>
      <c r="DA297" s="14" t="s">
        <v>1096</v>
      </c>
      <c r="DB297" s="14">
        <v>100</v>
      </c>
      <c r="DC297" s="14">
        <v>10</v>
      </c>
      <c r="DD297" s="14" t="s">
        <v>1292</v>
      </c>
      <c r="DE297" s="14" t="s">
        <v>1293</v>
      </c>
    </row>
    <row r="298" spans="1:109">
      <c r="A298" s="14" t="s">
        <v>1834</v>
      </c>
      <c r="C298" s="14" t="s">
        <v>1294</v>
      </c>
      <c r="D298" s="14" t="s">
        <v>898</v>
      </c>
      <c r="E298" s="14" t="s">
        <v>673</v>
      </c>
      <c r="F298" s="14" t="s">
        <v>2525</v>
      </c>
      <c r="H298" s="14" t="s">
        <v>2483</v>
      </c>
      <c r="I298" s="14" t="s">
        <v>3128</v>
      </c>
      <c r="K298" s="14" t="s">
        <v>2540</v>
      </c>
      <c r="L298" s="14" t="s">
        <v>2542</v>
      </c>
      <c r="M298" s="14">
        <v>1324</v>
      </c>
      <c r="P298" s="14">
        <v>95</v>
      </c>
      <c r="Q298" s="14">
        <v>66</v>
      </c>
      <c r="R298" s="14">
        <v>11</v>
      </c>
      <c r="V298" s="14">
        <v>748</v>
      </c>
      <c r="W298" s="14">
        <f t="shared" si="27"/>
        <v>0.56495468277945615</v>
      </c>
      <c r="X298" s="14">
        <v>38</v>
      </c>
      <c r="Y298" s="14">
        <v>6</v>
      </c>
      <c r="AC298" s="14">
        <f>M298-449</f>
        <v>875</v>
      </c>
      <c r="AD298" s="34">
        <f t="shared" si="26"/>
        <v>0.66087613293051362</v>
      </c>
      <c r="AG298" s="35">
        <v>9</v>
      </c>
      <c r="AQ298" s="35">
        <v>16.5</v>
      </c>
      <c r="AU298" s="14" t="s">
        <v>2447</v>
      </c>
      <c r="AV298" s="14" t="s">
        <v>2490</v>
      </c>
      <c r="BE298" s="29" t="s">
        <v>2541</v>
      </c>
      <c r="BG298" s="14">
        <v>1.03</v>
      </c>
      <c r="BH298" s="14">
        <v>0.98</v>
      </c>
      <c r="BI298" s="14">
        <v>1.0900000000000001</v>
      </c>
      <c r="BN298" s="27" t="s">
        <v>2552</v>
      </c>
      <c r="CJ298" s="14" t="s">
        <v>2323</v>
      </c>
      <c r="CW298" s="14" t="s">
        <v>1290</v>
      </c>
      <c r="CX298" s="14" t="s">
        <v>1291</v>
      </c>
      <c r="CY298" s="14">
        <v>2023</v>
      </c>
      <c r="CZ298" s="36">
        <v>45358</v>
      </c>
      <c r="DA298" s="14" t="s">
        <v>1096</v>
      </c>
      <c r="DB298" s="14">
        <v>100</v>
      </c>
      <c r="DC298" s="14">
        <v>10</v>
      </c>
      <c r="DD298" s="14" t="s">
        <v>1292</v>
      </c>
      <c r="DE298" s="14" t="s">
        <v>1293</v>
      </c>
    </row>
    <row r="299" spans="1:109">
      <c r="A299" s="14" t="s">
        <v>1834</v>
      </c>
      <c r="C299" s="14" t="s">
        <v>1294</v>
      </c>
      <c r="D299" s="14" t="s">
        <v>898</v>
      </c>
      <c r="E299" s="14" t="s">
        <v>673</v>
      </c>
      <c r="F299" s="14" t="s">
        <v>2543</v>
      </c>
      <c r="H299" s="14" t="s">
        <v>2483</v>
      </c>
      <c r="I299" s="14" t="s">
        <v>3128</v>
      </c>
      <c r="K299" s="14" t="s">
        <v>2540</v>
      </c>
      <c r="L299" s="14" t="s">
        <v>2542</v>
      </c>
      <c r="M299" s="14">
        <v>1324</v>
      </c>
      <c r="P299" s="14">
        <v>95</v>
      </c>
      <c r="Q299" s="14">
        <v>66</v>
      </c>
      <c r="R299" s="14">
        <v>11</v>
      </c>
      <c r="V299" s="14">
        <v>748</v>
      </c>
      <c r="W299" s="14">
        <f t="shared" si="27"/>
        <v>0.56495468277945615</v>
      </c>
      <c r="X299" s="14">
        <v>38</v>
      </c>
      <c r="Y299" s="14">
        <v>6</v>
      </c>
      <c r="AC299" s="14">
        <f>M299-449</f>
        <v>875</v>
      </c>
      <c r="AD299" s="34">
        <f t="shared" si="26"/>
        <v>0.66087613293051362</v>
      </c>
      <c r="AG299" s="35">
        <v>9</v>
      </c>
      <c r="AQ299" s="35">
        <v>16.5</v>
      </c>
      <c r="AU299" s="14" t="s">
        <v>2447</v>
      </c>
      <c r="AV299" s="14" t="s">
        <v>2490</v>
      </c>
      <c r="BE299" s="29" t="s">
        <v>2541</v>
      </c>
      <c r="BG299" s="14">
        <v>1.33</v>
      </c>
      <c r="BH299" s="14">
        <v>1.1399999999999999</v>
      </c>
      <c r="BI299" s="14">
        <v>1.55</v>
      </c>
      <c r="BN299" s="27" t="s">
        <v>2552</v>
      </c>
      <c r="CJ299" s="14" t="s">
        <v>2323</v>
      </c>
      <c r="CS299" s="14">
        <v>0.1</v>
      </c>
      <c r="CT299" s="14">
        <v>-7.0000000000000007E-2</v>
      </c>
      <c r="CU299" s="14">
        <v>0.26</v>
      </c>
      <c r="CW299" s="14" t="s">
        <v>1290</v>
      </c>
      <c r="CX299" s="14" t="s">
        <v>1291</v>
      </c>
      <c r="CY299" s="14">
        <v>2023</v>
      </c>
      <c r="CZ299" s="36">
        <v>45358</v>
      </c>
      <c r="DA299" s="14" t="s">
        <v>1096</v>
      </c>
      <c r="DB299" s="14">
        <v>100</v>
      </c>
      <c r="DC299" s="14">
        <v>10</v>
      </c>
      <c r="DD299" s="14" t="s">
        <v>1292</v>
      </c>
      <c r="DE299" s="14" t="s">
        <v>1293</v>
      </c>
    </row>
    <row r="300" spans="1:109">
      <c r="A300" s="14" t="s">
        <v>1834</v>
      </c>
      <c r="C300" s="14" t="s">
        <v>1294</v>
      </c>
      <c r="D300" s="14" t="s">
        <v>898</v>
      </c>
      <c r="E300" s="14" t="s">
        <v>673</v>
      </c>
      <c r="F300" s="14" t="s">
        <v>2530</v>
      </c>
      <c r="H300" s="14" t="s">
        <v>2483</v>
      </c>
      <c r="I300" s="14" t="s">
        <v>3128</v>
      </c>
      <c r="K300" s="14" t="s">
        <v>2540</v>
      </c>
      <c r="L300" s="14" t="s">
        <v>2542</v>
      </c>
      <c r="M300" s="14">
        <v>1324</v>
      </c>
      <c r="P300" s="14">
        <v>95</v>
      </c>
      <c r="Q300" s="14">
        <v>66</v>
      </c>
      <c r="R300" s="14">
        <v>11</v>
      </c>
      <c r="V300" s="14">
        <v>748</v>
      </c>
      <c r="W300" s="14">
        <f t="shared" si="27"/>
        <v>0.56495468277945615</v>
      </c>
      <c r="X300" s="14">
        <v>38</v>
      </c>
      <c r="Y300" s="14">
        <v>6</v>
      </c>
      <c r="AC300" s="14">
        <f>M300-449</f>
        <v>875</v>
      </c>
      <c r="AD300" s="34">
        <f t="shared" si="26"/>
        <v>0.66087613293051362</v>
      </c>
      <c r="AG300" s="35">
        <v>9</v>
      </c>
      <c r="AQ300" s="35">
        <v>16.5</v>
      </c>
      <c r="AU300" s="14" t="s">
        <v>2447</v>
      </c>
      <c r="AV300" s="14" t="s">
        <v>2500</v>
      </c>
      <c r="BE300" s="29" t="s">
        <v>2541</v>
      </c>
      <c r="BG300" s="14">
        <v>0.91</v>
      </c>
      <c r="BH300" s="14">
        <v>0.8</v>
      </c>
      <c r="BI300" s="14">
        <v>1.03</v>
      </c>
      <c r="BN300" s="27" t="s">
        <v>2552</v>
      </c>
      <c r="CJ300" s="14" t="s">
        <v>2323</v>
      </c>
      <c r="CW300" s="14" t="s">
        <v>1290</v>
      </c>
      <c r="CX300" s="14" t="s">
        <v>1291</v>
      </c>
      <c r="CY300" s="14">
        <v>2023</v>
      </c>
      <c r="CZ300" s="36">
        <v>45358</v>
      </c>
      <c r="DA300" s="14" t="s">
        <v>1096</v>
      </c>
      <c r="DB300" s="14">
        <v>100</v>
      </c>
      <c r="DC300" s="14">
        <v>10</v>
      </c>
      <c r="DD300" s="14" t="s">
        <v>1292</v>
      </c>
      <c r="DE300" s="14" t="s">
        <v>1293</v>
      </c>
    </row>
    <row r="301" spans="1:109" ht="20">
      <c r="A301" s="13" t="s">
        <v>1702</v>
      </c>
      <c r="B301" s="13" t="s">
        <v>1702</v>
      </c>
      <c r="C301" s="13" t="s">
        <v>263</v>
      </c>
      <c r="D301" s="13" t="s">
        <v>827</v>
      </c>
      <c r="E301" s="13" t="s">
        <v>672</v>
      </c>
      <c r="F301" s="13" t="s">
        <v>844</v>
      </c>
      <c r="H301" s="13" t="s">
        <v>647</v>
      </c>
      <c r="I301" s="14" t="s">
        <v>3630</v>
      </c>
      <c r="J301" s="13" t="s">
        <v>585</v>
      </c>
      <c r="K301" s="13"/>
      <c r="M301" s="13">
        <v>46</v>
      </c>
      <c r="N301" s="13"/>
      <c r="O301" s="15"/>
      <c r="P301" s="13"/>
      <c r="Q301" s="13"/>
      <c r="R301" s="13"/>
      <c r="S301" s="13">
        <v>69</v>
      </c>
      <c r="T301" s="13">
        <v>63</v>
      </c>
      <c r="U301" s="13">
        <v>75</v>
      </c>
      <c r="V301" s="14">
        <v>29</v>
      </c>
      <c r="W301" s="14">
        <f t="shared" si="27"/>
        <v>0.63043478260869568</v>
      </c>
      <c r="Z301" s="14">
        <v>38</v>
      </c>
      <c r="AA301" s="14">
        <v>18</v>
      </c>
      <c r="AB301" s="14">
        <v>47</v>
      </c>
      <c r="AC301" s="14">
        <v>33</v>
      </c>
      <c r="AD301" s="34">
        <f t="shared" si="26"/>
        <v>0.71739130434782605</v>
      </c>
      <c r="CC301" s="14" t="s">
        <v>2268</v>
      </c>
      <c r="CW301" s="13" t="s">
        <v>258</v>
      </c>
      <c r="CX301" s="13" t="s">
        <v>259</v>
      </c>
      <c r="CY301" s="13">
        <v>2023</v>
      </c>
      <c r="CZ301" s="13" t="s">
        <v>25</v>
      </c>
      <c r="DA301" s="13" t="s">
        <v>260</v>
      </c>
      <c r="DB301" s="13">
        <v>109</v>
      </c>
      <c r="DC301" s="13"/>
      <c r="DD301" s="13" t="s">
        <v>261</v>
      </c>
      <c r="DE301" s="13" t="s">
        <v>262</v>
      </c>
    </row>
    <row r="302" spans="1:109" ht="20">
      <c r="A302" s="13" t="s">
        <v>1702</v>
      </c>
      <c r="B302" s="13" t="s">
        <v>1702</v>
      </c>
      <c r="C302" s="13" t="s">
        <v>263</v>
      </c>
      <c r="D302" s="13" t="s">
        <v>827</v>
      </c>
      <c r="E302" s="13" t="s">
        <v>673</v>
      </c>
      <c r="F302" s="13" t="s">
        <v>844</v>
      </c>
      <c r="H302" s="13" t="s">
        <v>647</v>
      </c>
      <c r="I302" s="14" t="s">
        <v>3630</v>
      </c>
      <c r="J302" s="13" t="s">
        <v>585</v>
      </c>
      <c r="K302" s="13"/>
      <c r="M302" s="13">
        <v>100</v>
      </c>
      <c r="N302" s="13"/>
      <c r="O302" s="15"/>
      <c r="P302" s="13"/>
      <c r="Q302" s="13"/>
      <c r="R302" s="13"/>
      <c r="S302" s="13">
        <v>69</v>
      </c>
      <c r="T302" s="13">
        <v>63</v>
      </c>
      <c r="U302" s="13">
        <v>75</v>
      </c>
      <c r="V302" s="14">
        <v>48</v>
      </c>
      <c r="W302" s="14">
        <f t="shared" si="27"/>
        <v>0.48</v>
      </c>
      <c r="Z302" s="14">
        <v>38</v>
      </c>
      <c r="AA302" s="14">
        <v>18</v>
      </c>
      <c r="AB302" s="14">
        <v>46</v>
      </c>
      <c r="AC302" s="14">
        <v>67</v>
      </c>
      <c r="AD302" s="34">
        <f t="shared" si="26"/>
        <v>0.67</v>
      </c>
      <c r="CC302" s="14" t="s">
        <v>2268</v>
      </c>
      <c r="CW302" s="13" t="s">
        <v>258</v>
      </c>
      <c r="CX302" s="13" t="s">
        <v>259</v>
      </c>
      <c r="CY302" s="13">
        <v>2023</v>
      </c>
      <c r="CZ302" s="13" t="s">
        <v>25</v>
      </c>
      <c r="DA302" s="13" t="s">
        <v>260</v>
      </c>
      <c r="DB302" s="13">
        <v>109</v>
      </c>
      <c r="DC302" s="13"/>
      <c r="DD302" s="13" t="s">
        <v>261</v>
      </c>
      <c r="DE302" s="13" t="s">
        <v>262</v>
      </c>
    </row>
    <row r="303" spans="1:109">
      <c r="A303" s="14" t="s">
        <v>1835</v>
      </c>
      <c r="B303" s="14" t="s">
        <v>1703</v>
      </c>
      <c r="C303" s="14" t="s">
        <v>267</v>
      </c>
      <c r="D303" s="14" t="s">
        <v>825</v>
      </c>
      <c r="E303" s="14" t="s">
        <v>673</v>
      </c>
      <c r="F303" s="14" t="s">
        <v>687</v>
      </c>
      <c r="G303" s="14" t="s">
        <v>848</v>
      </c>
      <c r="H303" s="14" t="s">
        <v>712</v>
      </c>
      <c r="I303" s="14" t="s">
        <v>4083</v>
      </c>
      <c r="J303" s="14" t="s">
        <v>1966</v>
      </c>
      <c r="K303" s="14" t="s">
        <v>847</v>
      </c>
      <c r="M303" s="14">
        <v>23</v>
      </c>
      <c r="Q303" s="14">
        <v>52.5</v>
      </c>
      <c r="R303" s="14">
        <v>1.7</v>
      </c>
      <c r="V303" s="14">
        <v>12</v>
      </c>
      <c r="W303" s="14">
        <f t="shared" si="27"/>
        <v>0.52173913043478259</v>
      </c>
      <c r="X303" s="14">
        <v>38.4</v>
      </c>
      <c r="Y303" s="14">
        <v>6.2</v>
      </c>
      <c r="AC303" s="14">
        <v>19</v>
      </c>
      <c r="AD303" s="34">
        <f t="shared" si="26"/>
        <v>0.82608695652173914</v>
      </c>
      <c r="AE303" s="35">
        <v>10.3</v>
      </c>
      <c r="AF303" s="35">
        <v>5.3</v>
      </c>
      <c r="CV303" s="14" t="s">
        <v>2544</v>
      </c>
      <c r="CW303" s="14" t="s">
        <v>264</v>
      </c>
      <c r="CX303" s="14" t="s">
        <v>265</v>
      </c>
      <c r="CY303" s="14">
        <v>2021</v>
      </c>
      <c r="CZ303" s="36">
        <v>45586</v>
      </c>
      <c r="DA303" s="14" t="s">
        <v>61</v>
      </c>
      <c r="DB303" s="14">
        <v>11</v>
      </c>
      <c r="DC303" s="14">
        <v>1</v>
      </c>
      <c r="DD303" s="14" t="s">
        <v>2184</v>
      </c>
      <c r="DE303" s="14" t="s">
        <v>266</v>
      </c>
    </row>
    <row r="304" spans="1:109">
      <c r="A304" s="14" t="s">
        <v>1836</v>
      </c>
      <c r="C304" s="14" t="s">
        <v>1298</v>
      </c>
      <c r="D304" s="14" t="s">
        <v>827</v>
      </c>
      <c r="E304" s="14" t="s">
        <v>673</v>
      </c>
      <c r="F304" s="14" t="s">
        <v>2545</v>
      </c>
      <c r="H304" s="14" t="s">
        <v>712</v>
      </c>
      <c r="I304" s="14" t="s">
        <v>2968</v>
      </c>
      <c r="M304" s="14">
        <v>1086</v>
      </c>
      <c r="N304" s="14">
        <v>24</v>
      </c>
      <c r="O304" s="40">
        <f>N304/M304</f>
        <v>2.2099447513812154E-2</v>
      </c>
      <c r="Q304" s="14">
        <v>54.3</v>
      </c>
      <c r="R304" s="14">
        <v>11.2</v>
      </c>
      <c r="W304" s="14">
        <v>0.621</v>
      </c>
      <c r="X304" s="14">
        <v>40.700000000000003</v>
      </c>
      <c r="Y304" s="14">
        <v>4.5999999999999996</v>
      </c>
      <c r="AD304" s="34">
        <f>1-0.153</f>
        <v>0.84699999999999998</v>
      </c>
      <c r="AE304" s="35">
        <v>15.4</v>
      </c>
      <c r="AF304" s="35">
        <v>15.1</v>
      </c>
      <c r="AU304" s="14" t="s">
        <v>2447</v>
      </c>
      <c r="BE304" s="29" t="s">
        <v>2546</v>
      </c>
      <c r="BG304" s="14">
        <v>1.204</v>
      </c>
      <c r="BH304" s="14">
        <v>1.012</v>
      </c>
      <c r="BI304" s="14">
        <v>1.4330000000000001</v>
      </c>
      <c r="BN304" s="14" t="s">
        <v>2231</v>
      </c>
      <c r="BO304" s="14" t="s">
        <v>2490</v>
      </c>
      <c r="BP304" s="14" t="s">
        <v>2490</v>
      </c>
      <c r="CC304" s="14">
        <v>-0.16</v>
      </c>
      <c r="CG304" s="14" t="s">
        <v>635</v>
      </c>
      <c r="CW304" s="14" t="s">
        <v>1295</v>
      </c>
      <c r="CX304" s="14" t="s">
        <v>1296</v>
      </c>
      <c r="CY304" s="14">
        <v>2023</v>
      </c>
      <c r="DA304" s="14" t="s">
        <v>1197</v>
      </c>
      <c r="DB304" s="14">
        <v>17</v>
      </c>
      <c r="DD304" s="14" t="s">
        <v>2183</v>
      </c>
      <c r="DE304" s="14" t="s">
        <v>1297</v>
      </c>
    </row>
    <row r="305" spans="1:109" ht="20">
      <c r="A305" s="13" t="s">
        <v>3388</v>
      </c>
      <c r="B305" s="13"/>
      <c r="C305" s="13" t="s">
        <v>3317</v>
      </c>
      <c r="D305" s="14" t="s">
        <v>1015</v>
      </c>
      <c r="E305" s="13" t="s">
        <v>672</v>
      </c>
      <c r="F305" s="13" t="s">
        <v>844</v>
      </c>
      <c r="G305" s="13"/>
      <c r="H305" s="14" t="s">
        <v>712</v>
      </c>
      <c r="I305" s="13" t="s">
        <v>2998</v>
      </c>
      <c r="J305" s="13" t="s">
        <v>585</v>
      </c>
      <c r="K305" s="13" t="s">
        <v>3788</v>
      </c>
      <c r="L305" s="13" t="s">
        <v>641</v>
      </c>
      <c r="M305" s="13">
        <v>47</v>
      </c>
      <c r="N305" s="13"/>
      <c r="O305" s="15"/>
      <c r="P305" s="13"/>
      <c r="Q305" s="13">
        <v>55.4</v>
      </c>
      <c r="R305" s="13">
        <v>9.69</v>
      </c>
      <c r="S305" s="13"/>
      <c r="T305" s="13"/>
      <c r="U305" s="13"/>
      <c r="V305" s="13">
        <v>24</v>
      </c>
      <c r="W305" s="2">
        <f t="shared" ref="W305:W320" si="28">V305/M305</f>
        <v>0.51063829787234039</v>
      </c>
      <c r="X305" s="13"/>
      <c r="Y305" s="13"/>
      <c r="Z305" s="13">
        <v>41</v>
      </c>
      <c r="AA305" s="13">
        <v>37</v>
      </c>
      <c r="AB305" s="13">
        <v>45</v>
      </c>
      <c r="AC305" s="13">
        <v>37</v>
      </c>
      <c r="AD305" s="13">
        <f>AC305/M305</f>
        <v>0.78723404255319152</v>
      </c>
      <c r="AE305" s="13"/>
      <c r="AF305" s="13"/>
      <c r="AG305" s="13">
        <v>14</v>
      </c>
      <c r="AH305" s="13">
        <f>AG305-13/2</f>
        <v>7.5</v>
      </c>
      <c r="AI305" s="13">
        <f>AG305+13/2</f>
        <v>20.5</v>
      </c>
      <c r="AJ305" s="13"/>
      <c r="AK305" s="13"/>
      <c r="AL305" s="13"/>
      <c r="AM305" s="13"/>
      <c r="AN305" s="13"/>
      <c r="AO305" s="13"/>
      <c r="AP305" s="13"/>
      <c r="AQ305" s="13"/>
      <c r="AR305" s="13"/>
      <c r="AS305" s="13"/>
      <c r="AT305" s="13"/>
      <c r="AV305" s="13"/>
      <c r="AW305" s="13"/>
      <c r="AX305" s="13"/>
      <c r="AY305" s="13"/>
      <c r="AZ305" s="13"/>
      <c r="BA305" s="16"/>
      <c r="BB305" s="13"/>
      <c r="BC305" s="13"/>
      <c r="BD305" s="13"/>
      <c r="BE305" s="16"/>
      <c r="BF305" s="13"/>
      <c r="BG305" s="13"/>
      <c r="BH305" s="13"/>
      <c r="BI305" s="13"/>
      <c r="BJ305" s="16"/>
      <c r="BK305" s="13"/>
      <c r="BL305" s="13"/>
      <c r="BM305" s="13"/>
      <c r="BN305" s="16" t="s">
        <v>2552</v>
      </c>
      <c r="BO305" s="13" t="s">
        <v>3197</v>
      </c>
      <c r="BP305" s="13"/>
      <c r="BQ305" s="13">
        <v>0.3</v>
      </c>
      <c r="BR305" s="13"/>
      <c r="BS305" s="13"/>
      <c r="BT305" s="13"/>
      <c r="BU305" s="13">
        <v>0.04</v>
      </c>
      <c r="BV305" s="13"/>
      <c r="BW305" s="13"/>
      <c r="BX305" s="13"/>
      <c r="BY305" s="13"/>
      <c r="BZ305" s="13"/>
      <c r="CA305" s="13"/>
      <c r="CB305" s="13"/>
      <c r="CC305" s="13">
        <v>-0.4</v>
      </c>
      <c r="CD305" s="13"/>
      <c r="CE305" s="13"/>
      <c r="CF305" s="13"/>
      <c r="CG305" s="13">
        <v>4.7E-2</v>
      </c>
      <c r="CH305" s="13"/>
      <c r="CI305" s="13"/>
      <c r="CJ305" s="13"/>
      <c r="CK305" s="13"/>
      <c r="CL305" s="13"/>
      <c r="CM305" s="13"/>
      <c r="CN305" s="13"/>
      <c r="CO305" s="13"/>
      <c r="CP305" s="13"/>
      <c r="CQ305" s="13"/>
      <c r="CR305" s="13"/>
      <c r="CS305" s="13"/>
      <c r="CT305" s="13"/>
      <c r="CU305" s="13"/>
      <c r="CV305" s="13" t="s">
        <v>3789</v>
      </c>
      <c r="CW305" s="13" t="s">
        <v>3511</v>
      </c>
      <c r="CX305" s="13" t="s">
        <v>3512</v>
      </c>
      <c r="CY305" s="13">
        <v>2024</v>
      </c>
      <c r="CZ305" s="13"/>
      <c r="DA305" s="13" t="s">
        <v>416</v>
      </c>
      <c r="DB305" s="13">
        <v>15</v>
      </c>
      <c r="DC305" s="13"/>
      <c r="DD305" s="13">
        <v>1515252</v>
      </c>
      <c r="DE305" s="13" t="s">
        <v>3243</v>
      </c>
    </row>
    <row r="306" spans="1:109" ht="20">
      <c r="A306" s="13" t="s">
        <v>3389</v>
      </c>
      <c r="B306" s="13"/>
      <c r="C306" s="13" t="s">
        <v>3318</v>
      </c>
      <c r="D306" s="14" t="s">
        <v>830</v>
      </c>
      <c r="E306" s="13" t="s">
        <v>674</v>
      </c>
      <c r="F306" s="13" t="s">
        <v>3794</v>
      </c>
      <c r="G306" s="13"/>
      <c r="H306" s="14" t="s">
        <v>584</v>
      </c>
      <c r="I306" s="13" t="s">
        <v>3791</v>
      </c>
      <c r="J306" s="13" t="s">
        <v>3781</v>
      </c>
      <c r="K306" s="13" t="s">
        <v>3792</v>
      </c>
      <c r="L306" s="13"/>
      <c r="M306" s="13">
        <v>10</v>
      </c>
      <c r="N306" s="13"/>
      <c r="O306" s="15"/>
      <c r="P306" s="13"/>
      <c r="Q306" s="13">
        <v>60</v>
      </c>
      <c r="R306" s="13"/>
      <c r="S306" s="13"/>
      <c r="T306" s="13"/>
      <c r="U306" s="13"/>
      <c r="V306" s="13">
        <v>10</v>
      </c>
      <c r="W306" s="2">
        <f t="shared" si="28"/>
        <v>1</v>
      </c>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V306" s="13"/>
      <c r="AW306" s="13"/>
      <c r="AX306" s="13"/>
      <c r="AY306" s="13"/>
      <c r="AZ306" s="13"/>
      <c r="BA306" s="16"/>
      <c r="BB306" s="13"/>
      <c r="BC306" s="13"/>
      <c r="BD306" s="13"/>
      <c r="BE306" s="16"/>
      <c r="BF306" s="13"/>
      <c r="BG306" s="13"/>
      <c r="BH306" s="13"/>
      <c r="BI306" s="13"/>
      <c r="BJ306" s="16"/>
      <c r="BK306" s="13"/>
      <c r="BL306" s="13"/>
      <c r="BM306" s="13"/>
      <c r="BN306" s="16"/>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t="s">
        <v>3513</v>
      </c>
      <c r="CX306" s="13" t="s">
        <v>3514</v>
      </c>
      <c r="CY306" s="13">
        <v>2025</v>
      </c>
      <c r="CZ306" s="21">
        <v>45708</v>
      </c>
      <c r="DA306" s="13" t="s">
        <v>3515</v>
      </c>
      <c r="DB306" s="13">
        <v>15</v>
      </c>
      <c r="DC306" s="13">
        <v>1</v>
      </c>
      <c r="DD306" s="13">
        <v>26</v>
      </c>
      <c r="DE306" s="13" t="s">
        <v>3244</v>
      </c>
    </row>
    <row r="307" spans="1:109">
      <c r="A307" s="14" t="s">
        <v>1837</v>
      </c>
      <c r="C307" s="14" t="s">
        <v>2551</v>
      </c>
      <c r="D307" s="14" t="s">
        <v>827</v>
      </c>
      <c r="E307" s="14" t="s">
        <v>673</v>
      </c>
      <c r="F307" s="14" t="s">
        <v>2554</v>
      </c>
      <c r="H307" s="14" t="s">
        <v>669</v>
      </c>
      <c r="I307" s="14" t="s">
        <v>3129</v>
      </c>
      <c r="J307" s="14" t="s">
        <v>2549</v>
      </c>
      <c r="K307" s="14" t="s">
        <v>2548</v>
      </c>
      <c r="M307" s="14">
        <v>36</v>
      </c>
      <c r="Q307" s="14">
        <v>51.9</v>
      </c>
      <c r="R307" s="14">
        <v>12.2</v>
      </c>
      <c r="V307" s="14">
        <v>25</v>
      </c>
      <c r="W307" s="14">
        <f t="shared" si="28"/>
        <v>0.69444444444444442</v>
      </c>
      <c r="X307" s="14">
        <v>38</v>
      </c>
      <c r="Y307" s="14">
        <v>6.1</v>
      </c>
      <c r="AC307" s="14">
        <v>28</v>
      </c>
      <c r="AD307" s="34">
        <f>AC307/M307</f>
        <v>0.77777777777777779</v>
      </c>
      <c r="AE307" s="35">
        <f>236.3/30</f>
        <v>7.8766666666666669</v>
      </c>
      <c r="AF307" s="35">
        <f>231.4/30</f>
        <v>7.7133333333333338</v>
      </c>
      <c r="AQ307" s="35">
        <v>24.2</v>
      </c>
      <c r="BN307" s="27" t="s">
        <v>2552</v>
      </c>
      <c r="CH307" s="14">
        <v>0.32690000000000002</v>
      </c>
      <c r="CI307" s="14">
        <v>7.2599999999999998E-2</v>
      </c>
      <c r="CV307" s="14" t="s">
        <v>2550</v>
      </c>
      <c r="CW307" s="14" t="s">
        <v>1299</v>
      </c>
      <c r="CX307" s="14" t="s">
        <v>1300</v>
      </c>
      <c r="CY307" s="14">
        <v>2019</v>
      </c>
      <c r="DA307" s="14" t="s">
        <v>1096</v>
      </c>
      <c r="DB307" s="14">
        <v>92</v>
      </c>
      <c r="DC307" s="14">
        <v>15</v>
      </c>
      <c r="DE307" s="14" t="s">
        <v>4032</v>
      </c>
    </row>
    <row r="308" spans="1:109">
      <c r="A308" s="14" t="s">
        <v>1837</v>
      </c>
      <c r="C308" s="14" t="s">
        <v>2551</v>
      </c>
      <c r="D308" s="14" t="s">
        <v>827</v>
      </c>
      <c r="E308" s="14" t="s">
        <v>673</v>
      </c>
      <c r="F308" s="14" t="s">
        <v>2555</v>
      </c>
      <c r="H308" s="14" t="s">
        <v>669</v>
      </c>
      <c r="I308" s="14" t="s">
        <v>3129</v>
      </c>
      <c r="J308" s="14" t="s">
        <v>2549</v>
      </c>
      <c r="K308" s="14" t="s">
        <v>2548</v>
      </c>
      <c r="M308" s="14">
        <v>36</v>
      </c>
      <c r="Q308" s="14">
        <v>51.9</v>
      </c>
      <c r="R308" s="14">
        <v>12.2</v>
      </c>
      <c r="V308" s="14">
        <v>25</v>
      </c>
      <c r="W308" s="14">
        <f t="shared" si="28"/>
        <v>0.69444444444444442</v>
      </c>
      <c r="X308" s="14">
        <v>38</v>
      </c>
      <c r="Y308" s="14">
        <v>6.1</v>
      </c>
      <c r="AC308" s="14">
        <v>28</v>
      </c>
      <c r="AD308" s="34">
        <f>AC308/M308</f>
        <v>0.77777777777777779</v>
      </c>
      <c r="AE308" s="35">
        <f>236.3/30</f>
        <v>7.8766666666666669</v>
      </c>
      <c r="AF308" s="35">
        <f>231.4/30</f>
        <v>7.7133333333333338</v>
      </c>
      <c r="AQ308" s="35">
        <v>24.2</v>
      </c>
      <c r="BN308" s="27" t="s">
        <v>2552</v>
      </c>
      <c r="CH308" s="14">
        <v>-0.49809999999999999</v>
      </c>
      <c r="CI308" s="14">
        <v>4.3E-3</v>
      </c>
      <c r="CV308" s="14" t="s">
        <v>2550</v>
      </c>
      <c r="CW308" s="14" t="s">
        <v>1299</v>
      </c>
      <c r="CX308" s="14" t="s">
        <v>1300</v>
      </c>
      <c r="CY308" s="14">
        <v>2019</v>
      </c>
      <c r="DA308" s="14" t="s">
        <v>1096</v>
      </c>
      <c r="DB308" s="14">
        <v>92</v>
      </c>
      <c r="DC308" s="14">
        <v>15</v>
      </c>
      <c r="DE308" s="14" t="s">
        <v>4032</v>
      </c>
    </row>
    <row r="309" spans="1:109">
      <c r="A309" s="14" t="s">
        <v>1837</v>
      </c>
      <c r="C309" s="14" t="s">
        <v>2551</v>
      </c>
      <c r="D309" s="14" t="s">
        <v>827</v>
      </c>
      <c r="E309" s="14" t="s">
        <v>673</v>
      </c>
      <c r="F309" s="14" t="s">
        <v>767</v>
      </c>
      <c r="H309" s="14" t="s">
        <v>669</v>
      </c>
      <c r="I309" s="14" t="s">
        <v>3129</v>
      </c>
      <c r="J309" s="14" t="s">
        <v>2549</v>
      </c>
      <c r="K309" s="14" t="s">
        <v>2548</v>
      </c>
      <c r="M309" s="14">
        <v>36</v>
      </c>
      <c r="Q309" s="14">
        <v>51.9</v>
      </c>
      <c r="R309" s="14">
        <v>12.2</v>
      </c>
      <c r="V309" s="14">
        <v>25</v>
      </c>
      <c r="W309" s="14">
        <f t="shared" si="28"/>
        <v>0.69444444444444442</v>
      </c>
      <c r="X309" s="14">
        <v>38</v>
      </c>
      <c r="Y309" s="14">
        <v>6.1</v>
      </c>
      <c r="AC309" s="14">
        <v>28</v>
      </c>
      <c r="AD309" s="34">
        <f>AC309/M309</f>
        <v>0.77777777777777779</v>
      </c>
      <c r="AE309" s="35">
        <f>236.3/30</f>
        <v>7.8766666666666669</v>
      </c>
      <c r="AF309" s="35">
        <f>231.4/30</f>
        <v>7.7133333333333338</v>
      </c>
      <c r="AQ309" s="35">
        <v>24.2</v>
      </c>
      <c r="BN309" s="27" t="s">
        <v>2552</v>
      </c>
      <c r="CH309" s="14">
        <v>-0.34139999999999998</v>
      </c>
      <c r="CI309" s="14">
        <v>6.0100000000000001E-2</v>
      </c>
      <c r="CV309" s="14" t="s">
        <v>2550</v>
      </c>
      <c r="CW309" s="14" t="s">
        <v>1299</v>
      </c>
      <c r="CX309" s="14" t="s">
        <v>1300</v>
      </c>
      <c r="CY309" s="14">
        <v>2019</v>
      </c>
      <c r="DA309" s="14" t="s">
        <v>1096</v>
      </c>
      <c r="DB309" s="14">
        <v>92</v>
      </c>
      <c r="DC309" s="14">
        <v>15</v>
      </c>
      <c r="DE309" s="14" t="s">
        <v>4032</v>
      </c>
    </row>
    <row r="310" spans="1:109">
      <c r="A310" s="14" t="s">
        <v>1837</v>
      </c>
      <c r="C310" s="14" t="s">
        <v>2551</v>
      </c>
      <c r="D310" s="14" t="s">
        <v>827</v>
      </c>
      <c r="E310" s="14" t="s">
        <v>673</v>
      </c>
      <c r="F310" s="14" t="s">
        <v>2556</v>
      </c>
      <c r="H310" s="14" t="s">
        <v>669</v>
      </c>
      <c r="I310" s="14" t="s">
        <v>3129</v>
      </c>
      <c r="J310" s="14" t="s">
        <v>2549</v>
      </c>
      <c r="K310" s="14" t="s">
        <v>2548</v>
      </c>
      <c r="M310" s="14">
        <v>36</v>
      </c>
      <c r="Q310" s="14">
        <v>51.9</v>
      </c>
      <c r="R310" s="14">
        <v>12.2</v>
      </c>
      <c r="V310" s="14">
        <v>25</v>
      </c>
      <c r="W310" s="14">
        <f t="shared" si="28"/>
        <v>0.69444444444444442</v>
      </c>
      <c r="X310" s="14">
        <v>38</v>
      </c>
      <c r="Y310" s="14">
        <v>6.1</v>
      </c>
      <c r="AC310" s="14">
        <v>28</v>
      </c>
      <c r="AD310" s="34">
        <f>AC310/M310</f>
        <v>0.77777777777777779</v>
      </c>
      <c r="AE310" s="35">
        <f>236.3/30</f>
        <v>7.8766666666666669</v>
      </c>
      <c r="AF310" s="35">
        <f>231.4/30</f>
        <v>7.7133333333333338</v>
      </c>
      <c r="AQ310" s="35">
        <v>24.2</v>
      </c>
      <c r="BN310" s="27" t="s">
        <v>2552</v>
      </c>
      <c r="CH310" s="14">
        <v>-0.32640000000000002</v>
      </c>
      <c r="CI310" s="14">
        <v>7.3099999999999998E-2</v>
      </c>
      <c r="CV310" s="14" t="s">
        <v>2550</v>
      </c>
      <c r="CW310" s="14" t="s">
        <v>1299</v>
      </c>
      <c r="CX310" s="14" t="s">
        <v>1300</v>
      </c>
      <c r="CY310" s="14">
        <v>2019</v>
      </c>
      <c r="DA310" s="14" t="s">
        <v>1096</v>
      </c>
      <c r="DB310" s="14">
        <v>92</v>
      </c>
      <c r="DC310" s="14">
        <v>15</v>
      </c>
      <c r="DE310" s="14" t="s">
        <v>4032</v>
      </c>
    </row>
    <row r="311" spans="1:109">
      <c r="A311" s="14" t="s">
        <v>1837</v>
      </c>
      <c r="C311" s="14" t="s">
        <v>2551</v>
      </c>
      <c r="D311" s="14" t="s">
        <v>827</v>
      </c>
      <c r="E311" s="14" t="s">
        <v>673</v>
      </c>
      <c r="F311" s="14" t="s">
        <v>2557</v>
      </c>
      <c r="H311" s="14" t="s">
        <v>669</v>
      </c>
      <c r="I311" s="14" t="s">
        <v>3129</v>
      </c>
      <c r="J311" s="14" t="s">
        <v>2549</v>
      </c>
      <c r="K311" s="14" t="s">
        <v>2548</v>
      </c>
      <c r="M311" s="14">
        <v>36</v>
      </c>
      <c r="Q311" s="14">
        <v>51.9</v>
      </c>
      <c r="R311" s="14">
        <v>12.2</v>
      </c>
      <c r="V311" s="14">
        <v>25</v>
      </c>
      <c r="W311" s="14">
        <f t="shared" si="28"/>
        <v>0.69444444444444442</v>
      </c>
      <c r="X311" s="14">
        <v>38</v>
      </c>
      <c r="Y311" s="14">
        <v>6.1</v>
      </c>
      <c r="AC311" s="14">
        <v>28</v>
      </c>
      <c r="AD311" s="34">
        <f>AC311/M311</f>
        <v>0.77777777777777779</v>
      </c>
      <c r="AE311" s="35">
        <f>236.3/30</f>
        <v>7.8766666666666669</v>
      </c>
      <c r="AF311" s="35">
        <f>231.4/30</f>
        <v>7.7133333333333338</v>
      </c>
      <c r="AQ311" s="35">
        <v>24.2</v>
      </c>
      <c r="BN311" s="27" t="s">
        <v>2552</v>
      </c>
      <c r="CH311" s="14">
        <v>0.44490000000000002</v>
      </c>
      <c r="CI311" s="14">
        <v>1.2200000000000001E-2</v>
      </c>
      <c r="CV311" s="14" t="s">
        <v>2550</v>
      </c>
      <c r="CW311" s="14" t="s">
        <v>1299</v>
      </c>
      <c r="CX311" s="14" t="s">
        <v>1300</v>
      </c>
      <c r="CY311" s="14">
        <v>2019</v>
      </c>
      <c r="DA311" s="14" t="s">
        <v>1096</v>
      </c>
      <c r="DB311" s="14">
        <v>92</v>
      </c>
      <c r="DC311" s="14">
        <v>15</v>
      </c>
      <c r="DE311" s="14" t="s">
        <v>4032</v>
      </c>
    </row>
    <row r="312" spans="1:109">
      <c r="A312" s="14" t="s">
        <v>1838</v>
      </c>
      <c r="B312" s="14" t="s">
        <v>1704</v>
      </c>
      <c r="C312" s="14" t="s">
        <v>2559</v>
      </c>
      <c r="D312" s="14" t="s">
        <v>830</v>
      </c>
      <c r="E312" s="14" t="s">
        <v>673</v>
      </c>
      <c r="F312" s="14" t="s">
        <v>2561</v>
      </c>
      <c r="G312" s="14" t="s">
        <v>854</v>
      </c>
      <c r="H312" s="14" t="s">
        <v>850</v>
      </c>
      <c r="I312" s="14" t="s">
        <v>4084</v>
      </c>
      <c r="J312" s="14" t="s">
        <v>576</v>
      </c>
      <c r="K312" s="14" t="s">
        <v>851</v>
      </c>
      <c r="M312" s="14">
        <v>44</v>
      </c>
      <c r="V312" s="14">
        <v>21</v>
      </c>
      <c r="W312" s="14">
        <f t="shared" si="28"/>
        <v>0.47727272727272729</v>
      </c>
      <c r="BN312" s="14" t="s">
        <v>2552</v>
      </c>
      <c r="BQ312" s="14">
        <v>-0.44240000000000002</v>
      </c>
      <c r="BU312" s="14">
        <v>4.0000000000000001E-3</v>
      </c>
      <c r="CV312" s="14" t="s">
        <v>2558</v>
      </c>
      <c r="CW312" s="14" t="s">
        <v>268</v>
      </c>
      <c r="CX312" s="14" t="s">
        <v>1301</v>
      </c>
      <c r="CY312" s="14">
        <v>2020</v>
      </c>
      <c r="DA312" s="14" t="s">
        <v>135</v>
      </c>
      <c r="DB312" s="14">
        <v>2</v>
      </c>
      <c r="DC312" s="14">
        <v>1</v>
      </c>
      <c r="DD312" s="14" t="s">
        <v>1302</v>
      </c>
      <c r="DE312" s="14" t="s">
        <v>270</v>
      </c>
    </row>
    <row r="313" spans="1:109">
      <c r="A313" s="14" t="s">
        <v>1838</v>
      </c>
      <c r="B313" s="14" t="s">
        <v>1704</v>
      </c>
      <c r="C313" s="14" t="s">
        <v>2559</v>
      </c>
      <c r="D313" s="14" t="s">
        <v>830</v>
      </c>
      <c r="E313" s="14" t="s">
        <v>673</v>
      </c>
      <c r="F313" s="14" t="s">
        <v>2562</v>
      </c>
      <c r="G313" s="14" t="s">
        <v>854</v>
      </c>
      <c r="H313" s="14" t="s">
        <v>850</v>
      </c>
      <c r="I313" s="14" t="s">
        <v>3130</v>
      </c>
      <c r="J313" s="14" t="s">
        <v>576</v>
      </c>
      <c r="K313" s="14" t="s">
        <v>851</v>
      </c>
      <c r="M313" s="14">
        <v>44</v>
      </c>
      <c r="V313" s="14">
        <v>21</v>
      </c>
      <c r="W313" s="14">
        <f t="shared" si="28"/>
        <v>0.47727272727272729</v>
      </c>
      <c r="BN313" s="14" t="s">
        <v>2552</v>
      </c>
      <c r="BQ313" s="14">
        <v>-0.3533</v>
      </c>
      <c r="BU313" s="14">
        <v>0.02</v>
      </c>
      <c r="CV313" s="14" t="s">
        <v>2558</v>
      </c>
      <c r="CW313" s="14" t="s">
        <v>268</v>
      </c>
      <c r="CX313" s="14" t="s">
        <v>1301</v>
      </c>
      <c r="CY313" s="14">
        <v>2020</v>
      </c>
      <c r="DA313" s="14" t="s">
        <v>135</v>
      </c>
      <c r="DB313" s="14">
        <v>2</v>
      </c>
      <c r="DC313" s="14">
        <v>1</v>
      </c>
      <c r="DD313" s="14" t="s">
        <v>1302</v>
      </c>
      <c r="DE313" s="14" t="s">
        <v>270</v>
      </c>
    </row>
    <row r="314" spans="1:109">
      <c r="A314" s="14" t="s">
        <v>1839</v>
      </c>
      <c r="C314" s="14" t="s">
        <v>1307</v>
      </c>
      <c r="D314" s="14" t="s">
        <v>863</v>
      </c>
      <c r="E314" s="14" t="s">
        <v>673</v>
      </c>
      <c r="F314" s="14" t="s">
        <v>737</v>
      </c>
      <c r="H314" s="14" t="s">
        <v>2563</v>
      </c>
      <c r="I314" s="14" t="s">
        <v>4071</v>
      </c>
      <c r="J314" s="14" t="s">
        <v>2564</v>
      </c>
      <c r="L314" s="14" t="s">
        <v>641</v>
      </c>
      <c r="M314" s="14">
        <v>105</v>
      </c>
      <c r="Q314" s="14">
        <v>57.5</v>
      </c>
      <c r="R314" s="14">
        <v>10.4</v>
      </c>
      <c r="V314" s="14">
        <v>70</v>
      </c>
      <c r="W314" s="14">
        <f t="shared" si="28"/>
        <v>0.66666666666666663</v>
      </c>
      <c r="Z314" s="14">
        <v>40</v>
      </c>
      <c r="AA314" s="14">
        <v>36</v>
      </c>
      <c r="AB314" s="14">
        <v>43</v>
      </c>
      <c r="AC314" s="14">
        <v>80</v>
      </c>
      <c r="AD314" s="34">
        <f>AC314/M314</f>
        <v>0.76190476190476186</v>
      </c>
      <c r="AG314" s="35">
        <v>12</v>
      </c>
      <c r="AH314" s="35">
        <v>8</v>
      </c>
      <c r="AI314" s="35">
        <v>18</v>
      </c>
      <c r="AU314" s="14" t="s">
        <v>2449</v>
      </c>
      <c r="AV314" s="14" t="s">
        <v>2380</v>
      </c>
      <c r="AX314" s="14">
        <v>27.2</v>
      </c>
      <c r="AY314" s="14">
        <v>6.74</v>
      </c>
      <c r="AZ314" s="14">
        <v>109.8</v>
      </c>
      <c r="BE314" s="29" t="s">
        <v>2565</v>
      </c>
      <c r="BG314" s="14">
        <v>13.65</v>
      </c>
      <c r="BH314" s="14">
        <v>2.57</v>
      </c>
      <c r="BI314" s="14">
        <v>72.53</v>
      </c>
      <c r="BN314" s="14" t="s">
        <v>2231</v>
      </c>
      <c r="BO314" s="14" t="s">
        <v>2380</v>
      </c>
      <c r="BP314" s="14" t="s">
        <v>2380</v>
      </c>
      <c r="BQ314" s="14">
        <v>0.37</v>
      </c>
      <c r="BU314" s="14" t="s">
        <v>635</v>
      </c>
      <c r="CC314" s="14">
        <v>-0.25</v>
      </c>
      <c r="CG314" s="14">
        <v>0.02</v>
      </c>
      <c r="CW314" s="14" t="s">
        <v>1303</v>
      </c>
      <c r="CX314" s="14" t="s">
        <v>1304</v>
      </c>
      <c r="CY314" s="14">
        <v>2024</v>
      </c>
      <c r="CZ314" s="36" t="s">
        <v>53</v>
      </c>
      <c r="DA314" s="14" t="s">
        <v>26</v>
      </c>
      <c r="DB314" s="14">
        <v>11</v>
      </c>
      <c r="DC314" s="14">
        <v>7</v>
      </c>
      <c r="DD314" s="14" t="s">
        <v>1305</v>
      </c>
      <c r="DE314" s="14" t="s">
        <v>1306</v>
      </c>
    </row>
    <row r="315" spans="1:109">
      <c r="A315" s="14" t="s">
        <v>1840</v>
      </c>
      <c r="B315" s="14" t="s">
        <v>1705</v>
      </c>
      <c r="C315" s="14" t="s">
        <v>275</v>
      </c>
      <c r="D315" s="14" t="s">
        <v>860</v>
      </c>
      <c r="E315" s="14" t="s">
        <v>672</v>
      </c>
      <c r="F315" s="14" t="s">
        <v>675</v>
      </c>
      <c r="H315" s="14" t="s">
        <v>855</v>
      </c>
      <c r="I315" s="14" t="s">
        <v>4085</v>
      </c>
      <c r="J315" s="14" t="s">
        <v>652</v>
      </c>
      <c r="M315" s="14">
        <v>29</v>
      </c>
      <c r="Q315" s="14">
        <v>65.41</v>
      </c>
      <c r="R315" s="14">
        <v>12.34</v>
      </c>
      <c r="V315" s="14">
        <v>19</v>
      </c>
      <c r="W315" s="14">
        <f t="shared" si="28"/>
        <v>0.65517241379310343</v>
      </c>
      <c r="AQ315" s="35">
        <f>575/30</f>
        <v>19.166666666666668</v>
      </c>
      <c r="AU315" s="14" t="s">
        <v>2449</v>
      </c>
      <c r="AX315" s="14">
        <v>7.7270000000000003</v>
      </c>
      <c r="BE315" s="29" t="s">
        <v>2303</v>
      </c>
      <c r="CW315" s="14" t="s">
        <v>271</v>
      </c>
      <c r="CX315" s="14" t="s">
        <v>272</v>
      </c>
      <c r="CY315" s="14">
        <v>2019</v>
      </c>
      <c r="CZ315" s="36" t="s">
        <v>162</v>
      </c>
      <c r="DA315" s="14" t="s">
        <v>26</v>
      </c>
      <c r="DB315" s="14">
        <v>6</v>
      </c>
      <c r="DC315" s="14">
        <v>12</v>
      </c>
      <c r="DD315" s="14" t="s">
        <v>273</v>
      </c>
      <c r="DE315" s="14" t="s">
        <v>274</v>
      </c>
    </row>
    <row r="316" spans="1:109">
      <c r="A316" s="14" t="s">
        <v>1840</v>
      </c>
      <c r="B316" s="14" t="s">
        <v>1705</v>
      </c>
      <c r="C316" s="14" t="s">
        <v>275</v>
      </c>
      <c r="D316" s="14" t="s">
        <v>860</v>
      </c>
      <c r="E316" s="14" t="s">
        <v>672</v>
      </c>
      <c r="F316" s="14" t="s">
        <v>858</v>
      </c>
      <c r="H316" s="14" t="s">
        <v>855</v>
      </c>
      <c r="I316" s="14" t="s">
        <v>3131</v>
      </c>
      <c r="J316" s="14" t="s">
        <v>652</v>
      </c>
      <c r="M316" s="14">
        <v>29</v>
      </c>
      <c r="Q316" s="14">
        <v>65.41</v>
      </c>
      <c r="R316" s="14">
        <v>12.34</v>
      </c>
      <c r="V316" s="14">
        <v>19</v>
      </c>
      <c r="W316" s="14">
        <f t="shared" si="28"/>
        <v>0.65517241379310343</v>
      </c>
      <c r="AQ316" s="35">
        <f>575/30</f>
        <v>19.166666666666668</v>
      </c>
      <c r="AU316" s="14" t="s">
        <v>2449</v>
      </c>
      <c r="BE316" s="29" t="s">
        <v>2303</v>
      </c>
      <c r="CW316" s="14" t="s">
        <v>271</v>
      </c>
      <c r="CX316" s="14" t="s">
        <v>272</v>
      </c>
      <c r="CY316" s="14">
        <v>2019</v>
      </c>
      <c r="CZ316" s="36" t="s">
        <v>162</v>
      </c>
      <c r="DA316" s="14" t="s">
        <v>26</v>
      </c>
      <c r="DB316" s="14">
        <v>6</v>
      </c>
      <c r="DC316" s="14">
        <v>12</v>
      </c>
      <c r="DD316" s="14" t="s">
        <v>273</v>
      </c>
      <c r="DE316" s="14" t="s">
        <v>274</v>
      </c>
    </row>
    <row r="317" spans="1:109">
      <c r="A317" s="14" t="s">
        <v>1840</v>
      </c>
      <c r="B317" s="14" t="s">
        <v>1705</v>
      </c>
      <c r="C317" s="14" t="s">
        <v>275</v>
      </c>
      <c r="D317" s="14" t="s">
        <v>860</v>
      </c>
      <c r="E317" s="14" t="s">
        <v>672</v>
      </c>
      <c r="F317" s="14" t="s">
        <v>684</v>
      </c>
      <c r="G317" s="14" t="s">
        <v>859</v>
      </c>
      <c r="H317" s="14" t="s">
        <v>855</v>
      </c>
      <c r="I317" s="14" t="s">
        <v>3131</v>
      </c>
      <c r="J317" s="14" t="s">
        <v>652</v>
      </c>
      <c r="M317" s="14">
        <v>29</v>
      </c>
      <c r="Q317" s="14">
        <v>65.41</v>
      </c>
      <c r="R317" s="14">
        <v>12.34</v>
      </c>
      <c r="V317" s="14">
        <v>19</v>
      </c>
      <c r="W317" s="14">
        <f t="shared" si="28"/>
        <v>0.65517241379310343</v>
      </c>
      <c r="AQ317" s="35">
        <f>575/30</f>
        <v>19.166666666666668</v>
      </c>
      <c r="AU317" s="14" t="s">
        <v>2449</v>
      </c>
      <c r="BE317" s="29" t="s">
        <v>2303</v>
      </c>
      <c r="CW317" s="14" t="s">
        <v>271</v>
      </c>
      <c r="CX317" s="14" t="s">
        <v>272</v>
      </c>
      <c r="CY317" s="14">
        <v>2019</v>
      </c>
      <c r="CZ317" s="36" t="s">
        <v>162</v>
      </c>
      <c r="DA317" s="14" t="s">
        <v>26</v>
      </c>
      <c r="DB317" s="14">
        <v>6</v>
      </c>
      <c r="DC317" s="14">
        <v>12</v>
      </c>
      <c r="DD317" s="14" t="s">
        <v>273</v>
      </c>
      <c r="DE317" s="14" t="s">
        <v>274</v>
      </c>
    </row>
    <row r="318" spans="1:109">
      <c r="A318" s="14" t="s">
        <v>1840</v>
      </c>
      <c r="B318" s="14" t="s">
        <v>1705</v>
      </c>
      <c r="C318" s="14" t="s">
        <v>275</v>
      </c>
      <c r="D318" s="14" t="s">
        <v>860</v>
      </c>
      <c r="E318" s="14" t="s">
        <v>692</v>
      </c>
      <c r="F318" s="14" t="s">
        <v>684</v>
      </c>
      <c r="G318" s="14" t="s">
        <v>861</v>
      </c>
      <c r="H318" s="14" t="s">
        <v>855</v>
      </c>
      <c r="I318" s="14" t="s">
        <v>3131</v>
      </c>
      <c r="J318" s="14" t="s">
        <v>652</v>
      </c>
      <c r="M318" s="14">
        <v>29</v>
      </c>
      <c r="Q318" s="14">
        <v>65.41</v>
      </c>
      <c r="R318" s="14">
        <v>12.34</v>
      </c>
      <c r="V318" s="14">
        <v>19</v>
      </c>
      <c r="W318" s="14">
        <f t="shared" si="28"/>
        <v>0.65517241379310343</v>
      </c>
      <c r="AQ318" s="35">
        <f>575/30</f>
        <v>19.166666666666668</v>
      </c>
      <c r="AU318" s="14" t="s">
        <v>2449</v>
      </c>
      <c r="BE318" s="29" t="s">
        <v>2303</v>
      </c>
      <c r="CW318" s="14" t="s">
        <v>271</v>
      </c>
      <c r="CX318" s="14" t="s">
        <v>272</v>
      </c>
      <c r="CY318" s="14">
        <v>2019</v>
      </c>
      <c r="CZ318" s="36" t="s">
        <v>162</v>
      </c>
      <c r="DA318" s="14" t="s">
        <v>26</v>
      </c>
      <c r="DB318" s="14">
        <v>6</v>
      </c>
      <c r="DC318" s="14">
        <v>12</v>
      </c>
      <c r="DD318" s="14" t="s">
        <v>273</v>
      </c>
      <c r="DE318" s="14" t="s">
        <v>274</v>
      </c>
    </row>
    <row r="319" spans="1:109">
      <c r="A319" s="14" t="s">
        <v>1840</v>
      </c>
      <c r="B319" s="14" t="s">
        <v>1705</v>
      </c>
      <c r="C319" s="14" t="s">
        <v>275</v>
      </c>
      <c r="D319" s="14" t="s">
        <v>860</v>
      </c>
      <c r="E319" s="14" t="s">
        <v>674</v>
      </c>
      <c r="F319" s="14" t="s">
        <v>675</v>
      </c>
      <c r="H319" s="14" t="s">
        <v>855</v>
      </c>
      <c r="I319" s="14" t="s">
        <v>3131</v>
      </c>
      <c r="J319" s="14" t="s">
        <v>652</v>
      </c>
      <c r="M319" s="14">
        <v>29</v>
      </c>
      <c r="Q319" s="14">
        <v>65.41</v>
      </c>
      <c r="R319" s="14">
        <v>12.34</v>
      </c>
      <c r="V319" s="14">
        <v>19</v>
      </c>
      <c r="W319" s="14">
        <f t="shared" si="28"/>
        <v>0.65517241379310343</v>
      </c>
      <c r="AQ319" s="35">
        <f>575/30</f>
        <v>19.166666666666668</v>
      </c>
      <c r="AU319" s="14" t="s">
        <v>2449</v>
      </c>
      <c r="AX319" s="14">
        <v>6.8</v>
      </c>
      <c r="BE319" s="29" t="s">
        <v>2303</v>
      </c>
      <c r="CW319" s="14" t="s">
        <v>271</v>
      </c>
      <c r="CX319" s="14" t="s">
        <v>272</v>
      </c>
      <c r="CY319" s="14">
        <v>2019</v>
      </c>
      <c r="CZ319" s="36" t="s">
        <v>162</v>
      </c>
      <c r="DA319" s="14" t="s">
        <v>26</v>
      </c>
      <c r="DB319" s="14">
        <v>6</v>
      </c>
      <c r="DC319" s="14">
        <v>12</v>
      </c>
      <c r="DD319" s="14" t="s">
        <v>273</v>
      </c>
      <c r="DE319" s="14" t="s">
        <v>274</v>
      </c>
    </row>
    <row r="320" spans="1:109" ht="20">
      <c r="A320" s="13" t="s">
        <v>1764</v>
      </c>
      <c r="B320" s="13" t="s">
        <v>1764</v>
      </c>
      <c r="C320" s="13" t="s">
        <v>281</v>
      </c>
      <c r="D320" s="13" t="s">
        <v>1067</v>
      </c>
      <c r="E320" s="13" t="s">
        <v>672</v>
      </c>
      <c r="F320" s="13" t="s">
        <v>1069</v>
      </c>
      <c r="H320" s="13" t="s">
        <v>584</v>
      </c>
      <c r="I320" s="13" t="s">
        <v>3647</v>
      </c>
      <c r="J320" s="13" t="s">
        <v>1066</v>
      </c>
      <c r="K320" s="13"/>
      <c r="M320" s="13">
        <v>13</v>
      </c>
      <c r="N320" s="13"/>
      <c r="O320" s="15"/>
      <c r="P320" s="13"/>
      <c r="Q320" s="13">
        <v>60.4</v>
      </c>
      <c r="R320" s="13">
        <v>12.8</v>
      </c>
      <c r="S320" s="13">
        <v>66</v>
      </c>
      <c r="T320" s="13">
        <v>52</v>
      </c>
      <c r="U320" s="13">
        <v>78</v>
      </c>
      <c r="V320" s="14">
        <v>8</v>
      </c>
      <c r="W320" s="14">
        <f t="shared" si="28"/>
        <v>0.61538461538461542</v>
      </c>
      <c r="CW320" s="13" t="s">
        <v>276</v>
      </c>
      <c r="CX320" s="13" t="s">
        <v>277</v>
      </c>
      <c r="CY320" s="13">
        <v>2019</v>
      </c>
      <c r="CZ320" s="13" t="s">
        <v>2218</v>
      </c>
      <c r="DA320" s="13" t="s">
        <v>278</v>
      </c>
      <c r="DB320" s="13">
        <v>11</v>
      </c>
      <c r="DC320" s="13">
        <v>1</v>
      </c>
      <c r="DD320" s="13" t="s">
        <v>279</v>
      </c>
      <c r="DE320" s="13" t="s">
        <v>280</v>
      </c>
    </row>
    <row r="321" spans="1:109">
      <c r="A321" s="14" t="s">
        <v>1841</v>
      </c>
      <c r="C321" s="14" t="s">
        <v>1312</v>
      </c>
      <c r="D321" s="14" t="s">
        <v>4179</v>
      </c>
      <c r="E321" s="14" t="s">
        <v>725</v>
      </c>
      <c r="F321" s="14" t="s">
        <v>2273</v>
      </c>
      <c r="CW321" s="14" t="s">
        <v>1308</v>
      </c>
      <c r="CX321" s="14" t="s">
        <v>1309</v>
      </c>
      <c r="CY321" s="14">
        <v>2022</v>
      </c>
      <c r="CZ321" s="36" t="s">
        <v>25</v>
      </c>
      <c r="DA321" s="14" t="s">
        <v>336</v>
      </c>
      <c r="DB321" s="14">
        <v>12</v>
      </c>
      <c r="DC321" s="14">
        <v>3</v>
      </c>
      <c r="DD321" s="14" t="s">
        <v>1310</v>
      </c>
      <c r="DE321" s="14" t="s">
        <v>1311</v>
      </c>
    </row>
    <row r="322" spans="1:109" ht="20">
      <c r="A322" s="13" t="s">
        <v>3390</v>
      </c>
      <c r="B322" s="16"/>
      <c r="C322" s="13" t="s">
        <v>3319</v>
      </c>
      <c r="D322" s="14" t="s">
        <v>4180</v>
      </c>
      <c r="E322" s="13"/>
      <c r="F322" s="13"/>
      <c r="G322" s="13"/>
      <c r="I322" s="13"/>
      <c r="J322" s="13"/>
      <c r="K322" s="13"/>
      <c r="L322" s="13"/>
      <c r="M322" s="13"/>
      <c r="N322" s="13"/>
      <c r="O322" s="15"/>
      <c r="P322" s="13"/>
      <c r="Q322" s="13"/>
      <c r="R322" s="13"/>
      <c r="S322" s="13"/>
      <c r="T322" s="13"/>
      <c r="U322" s="13"/>
      <c r="V322" s="13"/>
      <c r="W322" s="2"/>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6"/>
      <c r="BB322" s="13"/>
      <c r="BC322" s="13"/>
      <c r="BD322" s="13"/>
      <c r="BE322" s="16"/>
      <c r="BF322" s="13"/>
      <c r="BG322" s="13"/>
      <c r="BH322" s="13"/>
      <c r="BI322" s="13"/>
      <c r="BJ322" s="16"/>
      <c r="BK322" s="13"/>
      <c r="BL322" s="13"/>
      <c r="BM322" s="13"/>
      <c r="BN322" s="16"/>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t="s">
        <v>3516</v>
      </c>
      <c r="CX322" s="13" t="s">
        <v>3517</v>
      </c>
      <c r="CY322" s="13">
        <v>2024</v>
      </c>
      <c r="CZ322" s="21">
        <v>45925</v>
      </c>
      <c r="DA322" s="13" t="s">
        <v>3518</v>
      </c>
      <c r="DB322" s="13"/>
      <c r="DC322" s="13"/>
      <c r="DD322" s="13"/>
      <c r="DE322" s="13" t="s">
        <v>3245</v>
      </c>
    </row>
    <row r="323" spans="1:109">
      <c r="A323" s="14" t="s">
        <v>1842</v>
      </c>
      <c r="C323" s="14" t="s">
        <v>287</v>
      </c>
      <c r="D323" s="14" t="s">
        <v>3132</v>
      </c>
      <c r="E323" s="14" t="s">
        <v>672</v>
      </c>
      <c r="F323" s="14" t="s">
        <v>2664</v>
      </c>
      <c r="H323" s="14" t="s">
        <v>865</v>
      </c>
      <c r="I323" s="14" t="s">
        <v>4075</v>
      </c>
      <c r="J323" s="14" t="s">
        <v>585</v>
      </c>
      <c r="M323" s="14">
        <v>107</v>
      </c>
      <c r="N323" s="14">
        <v>0</v>
      </c>
      <c r="CW323" s="14" t="s">
        <v>282</v>
      </c>
      <c r="CX323" s="14" t="s">
        <v>283</v>
      </c>
      <c r="CY323" s="14">
        <v>2021</v>
      </c>
      <c r="DA323" s="14" t="s">
        <v>284</v>
      </c>
      <c r="DB323" s="14">
        <v>16</v>
      </c>
      <c r="DC323" s="14">
        <v>2</v>
      </c>
      <c r="DD323" s="14" t="s">
        <v>285</v>
      </c>
      <c r="DE323" s="14" t="s">
        <v>286</v>
      </c>
    </row>
    <row r="324" spans="1:109">
      <c r="A324" s="14" t="s">
        <v>1843</v>
      </c>
      <c r="C324" s="14" t="s">
        <v>1316</v>
      </c>
      <c r="D324" s="14" t="s">
        <v>830</v>
      </c>
      <c r="E324" s="14" t="s">
        <v>673</v>
      </c>
      <c r="F324" s="14" t="s">
        <v>2567</v>
      </c>
      <c r="H324" s="14" t="s">
        <v>669</v>
      </c>
      <c r="I324" s="14" t="s">
        <v>4041</v>
      </c>
      <c r="J324" s="14" t="s">
        <v>2322</v>
      </c>
      <c r="K324" s="14" t="s">
        <v>2572</v>
      </c>
      <c r="L324" s="14" t="s">
        <v>641</v>
      </c>
      <c r="M324" s="14">
        <v>130</v>
      </c>
      <c r="N324" s="14">
        <v>0</v>
      </c>
      <c r="S324" s="14">
        <v>64.8</v>
      </c>
      <c r="V324" s="14">
        <v>75</v>
      </c>
      <c r="W324" s="14">
        <f t="shared" ref="W324:W333" si="29">V324/M324</f>
        <v>0.57692307692307687</v>
      </c>
      <c r="Z324" s="14">
        <v>34</v>
      </c>
      <c r="AC324" s="14">
        <v>102</v>
      </c>
      <c r="AD324" s="34">
        <f t="shared" ref="AD324:AD333" si="30">AC324/M324</f>
        <v>0.7846153846153846</v>
      </c>
      <c r="AG324" s="35">
        <v>17.5</v>
      </c>
      <c r="BN324" s="14" t="s">
        <v>2231</v>
      </c>
      <c r="CC324" s="14">
        <v>7.6380000000000003E-2</v>
      </c>
      <c r="CG324" s="14">
        <v>0.43369999999999997</v>
      </c>
      <c r="CW324" s="14" t="s">
        <v>1313</v>
      </c>
      <c r="CX324" s="14" t="s">
        <v>1314</v>
      </c>
      <c r="CY324" s="14">
        <v>2023</v>
      </c>
      <c r="CZ324" s="36" t="s">
        <v>53</v>
      </c>
      <c r="DA324" s="14" t="s">
        <v>45</v>
      </c>
      <c r="DB324" s="14">
        <v>24</v>
      </c>
      <c r="DC324" s="14">
        <v>14</v>
      </c>
      <c r="DE324" s="14" t="s">
        <v>1315</v>
      </c>
    </row>
    <row r="325" spans="1:109">
      <c r="A325" s="14" t="s">
        <v>1844</v>
      </c>
      <c r="C325" s="14" t="s">
        <v>1322</v>
      </c>
      <c r="D325" s="14" t="s">
        <v>827</v>
      </c>
      <c r="E325" s="14" t="s">
        <v>674</v>
      </c>
      <c r="F325" s="14" t="s">
        <v>2574</v>
      </c>
      <c r="H325" s="14" t="s">
        <v>2573</v>
      </c>
      <c r="I325" s="14" t="s">
        <v>4072</v>
      </c>
      <c r="M325" s="14">
        <v>92</v>
      </c>
      <c r="N325" s="14">
        <v>2</v>
      </c>
      <c r="Q325" s="14">
        <v>62.5</v>
      </c>
      <c r="R325" s="14">
        <v>11.7</v>
      </c>
      <c r="V325" s="14">
        <v>52</v>
      </c>
      <c r="W325" s="14">
        <f t="shared" si="29"/>
        <v>0.56521739130434778</v>
      </c>
      <c r="X325" s="14">
        <v>34.5</v>
      </c>
      <c r="Y325" s="14">
        <v>9.5</v>
      </c>
      <c r="AC325" s="14">
        <v>59</v>
      </c>
      <c r="AD325" s="34">
        <f t="shared" si="30"/>
        <v>0.64130434782608692</v>
      </c>
      <c r="AE325" s="35">
        <v>25</v>
      </c>
      <c r="AF325" s="35">
        <v>32.799999999999997</v>
      </c>
      <c r="AL325" s="35">
        <v>34</v>
      </c>
      <c r="AQ325" s="35">
        <v>18</v>
      </c>
      <c r="CW325" s="14" t="s">
        <v>1317</v>
      </c>
      <c r="CX325" s="14" t="s">
        <v>1318</v>
      </c>
      <c r="CY325" s="14">
        <v>2021</v>
      </c>
      <c r="DA325" s="14" t="s">
        <v>1319</v>
      </c>
      <c r="DB325" s="14">
        <v>14</v>
      </c>
      <c r="DD325" s="14" t="s">
        <v>1320</v>
      </c>
      <c r="DE325" s="14" t="s">
        <v>1321</v>
      </c>
    </row>
    <row r="326" spans="1:109">
      <c r="A326" s="14" t="s">
        <v>1844</v>
      </c>
      <c r="C326" s="14" t="s">
        <v>1322</v>
      </c>
      <c r="D326" s="14" t="s">
        <v>827</v>
      </c>
      <c r="E326" s="14" t="s">
        <v>674</v>
      </c>
      <c r="F326" s="14" t="s">
        <v>2575</v>
      </c>
      <c r="H326" s="14" t="s">
        <v>2573</v>
      </c>
      <c r="I326" s="14" t="s">
        <v>3135</v>
      </c>
      <c r="L326" s="14" t="s">
        <v>641</v>
      </c>
      <c r="M326" s="14">
        <v>92</v>
      </c>
      <c r="N326" s="14">
        <v>2</v>
      </c>
      <c r="Q326" s="14">
        <v>62.5</v>
      </c>
      <c r="R326" s="14">
        <v>11.7</v>
      </c>
      <c r="V326" s="14">
        <v>52</v>
      </c>
      <c r="W326" s="14">
        <f t="shared" si="29"/>
        <v>0.56521739130434778</v>
      </c>
      <c r="X326" s="14">
        <v>34.5</v>
      </c>
      <c r="Y326" s="14">
        <v>9.5</v>
      </c>
      <c r="AC326" s="14">
        <v>59</v>
      </c>
      <c r="AD326" s="34">
        <f t="shared" si="30"/>
        <v>0.64130434782608692</v>
      </c>
      <c r="AE326" s="35">
        <v>25</v>
      </c>
      <c r="AF326" s="35">
        <v>32.799999999999997</v>
      </c>
      <c r="AL326" s="35">
        <v>34</v>
      </c>
      <c r="AQ326" s="35">
        <v>18</v>
      </c>
      <c r="BN326" s="14" t="s">
        <v>2552</v>
      </c>
      <c r="BO326" s="14" t="s">
        <v>2380</v>
      </c>
      <c r="BP326" s="14" t="s">
        <v>2380</v>
      </c>
      <c r="CC326" s="14">
        <f>-SQRT(0.06)</f>
        <v>-0.2449489742783178</v>
      </c>
      <c r="CG326" s="14">
        <v>1.9E-2</v>
      </c>
      <c r="CW326" s="14" t="s">
        <v>1317</v>
      </c>
      <c r="CX326" s="14" t="s">
        <v>1318</v>
      </c>
      <c r="CY326" s="14">
        <v>2021</v>
      </c>
      <c r="DA326" s="14" t="s">
        <v>1319</v>
      </c>
      <c r="DB326" s="14">
        <v>14</v>
      </c>
      <c r="DD326" s="14" t="s">
        <v>1320</v>
      </c>
      <c r="DE326" s="14" t="s">
        <v>1321</v>
      </c>
    </row>
    <row r="327" spans="1:109">
      <c r="A327" s="14" t="s">
        <v>1844</v>
      </c>
      <c r="C327" s="14" t="s">
        <v>1322</v>
      </c>
      <c r="D327" s="14" t="s">
        <v>827</v>
      </c>
      <c r="E327" s="14" t="s">
        <v>673</v>
      </c>
      <c r="F327" s="14" t="s">
        <v>2576</v>
      </c>
      <c r="H327" s="14" t="s">
        <v>2573</v>
      </c>
      <c r="I327" s="14" t="s">
        <v>3135</v>
      </c>
      <c r="L327" s="14" t="s">
        <v>2577</v>
      </c>
      <c r="M327" s="14">
        <v>92</v>
      </c>
      <c r="N327" s="14">
        <v>2</v>
      </c>
      <c r="Q327" s="14">
        <v>62.5</v>
      </c>
      <c r="R327" s="14">
        <v>11.7</v>
      </c>
      <c r="V327" s="14">
        <v>52</v>
      </c>
      <c r="W327" s="14">
        <f t="shared" si="29"/>
        <v>0.56521739130434778</v>
      </c>
      <c r="X327" s="14">
        <v>34.5</v>
      </c>
      <c r="Y327" s="14">
        <v>9.5</v>
      </c>
      <c r="AC327" s="14">
        <v>59</v>
      </c>
      <c r="AD327" s="34">
        <f t="shared" si="30"/>
        <v>0.64130434782608692</v>
      </c>
      <c r="AE327" s="35">
        <v>25</v>
      </c>
      <c r="AF327" s="35">
        <v>32.799999999999997</v>
      </c>
      <c r="AL327" s="35">
        <v>34</v>
      </c>
      <c r="AQ327" s="35">
        <v>18</v>
      </c>
      <c r="BN327" s="14" t="s">
        <v>2552</v>
      </c>
      <c r="BO327" s="14" t="s">
        <v>2380</v>
      </c>
      <c r="BP327" s="14" t="s">
        <v>2380</v>
      </c>
      <c r="CC327" s="14">
        <f>-SQRT(0.073)</f>
        <v>-0.27018512172212589</v>
      </c>
      <c r="CG327" s="14">
        <v>9.7000000000000003E-3</v>
      </c>
      <c r="CW327" s="14" t="s">
        <v>1317</v>
      </c>
      <c r="CX327" s="14" t="s">
        <v>1318</v>
      </c>
      <c r="CY327" s="14">
        <v>2021</v>
      </c>
      <c r="DA327" s="14" t="s">
        <v>1319</v>
      </c>
      <c r="DB327" s="14">
        <v>14</v>
      </c>
      <c r="DD327" s="14" t="s">
        <v>1320</v>
      </c>
      <c r="DE327" s="14" t="s">
        <v>1321</v>
      </c>
    </row>
    <row r="328" spans="1:109">
      <c r="A328" s="14" t="s">
        <v>1844</v>
      </c>
      <c r="C328" s="14" t="s">
        <v>1322</v>
      </c>
      <c r="D328" s="14" t="s">
        <v>827</v>
      </c>
      <c r="E328" s="14" t="s">
        <v>673</v>
      </c>
      <c r="F328" s="14" t="s">
        <v>2578</v>
      </c>
      <c r="H328" s="14" t="s">
        <v>2573</v>
      </c>
      <c r="I328" s="14" t="s">
        <v>3135</v>
      </c>
      <c r="L328" s="14" t="s">
        <v>2579</v>
      </c>
      <c r="M328" s="14">
        <v>92</v>
      </c>
      <c r="N328" s="14">
        <v>2</v>
      </c>
      <c r="Q328" s="14">
        <v>62.5</v>
      </c>
      <c r="R328" s="14">
        <v>11.7</v>
      </c>
      <c r="V328" s="14">
        <v>52</v>
      </c>
      <c r="W328" s="14">
        <f t="shared" si="29"/>
        <v>0.56521739130434778</v>
      </c>
      <c r="X328" s="14">
        <v>34.5</v>
      </c>
      <c r="Y328" s="14">
        <v>9.5</v>
      </c>
      <c r="AC328" s="14">
        <v>59</v>
      </c>
      <c r="AD328" s="34">
        <f t="shared" si="30"/>
        <v>0.64130434782608692</v>
      </c>
      <c r="AE328" s="35">
        <v>25</v>
      </c>
      <c r="AF328" s="35">
        <v>32.799999999999997</v>
      </c>
      <c r="AL328" s="35">
        <v>34</v>
      </c>
      <c r="AQ328" s="35">
        <v>18</v>
      </c>
      <c r="BN328" s="14" t="s">
        <v>2552</v>
      </c>
      <c r="BO328" s="14" t="s">
        <v>2380</v>
      </c>
      <c r="BP328" s="14" t="s">
        <v>2380</v>
      </c>
      <c r="CC328" s="14">
        <f>-SQRT(0.085)</f>
        <v>-0.29154759474226505</v>
      </c>
      <c r="CG328" s="14">
        <v>5.1000000000000004E-3</v>
      </c>
      <c r="CW328" s="14" t="s">
        <v>1317</v>
      </c>
      <c r="CX328" s="14" t="s">
        <v>1318</v>
      </c>
      <c r="CY328" s="14">
        <v>2021</v>
      </c>
      <c r="DA328" s="14" t="s">
        <v>1319</v>
      </c>
      <c r="DB328" s="14">
        <v>14</v>
      </c>
      <c r="DD328" s="14" t="s">
        <v>1320</v>
      </c>
      <c r="DE328" s="14" t="s">
        <v>1321</v>
      </c>
    </row>
    <row r="329" spans="1:109">
      <c r="A329" s="14" t="s">
        <v>1846</v>
      </c>
      <c r="B329" s="14" t="s">
        <v>1707</v>
      </c>
      <c r="C329" s="14" t="s">
        <v>4137</v>
      </c>
      <c r="D329" s="14" t="s">
        <v>863</v>
      </c>
      <c r="E329" s="14" t="s">
        <v>674</v>
      </c>
      <c r="F329" s="14" t="s">
        <v>869</v>
      </c>
      <c r="H329" s="14" t="s">
        <v>868</v>
      </c>
      <c r="I329" s="14" t="s">
        <v>4086</v>
      </c>
      <c r="J329" s="14" t="s">
        <v>1968</v>
      </c>
      <c r="K329" s="14" t="s">
        <v>870</v>
      </c>
      <c r="L329" s="14" t="s">
        <v>708</v>
      </c>
      <c r="M329" s="14">
        <v>150</v>
      </c>
      <c r="N329" s="14">
        <v>13</v>
      </c>
      <c r="O329" s="34">
        <v>8.66666666666666E-2</v>
      </c>
      <c r="P329" s="14">
        <v>13</v>
      </c>
      <c r="S329" s="14">
        <v>68</v>
      </c>
      <c r="T329" s="14">
        <v>60.4</v>
      </c>
      <c r="U329" s="14">
        <v>74.099999999999895</v>
      </c>
      <c r="V329" s="14">
        <v>80</v>
      </c>
      <c r="W329" s="14">
        <f t="shared" si="29"/>
        <v>0.53333333333333333</v>
      </c>
      <c r="Z329" s="14">
        <v>40</v>
      </c>
      <c r="AA329" s="14">
        <v>35</v>
      </c>
      <c r="AB329" s="14">
        <v>43</v>
      </c>
      <c r="AC329" s="14">
        <v>89</v>
      </c>
      <c r="AD329" s="34">
        <f t="shared" si="30"/>
        <v>0.59333333333333338</v>
      </c>
      <c r="AG329" s="35">
        <v>12.1</v>
      </c>
      <c r="AH329" s="35">
        <v>7.5</v>
      </c>
      <c r="AI329" s="35">
        <v>18.2</v>
      </c>
      <c r="AQ329" s="35">
        <v>25</v>
      </c>
      <c r="AR329" s="35">
        <v>14.6</v>
      </c>
      <c r="AS329" s="35">
        <v>33.4</v>
      </c>
      <c r="AU329" s="14" t="s">
        <v>2449</v>
      </c>
      <c r="AV329" s="14" t="s">
        <v>3185</v>
      </c>
      <c r="BE329" s="29" t="s">
        <v>2580</v>
      </c>
      <c r="BF329" s="29">
        <v>93</v>
      </c>
      <c r="BG329" s="14">
        <v>1.01</v>
      </c>
      <c r="BH329" s="14">
        <v>1</v>
      </c>
      <c r="BI329" s="14">
        <v>1.03</v>
      </c>
      <c r="BN329" s="14" t="s">
        <v>2552</v>
      </c>
      <c r="BO329" s="14" t="s">
        <v>2490</v>
      </c>
      <c r="BP329" s="14" t="s">
        <v>2490</v>
      </c>
      <c r="BQ329" s="14">
        <v>0.18</v>
      </c>
      <c r="BU329" s="14">
        <v>0.04</v>
      </c>
      <c r="CW329" s="14" t="s">
        <v>288</v>
      </c>
      <c r="CX329" s="14" t="s">
        <v>289</v>
      </c>
      <c r="CY329" s="14">
        <v>2022</v>
      </c>
      <c r="CZ329" s="36" t="s">
        <v>253</v>
      </c>
      <c r="DA329" s="14" t="s">
        <v>64</v>
      </c>
      <c r="DB329" s="14">
        <v>23</v>
      </c>
      <c r="DC329" s="14">
        <v>45293</v>
      </c>
      <c r="DD329" s="14" t="s">
        <v>290</v>
      </c>
      <c r="DE329" s="14" t="s">
        <v>291</v>
      </c>
    </row>
    <row r="330" spans="1:109">
      <c r="A330" s="14" t="s">
        <v>1846</v>
      </c>
      <c r="B330" s="14" t="s">
        <v>1707</v>
      </c>
      <c r="C330" s="14" t="s">
        <v>292</v>
      </c>
      <c r="D330" s="14" t="s">
        <v>863</v>
      </c>
      <c r="E330" s="14" t="s">
        <v>672</v>
      </c>
      <c r="F330" s="14" t="s">
        <v>675</v>
      </c>
      <c r="H330" s="14" t="s">
        <v>868</v>
      </c>
      <c r="I330" s="14" t="s">
        <v>3127</v>
      </c>
      <c r="J330" s="14" t="s">
        <v>585</v>
      </c>
      <c r="K330" s="14" t="s">
        <v>872</v>
      </c>
      <c r="L330" s="14" t="s">
        <v>708</v>
      </c>
      <c r="M330" s="14">
        <v>150</v>
      </c>
      <c r="N330" s="14">
        <v>13</v>
      </c>
      <c r="O330" s="34">
        <v>8.66666666666666E-2</v>
      </c>
      <c r="P330" s="14">
        <v>13</v>
      </c>
      <c r="S330" s="14">
        <v>68</v>
      </c>
      <c r="T330" s="14">
        <v>60.4</v>
      </c>
      <c r="U330" s="14">
        <v>74.099999999999895</v>
      </c>
      <c r="V330" s="14">
        <v>80</v>
      </c>
      <c r="W330" s="14">
        <f t="shared" si="29"/>
        <v>0.53333333333333333</v>
      </c>
      <c r="Z330" s="14">
        <v>40</v>
      </c>
      <c r="AA330" s="14">
        <v>35</v>
      </c>
      <c r="AB330" s="14">
        <v>43</v>
      </c>
      <c r="AC330" s="14">
        <v>89</v>
      </c>
      <c r="AD330" s="34">
        <f t="shared" si="30"/>
        <v>0.59333333333333338</v>
      </c>
      <c r="AG330" s="35">
        <v>12.1</v>
      </c>
      <c r="AH330" s="35">
        <v>7.5</v>
      </c>
      <c r="AI330" s="35">
        <v>18.2</v>
      </c>
      <c r="AQ330" s="35">
        <v>25</v>
      </c>
      <c r="AR330" s="35">
        <v>14.6</v>
      </c>
      <c r="AS330" s="35">
        <v>33.4</v>
      </c>
      <c r="AU330" s="14" t="s">
        <v>2449</v>
      </c>
      <c r="AV330" s="14" t="s">
        <v>3184</v>
      </c>
      <c r="BE330" s="29" t="s">
        <v>2581</v>
      </c>
      <c r="BF330" s="29">
        <v>93</v>
      </c>
      <c r="BG330" s="14">
        <v>1.08</v>
      </c>
      <c r="BH330" s="14">
        <v>1.03</v>
      </c>
      <c r="BI330" s="14">
        <v>1.1399999999999999</v>
      </c>
      <c r="BN330" s="14" t="s">
        <v>2552</v>
      </c>
      <c r="BO330" s="14" t="s">
        <v>2490</v>
      </c>
      <c r="BP330" s="14" t="s">
        <v>2490</v>
      </c>
      <c r="BQ330" s="14">
        <v>0.41</v>
      </c>
      <c r="BU330" s="14" t="s">
        <v>635</v>
      </c>
      <c r="CW330" s="14" t="s">
        <v>288</v>
      </c>
      <c r="CX330" s="14" t="s">
        <v>289</v>
      </c>
      <c r="CY330" s="14">
        <v>2022</v>
      </c>
      <c r="CZ330" s="36" t="s">
        <v>253</v>
      </c>
      <c r="DA330" s="14" t="s">
        <v>64</v>
      </c>
      <c r="DB330" s="14">
        <v>23</v>
      </c>
      <c r="DC330" s="14">
        <v>45293</v>
      </c>
      <c r="DD330" s="14" t="s">
        <v>290</v>
      </c>
      <c r="DE330" s="14" t="s">
        <v>291</v>
      </c>
    </row>
    <row r="331" spans="1:109">
      <c r="A331" s="14" t="s">
        <v>1846</v>
      </c>
      <c r="B331" s="14" t="s">
        <v>1707</v>
      </c>
      <c r="C331" s="14" t="s">
        <v>292</v>
      </c>
      <c r="D331" s="14" t="s">
        <v>863</v>
      </c>
      <c r="E331" s="14" t="s">
        <v>672</v>
      </c>
      <c r="F331" s="14" t="s">
        <v>675</v>
      </c>
      <c r="H331" s="14" t="s">
        <v>868</v>
      </c>
      <c r="I331" s="14" t="s">
        <v>3127</v>
      </c>
      <c r="J331" s="14" t="s">
        <v>585</v>
      </c>
      <c r="K331" s="14" t="s">
        <v>872</v>
      </c>
      <c r="L331" s="14" t="s">
        <v>708</v>
      </c>
      <c r="M331" s="14">
        <v>150</v>
      </c>
      <c r="N331" s="14">
        <v>13</v>
      </c>
      <c r="O331" s="34">
        <v>8.66666666666666E-2</v>
      </c>
      <c r="P331" s="14">
        <v>13</v>
      </c>
      <c r="S331" s="14">
        <v>68</v>
      </c>
      <c r="T331" s="14">
        <v>60.4</v>
      </c>
      <c r="U331" s="14">
        <v>74.099999999999895</v>
      </c>
      <c r="V331" s="14">
        <v>80</v>
      </c>
      <c r="W331" s="14">
        <f t="shared" si="29"/>
        <v>0.53333333333333333</v>
      </c>
      <c r="Z331" s="14">
        <v>40</v>
      </c>
      <c r="AA331" s="14">
        <v>35</v>
      </c>
      <c r="AB331" s="14">
        <v>43</v>
      </c>
      <c r="AC331" s="14">
        <v>89</v>
      </c>
      <c r="AD331" s="34">
        <f t="shared" si="30"/>
        <v>0.59333333333333338</v>
      </c>
      <c r="AG331" s="35">
        <v>12.1</v>
      </c>
      <c r="AH331" s="35">
        <v>7.5</v>
      </c>
      <c r="AI331" s="35">
        <v>18.2</v>
      </c>
      <c r="AQ331" s="35">
        <v>25</v>
      </c>
      <c r="AR331" s="35">
        <v>14.6</v>
      </c>
      <c r="AS331" s="35">
        <v>33.4</v>
      </c>
      <c r="AU331" s="14" t="s">
        <v>2449</v>
      </c>
      <c r="AV331" s="14" t="s">
        <v>3184</v>
      </c>
      <c r="BN331" s="14" t="s">
        <v>2231</v>
      </c>
      <c r="BO331" s="14" t="s">
        <v>2490</v>
      </c>
      <c r="BP331" s="14" t="s">
        <v>2490</v>
      </c>
      <c r="BQ331" s="14">
        <v>0.33</v>
      </c>
      <c r="BS331" s="14">
        <v>0.18</v>
      </c>
      <c r="BT331" s="14">
        <v>0.47</v>
      </c>
      <c r="CW331" s="14" t="s">
        <v>288</v>
      </c>
      <c r="CX331" s="14" t="s">
        <v>289</v>
      </c>
      <c r="CY331" s="14">
        <v>2022</v>
      </c>
      <c r="CZ331" s="36" t="s">
        <v>253</v>
      </c>
      <c r="DA331" s="14" t="s">
        <v>64</v>
      </c>
      <c r="DB331" s="14">
        <v>23</v>
      </c>
      <c r="DC331" s="14">
        <v>45293</v>
      </c>
      <c r="DD331" s="14" t="s">
        <v>290</v>
      </c>
      <c r="DE331" s="14" t="s">
        <v>291</v>
      </c>
    </row>
    <row r="332" spans="1:109">
      <c r="A332" s="14" t="s">
        <v>1847</v>
      </c>
      <c r="B332" s="14" t="s">
        <v>1708</v>
      </c>
      <c r="C332" s="14" t="s">
        <v>297</v>
      </c>
      <c r="D332" s="14" t="s">
        <v>818</v>
      </c>
      <c r="E332" s="14" t="s">
        <v>672</v>
      </c>
      <c r="F332" s="14" t="s">
        <v>686</v>
      </c>
      <c r="H332" s="14" t="s">
        <v>868</v>
      </c>
      <c r="I332" s="14" t="s">
        <v>3127</v>
      </c>
      <c r="J332" s="14" t="s">
        <v>585</v>
      </c>
      <c r="K332" s="14" t="s">
        <v>873</v>
      </c>
      <c r="L332" s="14" t="s">
        <v>708</v>
      </c>
      <c r="M332" s="14">
        <v>192</v>
      </c>
      <c r="S332" s="14">
        <v>67.599999999999895</v>
      </c>
      <c r="T332" s="14">
        <v>59.1</v>
      </c>
      <c r="U332" s="14">
        <v>74</v>
      </c>
      <c r="V332" s="14">
        <v>106</v>
      </c>
      <c r="W332" s="14">
        <f t="shared" si="29"/>
        <v>0.55208333333333337</v>
      </c>
      <c r="Z332" s="14">
        <v>39.5</v>
      </c>
      <c r="AA332" s="14">
        <v>35</v>
      </c>
      <c r="AB332" s="14">
        <v>43</v>
      </c>
      <c r="AC332" s="14">
        <v>114</v>
      </c>
      <c r="AD332" s="34">
        <f t="shared" si="30"/>
        <v>0.59375</v>
      </c>
      <c r="AG332" s="35">
        <v>11.7</v>
      </c>
      <c r="AH332" s="35">
        <v>7.6</v>
      </c>
      <c r="AI332" s="35">
        <v>16.600000000000001</v>
      </c>
      <c r="AU332" s="14" t="s">
        <v>2583</v>
      </c>
      <c r="BA332" s="29" t="s">
        <v>4107</v>
      </c>
      <c r="BB332" s="14">
        <v>2.0299999999999998</v>
      </c>
      <c r="BC332" s="14">
        <v>1.35</v>
      </c>
      <c r="BD332" s="14">
        <v>3.05</v>
      </c>
      <c r="BE332" s="29" t="s">
        <v>2582</v>
      </c>
      <c r="BJ332" s="29" t="s">
        <v>4107</v>
      </c>
      <c r="BK332" s="14">
        <v>2.42</v>
      </c>
      <c r="BL332" s="14">
        <v>1.55</v>
      </c>
      <c r="BM332" s="14">
        <v>3.79</v>
      </c>
      <c r="CW332" s="14" t="s">
        <v>293</v>
      </c>
      <c r="CX332" s="14" t="s">
        <v>294</v>
      </c>
      <c r="CY332" s="14">
        <v>2024</v>
      </c>
      <c r="CZ332" s="36" t="s">
        <v>253</v>
      </c>
      <c r="DA332" s="14" t="s">
        <v>64</v>
      </c>
      <c r="DB332" s="14">
        <v>25</v>
      </c>
      <c r="DC332" s="14">
        <v>45293</v>
      </c>
      <c r="DD332" s="14" t="s">
        <v>295</v>
      </c>
      <c r="DE332" s="14" t="s">
        <v>296</v>
      </c>
    </row>
    <row r="333" spans="1:109">
      <c r="A333" s="14" t="s">
        <v>1847</v>
      </c>
      <c r="B333" s="14" t="s">
        <v>1708</v>
      </c>
      <c r="C333" s="14" t="s">
        <v>4138</v>
      </c>
      <c r="D333" s="14" t="s">
        <v>818</v>
      </c>
      <c r="E333" s="14" t="s">
        <v>672</v>
      </c>
      <c r="F333" s="14" t="s">
        <v>675</v>
      </c>
      <c r="H333" s="14" t="s">
        <v>868</v>
      </c>
      <c r="I333" s="14" t="s">
        <v>3127</v>
      </c>
      <c r="J333" s="14" t="s">
        <v>585</v>
      </c>
      <c r="K333" s="14" t="s">
        <v>874</v>
      </c>
      <c r="L333" s="14" t="s">
        <v>708</v>
      </c>
      <c r="M333" s="14">
        <v>192</v>
      </c>
      <c r="S333" s="14">
        <v>67.599999999999895</v>
      </c>
      <c r="T333" s="14">
        <v>59.1</v>
      </c>
      <c r="U333" s="14">
        <v>74</v>
      </c>
      <c r="V333" s="14">
        <v>106</v>
      </c>
      <c r="W333" s="14">
        <f t="shared" si="29"/>
        <v>0.55208333333333337</v>
      </c>
      <c r="Z333" s="14">
        <v>39.5</v>
      </c>
      <c r="AA333" s="14">
        <v>35</v>
      </c>
      <c r="AB333" s="14">
        <v>43</v>
      </c>
      <c r="AC333" s="14">
        <v>114</v>
      </c>
      <c r="AD333" s="34">
        <f t="shared" si="30"/>
        <v>0.59375</v>
      </c>
      <c r="AG333" s="35">
        <v>11.7</v>
      </c>
      <c r="AH333" s="35">
        <v>7.6</v>
      </c>
      <c r="AI333" s="35">
        <v>16.600000000000001</v>
      </c>
      <c r="AU333" s="14" t="s">
        <v>2583</v>
      </c>
      <c r="BA333" s="29" t="s">
        <v>4107</v>
      </c>
      <c r="BB333" s="14">
        <v>2.61</v>
      </c>
      <c r="BC333" s="14">
        <v>1.73</v>
      </c>
      <c r="BD333" s="14">
        <v>3.92</v>
      </c>
      <c r="BE333" s="29" t="s">
        <v>2582</v>
      </c>
      <c r="BJ333" s="29" t="s">
        <v>4107</v>
      </c>
      <c r="BK333" s="14">
        <v>2.19</v>
      </c>
      <c r="BL333" s="14">
        <v>1.41</v>
      </c>
      <c r="BM333" s="14">
        <v>3.4</v>
      </c>
      <c r="CW333" s="14" t="s">
        <v>293</v>
      </c>
      <c r="CX333" s="14" t="s">
        <v>294</v>
      </c>
      <c r="CY333" s="14">
        <v>2024</v>
      </c>
      <c r="CZ333" s="36" t="s">
        <v>253</v>
      </c>
      <c r="DA333" s="14" t="s">
        <v>64</v>
      </c>
      <c r="DB333" s="14">
        <v>25</v>
      </c>
      <c r="DC333" s="14">
        <v>45293</v>
      </c>
      <c r="DD333" s="14" t="s">
        <v>295</v>
      </c>
      <c r="DE333" s="14" t="s">
        <v>296</v>
      </c>
    </row>
    <row r="334" spans="1:109">
      <c r="A334" s="14" t="s">
        <v>1847</v>
      </c>
      <c r="B334" s="14" t="s">
        <v>1708</v>
      </c>
      <c r="C334" s="14" t="s">
        <v>297</v>
      </c>
      <c r="D334" s="14" t="s">
        <v>818</v>
      </c>
      <c r="E334" s="14" t="s">
        <v>673</v>
      </c>
      <c r="F334" s="14" t="s">
        <v>675</v>
      </c>
      <c r="H334" s="14" t="s">
        <v>868</v>
      </c>
      <c r="I334" s="14" t="s">
        <v>3127</v>
      </c>
      <c r="J334" s="14" t="s">
        <v>652</v>
      </c>
      <c r="K334" s="14" t="s">
        <v>875</v>
      </c>
      <c r="L334" s="14" t="s">
        <v>708</v>
      </c>
      <c r="M334" s="14">
        <v>157</v>
      </c>
      <c r="AD334" s="34">
        <v>0.59</v>
      </c>
      <c r="AG334" s="35">
        <v>11.7</v>
      </c>
      <c r="AH334" s="35">
        <v>7.6</v>
      </c>
      <c r="AI334" s="35">
        <v>16.600000000000001</v>
      </c>
      <c r="AU334" s="14" t="s">
        <v>2583</v>
      </c>
      <c r="BA334" s="29" t="s">
        <v>4107</v>
      </c>
      <c r="BB334" s="14">
        <v>3.17</v>
      </c>
      <c r="BC334" s="14">
        <v>2.0099999999999998</v>
      </c>
      <c r="BD334" s="14">
        <v>4.99</v>
      </c>
      <c r="BE334" s="29" t="s">
        <v>2582</v>
      </c>
      <c r="BJ334" s="29" t="s">
        <v>4107</v>
      </c>
      <c r="BK334" s="14">
        <v>2.2799999999999998</v>
      </c>
      <c r="BL334" s="14">
        <v>1.28</v>
      </c>
      <c r="BM334" s="14">
        <v>4.0599999999999996</v>
      </c>
      <c r="CW334" s="14" t="s">
        <v>4140</v>
      </c>
      <c r="CX334" s="14" t="s">
        <v>294</v>
      </c>
      <c r="CY334" s="14">
        <v>2024</v>
      </c>
      <c r="CZ334" s="36" t="s">
        <v>253</v>
      </c>
      <c r="DA334" s="14" t="s">
        <v>64</v>
      </c>
      <c r="DB334" s="14">
        <v>25</v>
      </c>
      <c r="DC334" s="14">
        <v>45293</v>
      </c>
      <c r="DD334" s="14" t="s">
        <v>295</v>
      </c>
      <c r="DE334" s="14" t="s">
        <v>296</v>
      </c>
    </row>
    <row r="335" spans="1:109">
      <c r="A335" s="14" t="s">
        <v>1847</v>
      </c>
      <c r="B335" s="14" t="s">
        <v>1708</v>
      </c>
      <c r="C335" s="14" t="s">
        <v>297</v>
      </c>
      <c r="D335" s="14" t="s">
        <v>818</v>
      </c>
      <c r="E335" s="14" t="s">
        <v>672</v>
      </c>
      <c r="F335" s="14" t="s">
        <v>680</v>
      </c>
      <c r="H335" s="14" t="s">
        <v>868</v>
      </c>
      <c r="I335" s="14" t="s">
        <v>3127</v>
      </c>
      <c r="J335" s="14" t="s">
        <v>585</v>
      </c>
      <c r="K335" s="14" t="s">
        <v>876</v>
      </c>
      <c r="L335" s="14" t="s">
        <v>708</v>
      </c>
      <c r="M335" s="14">
        <v>192</v>
      </c>
      <c r="S335" s="14">
        <v>67.599999999999895</v>
      </c>
      <c r="T335" s="14">
        <v>59.1</v>
      </c>
      <c r="U335" s="14">
        <v>74</v>
      </c>
      <c r="V335" s="14">
        <v>106</v>
      </c>
      <c r="W335" s="14">
        <f t="shared" ref="W335:W358" si="31">V335/M335</f>
        <v>0.55208333333333337</v>
      </c>
      <c r="Z335" s="14">
        <v>39.5</v>
      </c>
      <c r="AA335" s="14">
        <v>35</v>
      </c>
      <c r="AB335" s="14">
        <v>43</v>
      </c>
      <c r="AC335" s="14">
        <v>114</v>
      </c>
      <c r="AD335" s="34">
        <f t="shared" ref="AD335:AD341" si="32">AC335/M335</f>
        <v>0.59375</v>
      </c>
      <c r="AG335" s="35">
        <v>11.7</v>
      </c>
      <c r="AH335" s="35">
        <v>7.6</v>
      </c>
      <c r="AI335" s="35">
        <v>16.600000000000001</v>
      </c>
      <c r="AU335" s="14" t="s">
        <v>2583</v>
      </c>
      <c r="BA335" s="29" t="s">
        <v>4107</v>
      </c>
      <c r="BB335" s="14">
        <v>1.25</v>
      </c>
      <c r="BC335" s="14">
        <v>0.86</v>
      </c>
      <c r="BD335" s="14">
        <v>1.82</v>
      </c>
      <c r="BE335" s="29" t="s">
        <v>2582</v>
      </c>
      <c r="BJ335" s="29" t="s">
        <v>4107</v>
      </c>
      <c r="BK335" s="14">
        <v>1.54</v>
      </c>
      <c r="BL335" s="14">
        <v>0.95</v>
      </c>
      <c r="BM335" s="14">
        <v>2.48</v>
      </c>
      <c r="CW335" s="14" t="s">
        <v>293</v>
      </c>
      <c r="CX335" s="14" t="s">
        <v>294</v>
      </c>
      <c r="CY335" s="14">
        <v>2024</v>
      </c>
      <c r="CZ335" s="36" t="s">
        <v>253</v>
      </c>
      <c r="DA335" s="14" t="s">
        <v>64</v>
      </c>
      <c r="DB335" s="14">
        <v>25</v>
      </c>
      <c r="DC335" s="14">
        <v>45293</v>
      </c>
      <c r="DD335" s="14" t="s">
        <v>295</v>
      </c>
      <c r="DE335" s="14" t="s">
        <v>296</v>
      </c>
    </row>
    <row r="336" spans="1:109">
      <c r="A336" s="14" t="s">
        <v>1847</v>
      </c>
      <c r="B336" s="14" t="s">
        <v>1708</v>
      </c>
      <c r="C336" s="14" t="s">
        <v>297</v>
      </c>
      <c r="D336" s="14" t="s">
        <v>818</v>
      </c>
      <c r="E336" s="14" t="s">
        <v>672</v>
      </c>
      <c r="F336" s="14" t="s">
        <v>767</v>
      </c>
      <c r="H336" s="14" t="s">
        <v>868</v>
      </c>
      <c r="I336" s="14" t="s">
        <v>3127</v>
      </c>
      <c r="J336" s="14" t="s">
        <v>585</v>
      </c>
      <c r="K336" s="14" t="s">
        <v>877</v>
      </c>
      <c r="L336" s="14" t="s">
        <v>708</v>
      </c>
      <c r="M336" s="14">
        <v>192</v>
      </c>
      <c r="S336" s="14">
        <v>67.599999999999895</v>
      </c>
      <c r="T336" s="14">
        <v>59.1</v>
      </c>
      <c r="U336" s="14">
        <v>74</v>
      </c>
      <c r="V336" s="14">
        <v>106</v>
      </c>
      <c r="W336" s="14">
        <f t="shared" si="31"/>
        <v>0.55208333333333337</v>
      </c>
      <c r="Z336" s="14">
        <v>39.5</v>
      </c>
      <c r="AA336" s="14">
        <v>35</v>
      </c>
      <c r="AB336" s="14">
        <v>43</v>
      </c>
      <c r="AC336" s="14">
        <v>114</v>
      </c>
      <c r="AD336" s="34">
        <f t="shared" si="32"/>
        <v>0.59375</v>
      </c>
      <c r="AG336" s="35">
        <v>11.7</v>
      </c>
      <c r="AH336" s="35">
        <v>7.6</v>
      </c>
      <c r="AI336" s="35">
        <v>16.600000000000001</v>
      </c>
      <c r="AU336" s="14" t="s">
        <v>2583</v>
      </c>
      <c r="BA336" s="29" t="s">
        <v>4107</v>
      </c>
      <c r="BB336" s="14">
        <v>1.31</v>
      </c>
      <c r="BC336" s="14">
        <v>0.91</v>
      </c>
      <c r="BD336" s="14">
        <v>1.88</v>
      </c>
      <c r="BE336" s="29" t="s">
        <v>2582</v>
      </c>
      <c r="BJ336" s="29" t="s">
        <v>4107</v>
      </c>
      <c r="BK336" s="14">
        <v>1.1299999999999999</v>
      </c>
      <c r="BL336" s="14">
        <v>0.74</v>
      </c>
      <c r="BM336" s="14">
        <v>1.73</v>
      </c>
      <c r="CW336" s="14" t="s">
        <v>293</v>
      </c>
      <c r="CX336" s="14" t="s">
        <v>294</v>
      </c>
      <c r="CY336" s="14">
        <v>2024</v>
      </c>
      <c r="CZ336" s="36" t="s">
        <v>253</v>
      </c>
      <c r="DA336" s="14" t="s">
        <v>64</v>
      </c>
      <c r="DB336" s="14">
        <v>25</v>
      </c>
      <c r="DC336" s="14">
        <v>45293</v>
      </c>
      <c r="DD336" s="14" t="s">
        <v>295</v>
      </c>
      <c r="DE336" s="14" t="s">
        <v>296</v>
      </c>
    </row>
    <row r="337" spans="1:109" ht="20">
      <c r="A337" s="13" t="s">
        <v>1709</v>
      </c>
      <c r="B337" s="13" t="s">
        <v>1709</v>
      </c>
      <c r="C337" s="13" t="s">
        <v>303</v>
      </c>
      <c r="D337" s="13" t="s">
        <v>829</v>
      </c>
      <c r="E337" s="13" t="s">
        <v>673</v>
      </c>
      <c r="F337" s="13" t="s">
        <v>675</v>
      </c>
      <c r="H337" s="13" t="s">
        <v>880</v>
      </c>
      <c r="I337" s="14" t="s">
        <v>3631</v>
      </c>
      <c r="J337" s="13" t="s">
        <v>585</v>
      </c>
      <c r="K337" s="13"/>
      <c r="M337" s="13">
        <v>37</v>
      </c>
      <c r="N337" s="13"/>
      <c r="O337" s="15"/>
      <c r="P337" s="13"/>
      <c r="Q337" s="13">
        <v>61.7</v>
      </c>
      <c r="R337" s="13">
        <v>7.4</v>
      </c>
      <c r="S337" s="13"/>
      <c r="T337" s="13"/>
      <c r="U337" s="13"/>
      <c r="V337" s="14">
        <v>25</v>
      </c>
      <c r="W337" s="14">
        <f t="shared" si="31"/>
        <v>0.67567567567567566</v>
      </c>
      <c r="X337" s="14">
        <v>40.200000000000003</v>
      </c>
      <c r="Y337" s="14">
        <v>4.0999999999999996</v>
      </c>
      <c r="AC337" s="14">
        <v>37</v>
      </c>
      <c r="AD337" s="34">
        <f t="shared" si="32"/>
        <v>1</v>
      </c>
      <c r="AE337" s="35">
        <v>13.6</v>
      </c>
      <c r="AF337" s="35">
        <v>10.4</v>
      </c>
      <c r="CC337" s="14">
        <v>-0.05</v>
      </c>
      <c r="CD337" s="14">
        <v>28</v>
      </c>
      <c r="CW337" s="13" t="s">
        <v>298</v>
      </c>
      <c r="CX337" s="13" t="s">
        <v>299</v>
      </c>
      <c r="CY337" s="13">
        <v>2024</v>
      </c>
      <c r="CZ337" s="13" t="s">
        <v>188</v>
      </c>
      <c r="DA337" s="13" t="s">
        <v>300</v>
      </c>
      <c r="DB337" s="13">
        <v>69</v>
      </c>
      <c r="DC337" s="13">
        <v>4</v>
      </c>
      <c r="DD337" s="13" t="s">
        <v>301</v>
      </c>
      <c r="DE337" s="13" t="s">
        <v>302</v>
      </c>
    </row>
    <row r="338" spans="1:109">
      <c r="A338" s="14" t="s">
        <v>1845</v>
      </c>
      <c r="B338" s="14" t="s">
        <v>1710</v>
      </c>
      <c r="C338" s="14" t="s">
        <v>308</v>
      </c>
      <c r="D338" s="14" t="s">
        <v>818</v>
      </c>
      <c r="E338" s="14" t="s">
        <v>672</v>
      </c>
      <c r="F338" s="14" t="s">
        <v>884</v>
      </c>
      <c r="H338" s="14" t="s">
        <v>654</v>
      </c>
      <c r="I338" s="14" t="s">
        <v>4087</v>
      </c>
      <c r="J338" s="14" t="s">
        <v>585</v>
      </c>
      <c r="L338" s="14" t="s">
        <v>885</v>
      </c>
      <c r="M338" s="14">
        <v>54</v>
      </c>
      <c r="N338" s="14">
        <v>3</v>
      </c>
      <c r="O338" s="34">
        <v>5.5555555555555497E-2</v>
      </c>
      <c r="S338" s="14">
        <v>62</v>
      </c>
      <c r="T338" s="14">
        <v>40</v>
      </c>
      <c r="U338" s="14">
        <v>80</v>
      </c>
      <c r="V338" s="14">
        <v>35</v>
      </c>
      <c r="W338" s="14">
        <f t="shared" si="31"/>
        <v>0.64814814814814814</v>
      </c>
      <c r="AC338" s="14">
        <v>40</v>
      </c>
      <c r="AD338" s="34">
        <f t="shared" si="32"/>
        <v>0.7407407407407407</v>
      </c>
      <c r="AE338" s="35">
        <v>11.74</v>
      </c>
      <c r="CW338" s="14" t="s">
        <v>304</v>
      </c>
      <c r="CX338" s="14" t="s">
        <v>305</v>
      </c>
      <c r="CY338" s="14">
        <v>2024</v>
      </c>
      <c r="CZ338" s="36">
        <v>45297</v>
      </c>
      <c r="DA338" s="14" t="s">
        <v>306</v>
      </c>
      <c r="DB338" s="14">
        <v>29</v>
      </c>
      <c r="DC338" s="14">
        <v>1</v>
      </c>
      <c r="DD338" s="14" t="s">
        <v>2144</v>
      </c>
      <c r="DE338" s="14" t="s">
        <v>307</v>
      </c>
    </row>
    <row r="339" spans="1:109">
      <c r="A339" s="14" t="s">
        <v>1845</v>
      </c>
      <c r="B339" s="14" t="s">
        <v>1710</v>
      </c>
      <c r="C339" s="14" t="s">
        <v>308</v>
      </c>
      <c r="D339" s="14" t="s">
        <v>818</v>
      </c>
      <c r="E339" s="14" t="s">
        <v>672</v>
      </c>
      <c r="F339" s="14" t="s">
        <v>676</v>
      </c>
      <c r="H339" s="14" t="s">
        <v>654</v>
      </c>
      <c r="I339" s="14" t="s">
        <v>3136</v>
      </c>
      <c r="J339" s="14" t="s">
        <v>585</v>
      </c>
      <c r="L339" s="14" t="s">
        <v>708</v>
      </c>
      <c r="M339" s="14">
        <v>54</v>
      </c>
      <c r="N339" s="14">
        <v>3</v>
      </c>
      <c r="O339" s="34">
        <v>5.5555555555555497E-2</v>
      </c>
      <c r="S339" s="14">
        <v>62</v>
      </c>
      <c r="T339" s="14">
        <v>40</v>
      </c>
      <c r="U339" s="14">
        <v>80</v>
      </c>
      <c r="V339" s="14">
        <v>35</v>
      </c>
      <c r="W339" s="14">
        <f t="shared" si="31"/>
        <v>0.64814814814814814</v>
      </c>
      <c r="AC339" s="14">
        <v>40</v>
      </c>
      <c r="AD339" s="34">
        <f t="shared" si="32"/>
        <v>0.7407407407407407</v>
      </c>
      <c r="AE339" s="35">
        <v>11.74</v>
      </c>
      <c r="CW339" s="14" t="s">
        <v>304</v>
      </c>
      <c r="CX339" s="14" t="s">
        <v>305</v>
      </c>
      <c r="CY339" s="14">
        <v>2024</v>
      </c>
      <c r="CZ339" s="36">
        <v>45297</v>
      </c>
      <c r="DA339" s="14" t="s">
        <v>306</v>
      </c>
      <c r="DB339" s="14">
        <v>29</v>
      </c>
      <c r="DC339" s="14">
        <v>1</v>
      </c>
      <c r="DD339" s="14" t="s">
        <v>2144</v>
      </c>
      <c r="DE339" s="14" t="s">
        <v>307</v>
      </c>
    </row>
    <row r="340" spans="1:109">
      <c r="A340" s="14" t="s">
        <v>1845</v>
      </c>
      <c r="B340" s="14" t="s">
        <v>1710</v>
      </c>
      <c r="C340" s="14" t="s">
        <v>308</v>
      </c>
      <c r="D340" s="14" t="s">
        <v>818</v>
      </c>
      <c r="E340" s="14" t="s">
        <v>672</v>
      </c>
      <c r="F340" s="14" t="s">
        <v>823</v>
      </c>
      <c r="H340" s="14" t="s">
        <v>654</v>
      </c>
      <c r="I340" s="14" t="s">
        <v>3136</v>
      </c>
      <c r="J340" s="14" t="s">
        <v>585</v>
      </c>
      <c r="L340" s="14" t="s">
        <v>708</v>
      </c>
      <c r="M340" s="14">
        <v>54</v>
      </c>
      <c r="N340" s="14">
        <v>3</v>
      </c>
      <c r="O340" s="34">
        <v>5.5555555555555497E-2</v>
      </c>
      <c r="S340" s="14">
        <v>62</v>
      </c>
      <c r="T340" s="14">
        <v>40</v>
      </c>
      <c r="U340" s="14">
        <v>80</v>
      </c>
      <c r="V340" s="14">
        <v>35</v>
      </c>
      <c r="W340" s="14">
        <f t="shared" si="31"/>
        <v>0.64814814814814814</v>
      </c>
      <c r="AC340" s="14">
        <v>40</v>
      </c>
      <c r="AD340" s="34">
        <f t="shared" si="32"/>
        <v>0.7407407407407407</v>
      </c>
      <c r="AE340" s="35">
        <v>11.74</v>
      </c>
      <c r="CW340" s="14" t="s">
        <v>304</v>
      </c>
      <c r="CX340" s="14" t="s">
        <v>305</v>
      </c>
      <c r="CY340" s="14">
        <v>2024</v>
      </c>
      <c r="CZ340" s="36">
        <v>45297</v>
      </c>
      <c r="DA340" s="14" t="s">
        <v>306</v>
      </c>
      <c r="DB340" s="14">
        <v>29</v>
      </c>
      <c r="DC340" s="14">
        <v>1</v>
      </c>
      <c r="DD340" s="14" t="s">
        <v>2144</v>
      </c>
      <c r="DE340" s="14" t="s">
        <v>307</v>
      </c>
    </row>
    <row r="341" spans="1:109">
      <c r="A341" s="14" t="s">
        <v>1845</v>
      </c>
      <c r="B341" s="14" t="s">
        <v>1710</v>
      </c>
      <c r="C341" s="14" t="s">
        <v>308</v>
      </c>
      <c r="D341" s="14" t="s">
        <v>818</v>
      </c>
      <c r="E341" s="14" t="s">
        <v>672</v>
      </c>
      <c r="F341" s="14" t="s">
        <v>4141</v>
      </c>
      <c r="H341" s="14" t="s">
        <v>654</v>
      </c>
      <c r="I341" s="14" t="s">
        <v>3136</v>
      </c>
      <c r="J341" s="14" t="s">
        <v>585</v>
      </c>
      <c r="K341" s="14" t="s">
        <v>4149</v>
      </c>
      <c r="L341" s="14" t="s">
        <v>708</v>
      </c>
      <c r="M341" s="14">
        <v>54</v>
      </c>
      <c r="N341" s="14">
        <v>3</v>
      </c>
      <c r="O341" s="34">
        <v>5.5555555555555497E-2</v>
      </c>
      <c r="S341" s="14">
        <v>62</v>
      </c>
      <c r="T341" s="14">
        <v>40</v>
      </c>
      <c r="U341" s="14">
        <v>80</v>
      </c>
      <c r="V341" s="14">
        <v>35</v>
      </c>
      <c r="W341" s="14">
        <f t="shared" si="31"/>
        <v>0.64814814814814814</v>
      </c>
      <c r="AC341" s="14">
        <v>40</v>
      </c>
      <c r="AD341" s="34">
        <f t="shared" si="32"/>
        <v>0.7407407407407407</v>
      </c>
      <c r="AE341" s="35">
        <v>11.74</v>
      </c>
      <c r="CW341" s="14" t="s">
        <v>304</v>
      </c>
      <c r="CX341" s="14" t="s">
        <v>305</v>
      </c>
      <c r="CY341" s="14">
        <v>2024</v>
      </c>
      <c r="CZ341" s="36">
        <v>45297</v>
      </c>
      <c r="DA341" s="14" t="s">
        <v>306</v>
      </c>
      <c r="DB341" s="14">
        <v>29</v>
      </c>
      <c r="DC341" s="14">
        <v>1</v>
      </c>
      <c r="DD341" s="14" t="s">
        <v>2144</v>
      </c>
      <c r="DE341" s="14" t="s">
        <v>307</v>
      </c>
    </row>
    <row r="342" spans="1:109">
      <c r="A342" s="14" t="s">
        <v>1848</v>
      </c>
      <c r="C342" s="14" t="s">
        <v>1326</v>
      </c>
      <c r="D342" s="14" t="s">
        <v>1015</v>
      </c>
      <c r="E342" s="14" t="s">
        <v>672</v>
      </c>
      <c r="F342" s="14" t="s">
        <v>675</v>
      </c>
      <c r="H342" s="14" t="s">
        <v>855</v>
      </c>
      <c r="I342" s="14" t="s">
        <v>3131</v>
      </c>
      <c r="J342" s="14" t="s">
        <v>652</v>
      </c>
      <c r="M342" s="14">
        <v>75</v>
      </c>
      <c r="N342" s="14">
        <v>4</v>
      </c>
      <c r="Q342" s="14">
        <v>69.066666999999995</v>
      </c>
      <c r="R342" s="14">
        <v>10.880597</v>
      </c>
      <c r="S342" s="14">
        <v>72</v>
      </c>
      <c r="T342" s="14">
        <v>63</v>
      </c>
      <c r="U342" s="14">
        <v>77</v>
      </c>
      <c r="V342" s="14">
        <v>47</v>
      </c>
      <c r="W342" s="14">
        <f t="shared" si="31"/>
        <v>0.62666666666666671</v>
      </c>
      <c r="X342" s="14">
        <v>38.746667000000002</v>
      </c>
      <c r="Y342" s="14">
        <v>7.2337300000000004</v>
      </c>
      <c r="Z342" s="14">
        <v>41</v>
      </c>
      <c r="AA342" s="14">
        <v>35</v>
      </c>
      <c r="AB342" s="14">
        <v>44</v>
      </c>
      <c r="AU342" s="14" t="s">
        <v>2583</v>
      </c>
      <c r="BN342" s="14" t="s">
        <v>2231</v>
      </c>
      <c r="BO342" s="14" t="s">
        <v>2490</v>
      </c>
      <c r="BQ342" s="14">
        <v>0.36499368094434897</v>
      </c>
      <c r="BU342" s="14">
        <v>1.8918400000000001E-3</v>
      </c>
      <c r="CC342" s="14">
        <v>-0.26452574275964802</v>
      </c>
      <c r="CG342" s="14">
        <v>2.6903725946879901E-2</v>
      </c>
      <c r="CW342" s="14" t="s">
        <v>1323</v>
      </c>
      <c r="CX342" s="14" t="s">
        <v>1324</v>
      </c>
      <c r="CY342" s="14">
        <v>2021</v>
      </c>
      <c r="CZ342" s="36" t="s">
        <v>44</v>
      </c>
      <c r="DA342" s="14" t="s">
        <v>284</v>
      </c>
      <c r="DB342" s="14">
        <v>16</v>
      </c>
      <c r="DC342" s="14">
        <v>11</v>
      </c>
      <c r="DE342" s="14" t="s">
        <v>1325</v>
      </c>
    </row>
    <row r="343" spans="1:109">
      <c r="A343" s="14" t="s">
        <v>1848</v>
      </c>
      <c r="C343" s="14" t="s">
        <v>1326</v>
      </c>
      <c r="D343" s="14" t="s">
        <v>1015</v>
      </c>
      <c r="E343" s="14" t="s">
        <v>672</v>
      </c>
      <c r="F343" s="14" t="s">
        <v>3183</v>
      </c>
      <c r="H343" s="14" t="s">
        <v>855</v>
      </c>
      <c r="I343" s="14" t="s">
        <v>3131</v>
      </c>
      <c r="J343" s="14" t="s">
        <v>652</v>
      </c>
      <c r="M343" s="14">
        <v>75</v>
      </c>
      <c r="N343" s="14">
        <v>4</v>
      </c>
      <c r="Q343" s="14">
        <v>69.066666999999995</v>
      </c>
      <c r="R343" s="14">
        <v>10.880597</v>
      </c>
      <c r="S343" s="14">
        <v>72</v>
      </c>
      <c r="T343" s="14">
        <v>63</v>
      </c>
      <c r="U343" s="14">
        <v>77</v>
      </c>
      <c r="V343" s="14">
        <v>47</v>
      </c>
      <c r="W343" s="14">
        <f t="shared" si="31"/>
        <v>0.62666666666666671</v>
      </c>
      <c r="X343" s="14">
        <v>38.746667000000002</v>
      </c>
      <c r="Y343" s="14">
        <v>7.2337300000000004</v>
      </c>
      <c r="Z343" s="14">
        <v>41</v>
      </c>
      <c r="AA343" s="14">
        <v>35</v>
      </c>
      <c r="AB343" s="14">
        <v>44</v>
      </c>
      <c r="AU343" s="14" t="s">
        <v>2583</v>
      </c>
      <c r="BN343" s="14" t="s">
        <v>2231</v>
      </c>
      <c r="BO343" s="14" t="s">
        <v>2490</v>
      </c>
      <c r="BQ343" s="14">
        <v>1.25698050051817E-2</v>
      </c>
      <c r="BU343" s="14">
        <v>0.91774313943765295</v>
      </c>
      <c r="CC343" s="14">
        <v>-0.13391408849883499</v>
      </c>
      <c r="CG343" s="14">
        <v>0.269064759497877</v>
      </c>
      <c r="CW343" s="14" t="s">
        <v>1323</v>
      </c>
      <c r="CX343" s="14" t="s">
        <v>1324</v>
      </c>
      <c r="CY343" s="14">
        <v>2021</v>
      </c>
      <c r="CZ343" s="36" t="s">
        <v>44</v>
      </c>
      <c r="DA343" s="14" t="s">
        <v>284</v>
      </c>
      <c r="DB343" s="14">
        <v>16</v>
      </c>
      <c r="DC343" s="14">
        <v>11</v>
      </c>
      <c r="DE343" s="14" t="s">
        <v>1325</v>
      </c>
    </row>
    <row r="344" spans="1:109">
      <c r="A344" s="14" t="s">
        <v>1848</v>
      </c>
      <c r="C344" s="14" t="s">
        <v>1326</v>
      </c>
      <c r="D344" s="14" t="s">
        <v>1015</v>
      </c>
      <c r="E344" s="14" t="s">
        <v>672</v>
      </c>
      <c r="F344" s="14" t="s">
        <v>676</v>
      </c>
      <c r="H344" s="14" t="s">
        <v>855</v>
      </c>
      <c r="I344" s="14" t="s">
        <v>3131</v>
      </c>
      <c r="J344" s="14" t="s">
        <v>652</v>
      </c>
      <c r="M344" s="14">
        <v>75</v>
      </c>
      <c r="N344" s="14">
        <v>4</v>
      </c>
      <c r="Q344" s="14">
        <v>69.066666999999995</v>
      </c>
      <c r="R344" s="14">
        <v>10.880597</v>
      </c>
      <c r="S344" s="14">
        <v>72</v>
      </c>
      <c r="T344" s="14">
        <v>63</v>
      </c>
      <c r="U344" s="14">
        <v>77</v>
      </c>
      <c r="V344" s="14">
        <v>47</v>
      </c>
      <c r="W344" s="14">
        <f t="shared" si="31"/>
        <v>0.62666666666666671</v>
      </c>
      <c r="X344" s="14">
        <v>38.746667000000002</v>
      </c>
      <c r="Y344" s="14">
        <v>7.2337300000000004</v>
      </c>
      <c r="Z344" s="14">
        <v>41</v>
      </c>
      <c r="AA344" s="14">
        <v>35</v>
      </c>
      <c r="AB344" s="14">
        <v>44</v>
      </c>
      <c r="AU344" s="14" t="s">
        <v>2583</v>
      </c>
      <c r="BN344" s="14" t="s">
        <v>2231</v>
      </c>
      <c r="BO344" s="14" t="s">
        <v>2490</v>
      </c>
      <c r="BQ344" s="14">
        <v>8.7770860000000006E-2</v>
      </c>
      <c r="BU344" s="14">
        <v>0.473284093218796</v>
      </c>
      <c r="CC344" s="14">
        <v>1.21553411188232E-2</v>
      </c>
      <c r="CG344" s="14">
        <v>0.92103594670735001</v>
      </c>
      <c r="CW344" s="14" t="s">
        <v>1323</v>
      </c>
      <c r="CX344" s="14" t="s">
        <v>1324</v>
      </c>
      <c r="CY344" s="14">
        <v>2021</v>
      </c>
      <c r="CZ344" s="36" t="s">
        <v>44</v>
      </c>
      <c r="DA344" s="14" t="s">
        <v>284</v>
      </c>
      <c r="DB344" s="14">
        <v>16</v>
      </c>
      <c r="DC344" s="14">
        <v>11</v>
      </c>
      <c r="DE344" s="14" t="s">
        <v>1325</v>
      </c>
    </row>
    <row r="345" spans="1:109">
      <c r="A345" s="14" t="s">
        <v>1848</v>
      </c>
      <c r="C345" s="14" t="s">
        <v>1326</v>
      </c>
      <c r="D345" s="14" t="s">
        <v>1015</v>
      </c>
      <c r="E345" s="14" t="s">
        <v>674</v>
      </c>
      <c r="F345" s="14" t="s">
        <v>675</v>
      </c>
      <c r="H345" s="14" t="s">
        <v>855</v>
      </c>
      <c r="I345" s="14" t="s">
        <v>3131</v>
      </c>
      <c r="J345" s="14" t="s">
        <v>652</v>
      </c>
      <c r="M345" s="14">
        <v>75</v>
      </c>
      <c r="N345" s="14">
        <v>4</v>
      </c>
      <c r="Q345" s="14">
        <v>69.066666999999995</v>
      </c>
      <c r="R345" s="14">
        <v>10.880597</v>
      </c>
      <c r="S345" s="14">
        <v>72</v>
      </c>
      <c r="T345" s="14">
        <v>63</v>
      </c>
      <c r="U345" s="14">
        <v>77</v>
      </c>
      <c r="V345" s="14">
        <v>47</v>
      </c>
      <c r="W345" s="14">
        <f t="shared" si="31"/>
        <v>0.62666666666666671</v>
      </c>
      <c r="X345" s="14">
        <v>38.746667000000002</v>
      </c>
      <c r="Y345" s="14">
        <v>7.2337300000000004</v>
      </c>
      <c r="Z345" s="14">
        <v>41</v>
      </c>
      <c r="AA345" s="14">
        <v>35</v>
      </c>
      <c r="AB345" s="14">
        <v>44</v>
      </c>
      <c r="AU345" s="14" t="s">
        <v>2583</v>
      </c>
      <c r="BN345" s="14" t="s">
        <v>2231</v>
      </c>
      <c r="BO345" s="14" t="s">
        <v>2490</v>
      </c>
      <c r="BQ345" s="14">
        <v>0.35150866515164297</v>
      </c>
      <c r="BU345" s="14">
        <v>1.3262619999999999E-2</v>
      </c>
      <c r="CC345" s="14">
        <v>-0.33451876539154302</v>
      </c>
      <c r="CG345" s="14">
        <v>1.8808315010187201E-2</v>
      </c>
      <c r="CW345" s="14" t="s">
        <v>1323</v>
      </c>
      <c r="CX345" s="14" t="s">
        <v>1324</v>
      </c>
      <c r="CY345" s="14">
        <v>2021</v>
      </c>
      <c r="CZ345" s="36" t="s">
        <v>44</v>
      </c>
      <c r="DA345" s="14" t="s">
        <v>284</v>
      </c>
      <c r="DB345" s="14">
        <v>16</v>
      </c>
      <c r="DC345" s="14">
        <v>11</v>
      </c>
      <c r="DE345" s="14" t="s">
        <v>1325</v>
      </c>
    </row>
    <row r="346" spans="1:109">
      <c r="A346" s="14" t="s">
        <v>1848</v>
      </c>
      <c r="C346" s="14" t="s">
        <v>1326</v>
      </c>
      <c r="D346" s="14" t="s">
        <v>1015</v>
      </c>
      <c r="E346" s="14" t="s">
        <v>674</v>
      </c>
      <c r="F346" s="14" t="s">
        <v>3183</v>
      </c>
      <c r="H346" s="14" t="s">
        <v>855</v>
      </c>
      <c r="I346" s="14" t="s">
        <v>3131</v>
      </c>
      <c r="J346" s="14" t="s">
        <v>652</v>
      </c>
      <c r="M346" s="14">
        <v>75</v>
      </c>
      <c r="N346" s="14">
        <v>4</v>
      </c>
      <c r="Q346" s="14">
        <v>69.066666999999995</v>
      </c>
      <c r="R346" s="14">
        <v>10.880597</v>
      </c>
      <c r="S346" s="14">
        <v>72</v>
      </c>
      <c r="T346" s="14">
        <v>63</v>
      </c>
      <c r="U346" s="14">
        <v>77</v>
      </c>
      <c r="V346" s="14">
        <v>47</v>
      </c>
      <c r="W346" s="14">
        <f t="shared" si="31"/>
        <v>0.62666666666666671</v>
      </c>
      <c r="X346" s="14">
        <v>38.746667000000002</v>
      </c>
      <c r="Y346" s="14">
        <v>7.2337300000000004</v>
      </c>
      <c r="Z346" s="14">
        <v>41</v>
      </c>
      <c r="AA346" s="14">
        <v>35</v>
      </c>
      <c r="AB346" s="14">
        <v>44</v>
      </c>
      <c r="AU346" s="14" t="s">
        <v>2583</v>
      </c>
      <c r="BN346" s="14" t="s">
        <v>2231</v>
      </c>
      <c r="BO346" s="14" t="s">
        <v>2490</v>
      </c>
      <c r="BQ346" s="14">
        <v>-0.12587409999999999</v>
      </c>
      <c r="BU346" s="14">
        <v>0.388793330400237</v>
      </c>
      <c r="CC346" s="14">
        <v>0.31890654360033799</v>
      </c>
      <c r="CG346" s="14">
        <v>2.5523407781055302E-2</v>
      </c>
      <c r="CW346" s="14" t="s">
        <v>4139</v>
      </c>
      <c r="CX346" s="14" t="s">
        <v>1324</v>
      </c>
      <c r="CY346" s="14">
        <v>2021</v>
      </c>
      <c r="CZ346" s="36" t="s">
        <v>44</v>
      </c>
      <c r="DA346" s="14" t="s">
        <v>284</v>
      </c>
      <c r="DB346" s="14">
        <v>16</v>
      </c>
      <c r="DC346" s="14">
        <v>11</v>
      </c>
      <c r="DE346" s="14" t="s">
        <v>1325</v>
      </c>
    </row>
    <row r="347" spans="1:109">
      <c r="A347" s="14" t="s">
        <v>1848</v>
      </c>
      <c r="C347" s="14" t="s">
        <v>1326</v>
      </c>
      <c r="D347" s="14" t="s">
        <v>1015</v>
      </c>
      <c r="E347" s="14" t="s">
        <v>674</v>
      </c>
      <c r="F347" s="14" t="s">
        <v>676</v>
      </c>
      <c r="H347" s="14" t="s">
        <v>855</v>
      </c>
      <c r="I347" s="14" t="s">
        <v>3131</v>
      </c>
      <c r="J347" s="14" t="s">
        <v>652</v>
      </c>
      <c r="M347" s="14">
        <v>75</v>
      </c>
      <c r="N347" s="14">
        <v>4</v>
      </c>
      <c r="Q347" s="14">
        <v>69.066666999999995</v>
      </c>
      <c r="R347" s="14">
        <v>10.880597</v>
      </c>
      <c r="S347" s="14">
        <v>72</v>
      </c>
      <c r="T347" s="14">
        <v>63</v>
      </c>
      <c r="U347" s="14">
        <v>77</v>
      </c>
      <c r="V347" s="14">
        <v>47</v>
      </c>
      <c r="W347" s="14">
        <f t="shared" si="31"/>
        <v>0.62666666666666671</v>
      </c>
      <c r="X347" s="14">
        <v>38.746667000000002</v>
      </c>
      <c r="Y347" s="14">
        <v>7.2337300000000004</v>
      </c>
      <c r="Z347" s="14">
        <v>41</v>
      </c>
      <c r="AA347" s="14">
        <v>35</v>
      </c>
      <c r="AB347" s="14">
        <v>44</v>
      </c>
      <c r="AU347" s="14" t="s">
        <v>2583</v>
      </c>
      <c r="BN347" s="14" t="s">
        <v>2231</v>
      </c>
      <c r="BO347" s="14" t="s">
        <v>2490</v>
      </c>
      <c r="BQ347" s="14">
        <v>0.107507606023496</v>
      </c>
      <c r="BU347" s="14">
        <v>0.46703431374763199</v>
      </c>
      <c r="CC347" s="14">
        <v>-3.3524784330544698E-2</v>
      </c>
      <c r="CG347" s="14">
        <v>0.82103999468751099</v>
      </c>
      <c r="CW347" s="14" t="s">
        <v>1323</v>
      </c>
      <c r="CX347" s="14" t="s">
        <v>1324</v>
      </c>
      <c r="CY347" s="14">
        <v>2021</v>
      </c>
      <c r="CZ347" s="36" t="s">
        <v>44</v>
      </c>
      <c r="DA347" s="14" t="s">
        <v>284</v>
      </c>
      <c r="DB347" s="14">
        <v>16</v>
      </c>
      <c r="DC347" s="14">
        <v>11</v>
      </c>
      <c r="DE347" s="14" t="s">
        <v>1325</v>
      </c>
    </row>
    <row r="348" spans="1:109" ht="20">
      <c r="A348" s="13" t="s">
        <v>3391</v>
      </c>
      <c r="B348" s="13"/>
      <c r="C348" s="13" t="s">
        <v>3320</v>
      </c>
      <c r="D348" s="14" t="s">
        <v>2371</v>
      </c>
      <c r="E348" s="13" t="s">
        <v>725</v>
      </c>
      <c r="F348" s="13"/>
      <c r="G348" s="13" t="s">
        <v>3796</v>
      </c>
      <c r="H348" s="14" t="s">
        <v>3797</v>
      </c>
      <c r="I348" s="13" t="s">
        <v>3798</v>
      </c>
      <c r="J348" s="13" t="s">
        <v>576</v>
      </c>
      <c r="K348" s="13" t="s">
        <v>3799</v>
      </c>
      <c r="L348" s="13"/>
      <c r="M348" s="13">
        <v>42</v>
      </c>
      <c r="N348" s="13">
        <v>0</v>
      </c>
      <c r="O348" s="15">
        <v>0</v>
      </c>
      <c r="P348" s="13"/>
      <c r="Q348" s="13">
        <v>65.599999999999994</v>
      </c>
      <c r="R348" s="13">
        <v>9.3000000000000007</v>
      </c>
      <c r="S348" s="13"/>
      <c r="T348" s="13"/>
      <c r="U348" s="13"/>
      <c r="V348" s="13">
        <v>13</v>
      </c>
      <c r="W348" s="2">
        <f t="shared" si="31"/>
        <v>0.30952380952380953</v>
      </c>
      <c r="X348" s="13"/>
      <c r="Y348" s="13"/>
      <c r="Z348" s="13"/>
      <c r="AA348" s="13"/>
      <c r="AB348" s="13"/>
      <c r="AC348" s="13">
        <v>25</v>
      </c>
      <c r="AD348" s="13">
        <f t="shared" ref="AD348:AD358" si="33">AC348/M348</f>
        <v>0.59523809523809523</v>
      </c>
      <c r="AE348" s="13"/>
      <c r="AF348" s="13"/>
      <c r="AG348" s="13"/>
      <c r="AH348" s="13"/>
      <c r="AI348" s="13"/>
      <c r="AJ348" s="13"/>
      <c r="AK348" s="13"/>
      <c r="AL348" s="13"/>
      <c r="AM348" s="13"/>
      <c r="AN348" s="13"/>
      <c r="AO348" s="13"/>
      <c r="AP348" s="13"/>
      <c r="AQ348" s="13"/>
      <c r="AR348" s="13"/>
      <c r="AS348" s="13"/>
      <c r="AT348" s="13"/>
      <c r="AV348" s="13"/>
      <c r="AW348" s="13"/>
      <c r="AX348" s="13"/>
      <c r="AY348" s="13"/>
      <c r="AZ348" s="13"/>
      <c r="BA348" s="16"/>
      <c r="BB348" s="13"/>
      <c r="BC348" s="13"/>
      <c r="BD348" s="13"/>
      <c r="BE348" s="16"/>
      <c r="BF348" s="13"/>
      <c r="BG348" s="13"/>
      <c r="BH348" s="13"/>
      <c r="BI348" s="13"/>
      <c r="BJ348" s="16"/>
      <c r="BK348" s="13"/>
      <c r="BL348" s="13"/>
      <c r="BM348" s="13"/>
      <c r="BN348" s="16"/>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t="s">
        <v>3519</v>
      </c>
      <c r="CX348" s="13" t="s">
        <v>3520</v>
      </c>
      <c r="CY348" s="13">
        <v>2024</v>
      </c>
      <c r="CZ348" s="13"/>
      <c r="DA348" s="13" t="s">
        <v>3521</v>
      </c>
      <c r="DB348" s="13">
        <v>249</v>
      </c>
      <c r="DC348" s="13"/>
      <c r="DD348" s="13">
        <v>10401</v>
      </c>
      <c r="DE348" s="13" t="s">
        <v>3246</v>
      </c>
    </row>
    <row r="349" spans="1:109" ht="20">
      <c r="A349" s="13" t="s">
        <v>1711</v>
      </c>
      <c r="B349" s="13" t="s">
        <v>1711</v>
      </c>
      <c r="C349" s="13" t="s">
        <v>313</v>
      </c>
      <c r="D349" s="13" t="s">
        <v>3632</v>
      </c>
      <c r="E349" s="13" t="s">
        <v>672</v>
      </c>
      <c r="F349" s="13" t="s">
        <v>889</v>
      </c>
      <c r="H349" s="13" t="s">
        <v>887</v>
      </c>
      <c r="I349" s="14" t="s">
        <v>3633</v>
      </c>
      <c r="J349" s="13" t="s">
        <v>1969</v>
      </c>
      <c r="K349" s="13" t="s">
        <v>888</v>
      </c>
      <c r="M349" s="13">
        <v>17</v>
      </c>
      <c r="N349" s="13">
        <v>0</v>
      </c>
      <c r="O349" s="15">
        <v>0</v>
      </c>
      <c r="P349" s="13"/>
      <c r="Q349" s="13">
        <v>64</v>
      </c>
      <c r="R349" s="13">
        <v>12</v>
      </c>
      <c r="S349" s="13"/>
      <c r="T349" s="13"/>
      <c r="U349" s="13"/>
      <c r="V349" s="14">
        <v>11</v>
      </c>
      <c r="W349" s="14">
        <f t="shared" si="31"/>
        <v>0.6470588235294118</v>
      </c>
      <c r="AC349" s="14">
        <v>14</v>
      </c>
      <c r="AD349" s="34">
        <f t="shared" si="33"/>
        <v>0.82352941176470584</v>
      </c>
      <c r="CW349" s="13" t="s">
        <v>309</v>
      </c>
      <c r="CX349" s="13" t="s">
        <v>310</v>
      </c>
      <c r="CY349" s="13">
        <v>2023</v>
      </c>
      <c r="CZ349" s="13" t="s">
        <v>53</v>
      </c>
      <c r="DA349" s="13" t="s">
        <v>311</v>
      </c>
      <c r="DB349" s="13">
        <v>78</v>
      </c>
      <c r="DC349" s="13"/>
      <c r="DD349" s="13" t="s">
        <v>2217</v>
      </c>
      <c r="DE349" s="13" t="s">
        <v>312</v>
      </c>
    </row>
    <row r="350" spans="1:109" ht="20">
      <c r="A350" s="13" t="s">
        <v>1711</v>
      </c>
      <c r="B350" s="13" t="s">
        <v>1711</v>
      </c>
      <c r="C350" s="13" t="s">
        <v>313</v>
      </c>
      <c r="D350" s="13" t="s">
        <v>3632</v>
      </c>
      <c r="E350" s="13" t="s">
        <v>672</v>
      </c>
      <c r="F350" s="13" t="s">
        <v>890</v>
      </c>
      <c r="H350" s="13" t="s">
        <v>887</v>
      </c>
      <c r="I350" s="14" t="s">
        <v>3633</v>
      </c>
      <c r="J350" s="13" t="s">
        <v>1969</v>
      </c>
      <c r="K350" s="13" t="s">
        <v>888</v>
      </c>
      <c r="M350" s="13">
        <v>17</v>
      </c>
      <c r="N350" s="13">
        <v>0</v>
      </c>
      <c r="O350" s="15">
        <v>0</v>
      </c>
      <c r="P350" s="13"/>
      <c r="Q350" s="13">
        <v>64</v>
      </c>
      <c r="R350" s="13">
        <v>12</v>
      </c>
      <c r="S350" s="13"/>
      <c r="T350" s="13"/>
      <c r="U350" s="13"/>
      <c r="V350" s="14">
        <v>11</v>
      </c>
      <c r="W350" s="14">
        <f t="shared" si="31"/>
        <v>0.6470588235294118</v>
      </c>
      <c r="AC350" s="14">
        <v>14</v>
      </c>
      <c r="AD350" s="34">
        <f t="shared" si="33"/>
        <v>0.82352941176470584</v>
      </c>
      <c r="CW350" s="13" t="s">
        <v>309</v>
      </c>
      <c r="CX350" s="13" t="s">
        <v>310</v>
      </c>
      <c r="CY350" s="13">
        <v>2023</v>
      </c>
      <c r="CZ350" s="13" t="s">
        <v>53</v>
      </c>
      <c r="DA350" s="13" t="s">
        <v>311</v>
      </c>
      <c r="DB350" s="13">
        <v>78</v>
      </c>
      <c r="DC350" s="13"/>
      <c r="DD350" s="13" t="s">
        <v>2217</v>
      </c>
      <c r="DE350" s="13" t="s">
        <v>312</v>
      </c>
    </row>
    <row r="351" spans="1:109" ht="20">
      <c r="A351" s="13" t="s">
        <v>1711</v>
      </c>
      <c r="B351" s="13" t="s">
        <v>1711</v>
      </c>
      <c r="C351" s="13" t="s">
        <v>313</v>
      </c>
      <c r="D351" s="13" t="s">
        <v>3632</v>
      </c>
      <c r="E351" s="13" t="s">
        <v>672</v>
      </c>
      <c r="F351" s="13" t="s">
        <v>891</v>
      </c>
      <c r="H351" s="13" t="s">
        <v>887</v>
      </c>
      <c r="I351" s="14" t="s">
        <v>3633</v>
      </c>
      <c r="J351" s="13" t="s">
        <v>1969</v>
      </c>
      <c r="K351" s="13" t="s">
        <v>888</v>
      </c>
      <c r="M351" s="13">
        <v>17</v>
      </c>
      <c r="N351" s="13">
        <v>0</v>
      </c>
      <c r="O351" s="15">
        <v>0</v>
      </c>
      <c r="P351" s="13"/>
      <c r="Q351" s="13">
        <v>64</v>
      </c>
      <c r="R351" s="13">
        <v>12</v>
      </c>
      <c r="S351" s="13"/>
      <c r="T351" s="13"/>
      <c r="U351" s="13"/>
      <c r="V351" s="14">
        <v>11</v>
      </c>
      <c r="W351" s="14">
        <f t="shared" si="31"/>
        <v>0.6470588235294118</v>
      </c>
      <c r="AC351" s="14">
        <v>14</v>
      </c>
      <c r="AD351" s="34">
        <f t="shared" si="33"/>
        <v>0.82352941176470584</v>
      </c>
      <c r="CW351" s="13" t="s">
        <v>309</v>
      </c>
      <c r="CX351" s="13" t="s">
        <v>310</v>
      </c>
      <c r="CY351" s="13">
        <v>2023</v>
      </c>
      <c r="CZ351" s="13" t="s">
        <v>53</v>
      </c>
      <c r="DA351" s="13" t="s">
        <v>311</v>
      </c>
      <c r="DB351" s="13">
        <v>78</v>
      </c>
      <c r="DC351" s="13"/>
      <c r="DD351" s="13" t="s">
        <v>2217</v>
      </c>
      <c r="DE351" s="13" t="s">
        <v>312</v>
      </c>
    </row>
    <row r="352" spans="1:109" ht="20">
      <c r="A352" s="13" t="s">
        <v>1711</v>
      </c>
      <c r="B352" s="13" t="s">
        <v>1711</v>
      </c>
      <c r="C352" s="13" t="s">
        <v>313</v>
      </c>
      <c r="D352" s="13" t="s">
        <v>3632</v>
      </c>
      <c r="E352" s="13" t="s">
        <v>672</v>
      </c>
      <c r="F352" s="13" t="s">
        <v>892</v>
      </c>
      <c r="H352" s="13" t="s">
        <v>887</v>
      </c>
      <c r="I352" s="14" t="s">
        <v>3633</v>
      </c>
      <c r="J352" s="13" t="s">
        <v>1969</v>
      </c>
      <c r="K352" s="13" t="s">
        <v>888</v>
      </c>
      <c r="M352" s="13">
        <v>17</v>
      </c>
      <c r="N352" s="13">
        <v>0</v>
      </c>
      <c r="O352" s="15">
        <v>0</v>
      </c>
      <c r="P352" s="13"/>
      <c r="Q352" s="13">
        <v>64</v>
      </c>
      <c r="R352" s="13">
        <v>12</v>
      </c>
      <c r="S352" s="13"/>
      <c r="T352" s="13"/>
      <c r="U352" s="13"/>
      <c r="V352" s="14">
        <v>11</v>
      </c>
      <c r="W352" s="14">
        <f t="shared" si="31"/>
        <v>0.6470588235294118</v>
      </c>
      <c r="AC352" s="14">
        <v>14</v>
      </c>
      <c r="AD352" s="34">
        <f t="shared" si="33"/>
        <v>0.82352941176470584</v>
      </c>
      <c r="CW352" s="13" t="s">
        <v>309</v>
      </c>
      <c r="CX352" s="13" t="s">
        <v>310</v>
      </c>
      <c r="CY352" s="13">
        <v>2023</v>
      </c>
      <c r="CZ352" s="13" t="s">
        <v>53</v>
      </c>
      <c r="DA352" s="13" t="s">
        <v>311</v>
      </c>
      <c r="DB352" s="13">
        <v>78</v>
      </c>
      <c r="DC352" s="13"/>
      <c r="DD352" s="13" t="s">
        <v>2217</v>
      </c>
      <c r="DE352" s="13" t="s">
        <v>312</v>
      </c>
    </row>
    <row r="353" spans="1:109" ht="20">
      <c r="A353" s="13" t="s">
        <v>1711</v>
      </c>
      <c r="B353" s="13" t="s">
        <v>1711</v>
      </c>
      <c r="C353" s="13" t="s">
        <v>313</v>
      </c>
      <c r="D353" s="13" t="s">
        <v>3632</v>
      </c>
      <c r="E353" s="13" t="s">
        <v>672</v>
      </c>
      <c r="F353" s="13" t="s">
        <v>892</v>
      </c>
      <c r="H353" s="13" t="s">
        <v>887</v>
      </c>
      <c r="I353" s="14" t="s">
        <v>3633</v>
      </c>
      <c r="J353" s="13" t="s">
        <v>1969</v>
      </c>
      <c r="K353" s="13" t="s">
        <v>888</v>
      </c>
      <c r="M353" s="13">
        <v>17</v>
      </c>
      <c r="N353" s="13">
        <v>0</v>
      </c>
      <c r="O353" s="15">
        <v>0</v>
      </c>
      <c r="P353" s="13"/>
      <c r="Q353" s="13">
        <v>64</v>
      </c>
      <c r="R353" s="13">
        <v>12</v>
      </c>
      <c r="S353" s="13"/>
      <c r="T353" s="13"/>
      <c r="U353" s="13"/>
      <c r="V353" s="14">
        <v>11</v>
      </c>
      <c r="W353" s="14">
        <f t="shared" si="31"/>
        <v>0.6470588235294118</v>
      </c>
      <c r="AC353" s="14">
        <v>14</v>
      </c>
      <c r="AD353" s="34">
        <f t="shared" si="33"/>
        <v>0.82352941176470584</v>
      </c>
      <c r="CW353" s="13" t="s">
        <v>309</v>
      </c>
      <c r="CX353" s="13" t="s">
        <v>310</v>
      </c>
      <c r="CY353" s="13">
        <v>2023</v>
      </c>
      <c r="CZ353" s="13" t="s">
        <v>53</v>
      </c>
      <c r="DA353" s="13" t="s">
        <v>311</v>
      </c>
      <c r="DB353" s="13">
        <v>78</v>
      </c>
      <c r="DC353" s="13"/>
      <c r="DD353" s="13" t="s">
        <v>2217</v>
      </c>
      <c r="DE353" s="13" t="s">
        <v>312</v>
      </c>
    </row>
    <row r="354" spans="1:109" ht="20">
      <c r="A354" s="13" t="s">
        <v>1711</v>
      </c>
      <c r="B354" s="13" t="s">
        <v>1711</v>
      </c>
      <c r="C354" s="13" t="s">
        <v>313</v>
      </c>
      <c r="D354" s="13" t="s">
        <v>3632</v>
      </c>
      <c r="E354" s="13" t="s">
        <v>672</v>
      </c>
      <c r="F354" s="13" t="s">
        <v>892</v>
      </c>
      <c r="H354" s="13" t="s">
        <v>887</v>
      </c>
      <c r="I354" s="14" t="s">
        <v>3633</v>
      </c>
      <c r="J354" s="13" t="s">
        <v>1969</v>
      </c>
      <c r="K354" s="13" t="s">
        <v>888</v>
      </c>
      <c r="M354" s="13">
        <v>17</v>
      </c>
      <c r="N354" s="13">
        <v>0</v>
      </c>
      <c r="O354" s="15">
        <v>0</v>
      </c>
      <c r="P354" s="13"/>
      <c r="Q354" s="13">
        <v>64</v>
      </c>
      <c r="R354" s="13">
        <v>12</v>
      </c>
      <c r="S354" s="13"/>
      <c r="T354" s="13"/>
      <c r="U354" s="13"/>
      <c r="V354" s="14">
        <v>11</v>
      </c>
      <c r="W354" s="14">
        <f t="shared" si="31"/>
        <v>0.6470588235294118</v>
      </c>
      <c r="AC354" s="14">
        <v>14</v>
      </c>
      <c r="AD354" s="34">
        <f t="shared" si="33"/>
        <v>0.82352941176470584</v>
      </c>
      <c r="CW354" s="13" t="s">
        <v>309</v>
      </c>
      <c r="CX354" s="13" t="s">
        <v>310</v>
      </c>
      <c r="CY354" s="13">
        <v>2023</v>
      </c>
      <c r="CZ354" s="13" t="s">
        <v>53</v>
      </c>
      <c r="DA354" s="13" t="s">
        <v>311</v>
      </c>
      <c r="DB354" s="13">
        <v>78</v>
      </c>
      <c r="DC354" s="13"/>
      <c r="DD354" s="13" t="s">
        <v>2217</v>
      </c>
      <c r="DE354" s="13" t="s">
        <v>312</v>
      </c>
    </row>
    <row r="355" spans="1:109" ht="20">
      <c r="A355" s="13" t="s">
        <v>1711</v>
      </c>
      <c r="B355" s="13" t="s">
        <v>1711</v>
      </c>
      <c r="C355" s="13" t="s">
        <v>313</v>
      </c>
      <c r="D355" s="13" t="s">
        <v>3632</v>
      </c>
      <c r="E355" s="13" t="s">
        <v>672</v>
      </c>
      <c r="F355" s="13" t="s">
        <v>892</v>
      </c>
      <c r="H355" s="13" t="s">
        <v>887</v>
      </c>
      <c r="I355" s="14" t="s">
        <v>3633</v>
      </c>
      <c r="J355" s="13" t="s">
        <v>1969</v>
      </c>
      <c r="K355" s="13" t="s">
        <v>888</v>
      </c>
      <c r="M355" s="13">
        <v>17</v>
      </c>
      <c r="N355" s="13">
        <v>0</v>
      </c>
      <c r="O355" s="15">
        <v>0</v>
      </c>
      <c r="P355" s="13"/>
      <c r="Q355" s="13">
        <v>64</v>
      </c>
      <c r="R355" s="13">
        <v>12</v>
      </c>
      <c r="S355" s="13"/>
      <c r="T355" s="13"/>
      <c r="U355" s="13"/>
      <c r="V355" s="14">
        <v>11</v>
      </c>
      <c r="W355" s="14">
        <f t="shared" si="31"/>
        <v>0.6470588235294118</v>
      </c>
      <c r="AC355" s="14">
        <v>14</v>
      </c>
      <c r="AD355" s="34">
        <f t="shared" si="33"/>
        <v>0.82352941176470584</v>
      </c>
      <c r="CW355" s="13" t="s">
        <v>309</v>
      </c>
      <c r="CX355" s="13" t="s">
        <v>310</v>
      </c>
      <c r="CY355" s="13">
        <v>2023</v>
      </c>
      <c r="CZ355" s="13" t="s">
        <v>53</v>
      </c>
      <c r="DA355" s="13" t="s">
        <v>311</v>
      </c>
      <c r="DB355" s="13">
        <v>78</v>
      </c>
      <c r="DC355" s="13"/>
      <c r="DD355" s="13" t="s">
        <v>2217</v>
      </c>
      <c r="DE355" s="13" t="s">
        <v>312</v>
      </c>
    </row>
    <row r="356" spans="1:109" ht="20">
      <c r="A356" s="13" t="s">
        <v>1711</v>
      </c>
      <c r="B356" s="13" t="s">
        <v>1711</v>
      </c>
      <c r="C356" s="13" t="s">
        <v>313</v>
      </c>
      <c r="D356" s="13" t="s">
        <v>3632</v>
      </c>
      <c r="E356" s="13" t="s">
        <v>672</v>
      </c>
      <c r="F356" s="13" t="s">
        <v>892</v>
      </c>
      <c r="H356" s="13" t="s">
        <v>887</v>
      </c>
      <c r="I356" s="14" t="s">
        <v>3633</v>
      </c>
      <c r="J356" s="13" t="s">
        <v>1969</v>
      </c>
      <c r="K356" s="13" t="s">
        <v>888</v>
      </c>
      <c r="M356" s="13">
        <v>17</v>
      </c>
      <c r="N356" s="13">
        <v>0</v>
      </c>
      <c r="O356" s="15">
        <v>0</v>
      </c>
      <c r="P356" s="13"/>
      <c r="Q356" s="13">
        <v>64</v>
      </c>
      <c r="R356" s="13">
        <v>12</v>
      </c>
      <c r="S356" s="13"/>
      <c r="T356" s="13"/>
      <c r="U356" s="13"/>
      <c r="V356" s="14">
        <v>11</v>
      </c>
      <c r="W356" s="14">
        <f t="shared" si="31"/>
        <v>0.6470588235294118</v>
      </c>
      <c r="AC356" s="14">
        <v>14</v>
      </c>
      <c r="AD356" s="34">
        <f t="shared" si="33"/>
        <v>0.82352941176470584</v>
      </c>
      <c r="CW356" s="13" t="s">
        <v>309</v>
      </c>
      <c r="CX356" s="13" t="s">
        <v>310</v>
      </c>
      <c r="CY356" s="13">
        <v>2023</v>
      </c>
      <c r="CZ356" s="13" t="s">
        <v>53</v>
      </c>
      <c r="DA356" s="13" t="s">
        <v>311</v>
      </c>
      <c r="DB356" s="13">
        <v>78</v>
      </c>
      <c r="DC356" s="13"/>
      <c r="DD356" s="13" t="s">
        <v>2217</v>
      </c>
      <c r="DE356" s="13" t="s">
        <v>312</v>
      </c>
    </row>
    <row r="357" spans="1:109" ht="20">
      <c r="A357" s="13" t="s">
        <v>1711</v>
      </c>
      <c r="B357" s="13" t="s">
        <v>1711</v>
      </c>
      <c r="C357" s="13" t="s">
        <v>313</v>
      </c>
      <c r="D357" s="13" t="s">
        <v>3632</v>
      </c>
      <c r="E357" s="13" t="s">
        <v>672</v>
      </c>
      <c r="F357" s="13" t="s">
        <v>892</v>
      </c>
      <c r="H357" s="13" t="s">
        <v>887</v>
      </c>
      <c r="I357" s="14" t="s">
        <v>3633</v>
      </c>
      <c r="J357" s="13" t="s">
        <v>1969</v>
      </c>
      <c r="K357" s="13" t="s">
        <v>888</v>
      </c>
      <c r="M357" s="13">
        <v>17</v>
      </c>
      <c r="N357" s="13">
        <v>0</v>
      </c>
      <c r="O357" s="15">
        <v>0</v>
      </c>
      <c r="P357" s="13"/>
      <c r="Q357" s="13">
        <v>64</v>
      </c>
      <c r="R357" s="13">
        <v>12</v>
      </c>
      <c r="S357" s="13"/>
      <c r="T357" s="13"/>
      <c r="U357" s="13"/>
      <c r="V357" s="14">
        <v>11</v>
      </c>
      <c r="W357" s="14">
        <f t="shared" si="31"/>
        <v>0.6470588235294118</v>
      </c>
      <c r="AC357" s="14">
        <v>14</v>
      </c>
      <c r="AD357" s="34">
        <f t="shared" si="33"/>
        <v>0.82352941176470584</v>
      </c>
      <c r="CW357" s="13" t="s">
        <v>309</v>
      </c>
      <c r="CX357" s="13" t="s">
        <v>310</v>
      </c>
      <c r="CY357" s="13">
        <v>2023</v>
      </c>
      <c r="CZ357" s="13" t="s">
        <v>53</v>
      </c>
      <c r="DA357" s="13" t="s">
        <v>311</v>
      </c>
      <c r="DB357" s="13">
        <v>78</v>
      </c>
      <c r="DC357" s="13"/>
      <c r="DD357" s="13" t="s">
        <v>2217</v>
      </c>
      <c r="DE357" s="13" t="s">
        <v>312</v>
      </c>
    </row>
    <row r="358" spans="1:109" ht="20">
      <c r="A358" s="13" t="s">
        <v>1711</v>
      </c>
      <c r="B358" s="13" t="s">
        <v>1711</v>
      </c>
      <c r="C358" s="13" t="s">
        <v>313</v>
      </c>
      <c r="D358" s="13" t="s">
        <v>3632</v>
      </c>
      <c r="E358" s="13" t="s">
        <v>674</v>
      </c>
      <c r="F358" s="13" t="s">
        <v>893</v>
      </c>
      <c r="H358" s="13" t="s">
        <v>887</v>
      </c>
      <c r="I358" s="14" t="s">
        <v>3633</v>
      </c>
      <c r="J358" s="13" t="s">
        <v>1969</v>
      </c>
      <c r="K358" s="13" t="s">
        <v>888</v>
      </c>
      <c r="M358" s="13">
        <v>17</v>
      </c>
      <c r="N358" s="13">
        <v>0</v>
      </c>
      <c r="O358" s="15">
        <v>0</v>
      </c>
      <c r="P358" s="13"/>
      <c r="Q358" s="13">
        <v>64</v>
      </c>
      <c r="R358" s="13">
        <v>12</v>
      </c>
      <c r="S358" s="13"/>
      <c r="T358" s="13"/>
      <c r="U358" s="13"/>
      <c r="V358" s="14">
        <v>11</v>
      </c>
      <c r="W358" s="14">
        <f t="shared" si="31"/>
        <v>0.6470588235294118</v>
      </c>
      <c r="AC358" s="14">
        <v>14</v>
      </c>
      <c r="AD358" s="34">
        <f t="shared" si="33"/>
        <v>0.82352941176470584</v>
      </c>
      <c r="CW358" s="13" t="s">
        <v>309</v>
      </c>
      <c r="CX358" s="13" t="s">
        <v>310</v>
      </c>
      <c r="CY358" s="13">
        <v>2023</v>
      </c>
      <c r="CZ358" s="13" t="s">
        <v>53</v>
      </c>
      <c r="DA358" s="13" t="s">
        <v>311</v>
      </c>
      <c r="DB358" s="13">
        <v>78</v>
      </c>
      <c r="DC358" s="13"/>
      <c r="DD358" s="13" t="s">
        <v>2217</v>
      </c>
      <c r="DE358" s="13" t="s">
        <v>312</v>
      </c>
    </row>
    <row r="359" spans="1:109">
      <c r="A359" s="14" t="s">
        <v>1849</v>
      </c>
      <c r="C359" s="14" t="s">
        <v>1331</v>
      </c>
      <c r="D359" s="14" t="s">
        <v>4179</v>
      </c>
      <c r="E359" s="14" t="s">
        <v>674</v>
      </c>
      <c r="F359" s="29" t="s">
        <v>2337</v>
      </c>
      <c r="CW359" s="14" t="s">
        <v>1327</v>
      </c>
      <c r="CX359" s="14" t="s">
        <v>1328</v>
      </c>
      <c r="CY359" s="14">
        <v>2019</v>
      </c>
      <c r="CZ359" s="36" t="s">
        <v>330</v>
      </c>
      <c r="DA359" s="14" t="s">
        <v>64</v>
      </c>
      <c r="DB359" s="14">
        <v>20</v>
      </c>
      <c r="DC359" s="14">
        <v>45355</v>
      </c>
      <c r="DD359" s="14" t="s">
        <v>1329</v>
      </c>
      <c r="DE359" s="14" t="s">
        <v>1330</v>
      </c>
    </row>
    <row r="360" spans="1:109">
      <c r="A360" s="14" t="s">
        <v>1850</v>
      </c>
      <c r="B360" s="14" t="s">
        <v>1712</v>
      </c>
      <c r="C360" s="14" t="s">
        <v>318</v>
      </c>
      <c r="D360" s="14" t="s">
        <v>827</v>
      </c>
      <c r="E360" s="14" t="s">
        <v>672</v>
      </c>
      <c r="F360" s="14" t="s">
        <v>823</v>
      </c>
      <c r="H360" s="14" t="s">
        <v>637</v>
      </c>
      <c r="I360" s="14" t="s">
        <v>4056</v>
      </c>
      <c r="J360" s="14" t="s">
        <v>585</v>
      </c>
      <c r="K360" s="14" t="s">
        <v>895</v>
      </c>
      <c r="L360" s="14" t="s">
        <v>708</v>
      </c>
      <c r="M360" s="14">
        <v>123</v>
      </c>
      <c r="Q360" s="14">
        <v>66.06</v>
      </c>
      <c r="V360" s="14">
        <v>78</v>
      </c>
      <c r="W360" s="14">
        <f t="shared" ref="W360:W372" si="34">V360/M360</f>
        <v>0.63414634146341464</v>
      </c>
      <c r="X360" s="14">
        <v>39.770000000000003</v>
      </c>
      <c r="Y360" s="14">
        <v>0.43</v>
      </c>
      <c r="AC360" s="14">
        <v>87</v>
      </c>
      <c r="AD360" s="34">
        <f t="shared" ref="AD360:AD366" si="35">AC360/M360</f>
        <v>0.70731707317073167</v>
      </c>
      <c r="AE360" s="35">
        <f t="shared" ref="AE360:AE365" si="36">3.29*12</f>
        <v>39.480000000000004</v>
      </c>
      <c r="AF360" s="35">
        <f t="shared" ref="AF360:AF365" si="37">2.03*12</f>
        <v>24.36</v>
      </c>
      <c r="AO360" s="35">
        <v>27.8</v>
      </c>
      <c r="AP360" s="35">
        <v>32.299999999999997</v>
      </c>
      <c r="AU360" s="14" t="s">
        <v>2447</v>
      </c>
      <c r="AV360" s="14" t="s">
        <v>2490</v>
      </c>
      <c r="AX360" s="14">
        <f>EXP(-0.0003)</f>
        <v>0.99970004499550036</v>
      </c>
      <c r="AY360" s="14">
        <f>EXP(-0.001)</f>
        <v>0.99900049983337502</v>
      </c>
      <c r="AZ360" s="14">
        <f>EXP(0.0005)</f>
        <v>1.0005001250208359</v>
      </c>
      <c r="BN360" s="14" t="s">
        <v>2231</v>
      </c>
      <c r="CC360" s="14">
        <v>0.3</v>
      </c>
      <c r="CE360" s="14">
        <v>0.12</v>
      </c>
      <c r="CF360" s="14">
        <v>0.46</v>
      </c>
      <c r="CG360" s="14">
        <v>1E-3</v>
      </c>
      <c r="CJ360" s="14" t="s">
        <v>2604</v>
      </c>
      <c r="CK360" s="14">
        <v>-0.19</v>
      </c>
      <c r="CL360" s="14">
        <v>-0.61</v>
      </c>
      <c r="CM360" s="14">
        <v>0.32</v>
      </c>
      <c r="CN360" s="14">
        <v>0.44</v>
      </c>
      <c r="CW360" s="14" t="s">
        <v>314</v>
      </c>
      <c r="CX360" s="14" t="s">
        <v>315</v>
      </c>
      <c r="CY360" s="14">
        <v>2020</v>
      </c>
      <c r="CZ360" s="36">
        <v>45403</v>
      </c>
      <c r="DA360" s="14" t="s">
        <v>316</v>
      </c>
      <c r="DB360" s="14">
        <v>21</v>
      </c>
      <c r="DC360" s="14">
        <v>8</v>
      </c>
      <c r="DE360" s="14" t="s">
        <v>317</v>
      </c>
    </row>
    <row r="361" spans="1:109">
      <c r="A361" s="14" t="s">
        <v>1850</v>
      </c>
      <c r="B361" s="14" t="s">
        <v>1712</v>
      </c>
      <c r="C361" s="14" t="s">
        <v>318</v>
      </c>
      <c r="D361" s="14" t="s">
        <v>827</v>
      </c>
      <c r="E361" s="14" t="s">
        <v>672</v>
      </c>
      <c r="F361" s="29" t="s">
        <v>4141</v>
      </c>
      <c r="H361" s="14" t="s">
        <v>637</v>
      </c>
      <c r="I361" s="14" t="s">
        <v>3083</v>
      </c>
      <c r="J361" s="14" t="s">
        <v>585</v>
      </c>
      <c r="K361" s="14" t="s">
        <v>895</v>
      </c>
      <c r="L361" s="14" t="s">
        <v>708</v>
      </c>
      <c r="M361" s="14">
        <v>123</v>
      </c>
      <c r="Q361" s="14">
        <v>66.06</v>
      </c>
      <c r="V361" s="14">
        <v>78</v>
      </c>
      <c r="W361" s="14">
        <f t="shared" si="34"/>
        <v>0.63414634146341464</v>
      </c>
      <c r="X361" s="14">
        <v>39.770000000000003</v>
      </c>
      <c r="Y361" s="14">
        <v>0.43</v>
      </c>
      <c r="AC361" s="14">
        <v>87</v>
      </c>
      <c r="AD361" s="34">
        <f t="shared" si="35"/>
        <v>0.70731707317073167</v>
      </c>
      <c r="AE361" s="35">
        <f t="shared" si="36"/>
        <v>39.480000000000004</v>
      </c>
      <c r="AF361" s="35">
        <f t="shared" si="37"/>
        <v>24.36</v>
      </c>
      <c r="AO361" s="35">
        <v>27.8</v>
      </c>
      <c r="AP361" s="35">
        <v>32.299999999999997</v>
      </c>
      <c r="AU361" s="14" t="s">
        <v>2447</v>
      </c>
      <c r="AV361" s="14" t="s">
        <v>2490</v>
      </c>
      <c r="AX361" s="14">
        <f>EXP(-0.005)</f>
        <v>0.99501247919268232</v>
      </c>
      <c r="AY361" s="14">
        <f>EXP(-0.02)</f>
        <v>0.98019867330675525</v>
      </c>
      <c r="AZ361" s="14">
        <f>EXP(0.007)</f>
        <v>1.0070245572668486</v>
      </c>
      <c r="BN361" s="14" t="s">
        <v>2231</v>
      </c>
      <c r="CC361" s="14">
        <v>0.05</v>
      </c>
      <c r="CE361" s="14">
        <v>-0.14000000000000001</v>
      </c>
      <c r="CF361" s="14">
        <v>0.23</v>
      </c>
      <c r="CG361" s="14">
        <v>0.59</v>
      </c>
      <c r="CJ361" s="14" t="s">
        <v>2604</v>
      </c>
      <c r="CK361" s="14">
        <v>-0.46</v>
      </c>
      <c r="CL361" s="14">
        <v>-0.77</v>
      </c>
      <c r="CM361" s="14">
        <v>0.03</v>
      </c>
      <c r="CN361" s="14">
        <v>0.06</v>
      </c>
      <c r="CW361" s="14" t="s">
        <v>314</v>
      </c>
      <c r="CX361" s="14" t="s">
        <v>315</v>
      </c>
      <c r="CY361" s="14">
        <v>2020</v>
      </c>
      <c r="CZ361" s="36">
        <v>45403</v>
      </c>
      <c r="DA361" s="14" t="s">
        <v>316</v>
      </c>
      <c r="DB361" s="14">
        <v>21</v>
      </c>
      <c r="DC361" s="14">
        <v>8</v>
      </c>
      <c r="DE361" s="14" t="s">
        <v>317</v>
      </c>
    </row>
    <row r="362" spans="1:109">
      <c r="A362" s="14" t="s">
        <v>1850</v>
      </c>
      <c r="B362" s="14" t="s">
        <v>1712</v>
      </c>
      <c r="C362" s="14" t="s">
        <v>318</v>
      </c>
      <c r="D362" s="14" t="s">
        <v>827</v>
      </c>
      <c r="E362" s="14" t="s">
        <v>672</v>
      </c>
      <c r="F362" s="14" t="s">
        <v>676</v>
      </c>
      <c r="H362" s="14" t="s">
        <v>637</v>
      </c>
      <c r="I362" s="14" t="s">
        <v>3083</v>
      </c>
      <c r="J362" s="14" t="s">
        <v>585</v>
      </c>
      <c r="K362" s="14" t="s">
        <v>895</v>
      </c>
      <c r="L362" s="14" t="s">
        <v>708</v>
      </c>
      <c r="M362" s="14">
        <v>123</v>
      </c>
      <c r="Q362" s="14">
        <v>66.06</v>
      </c>
      <c r="V362" s="14">
        <v>78</v>
      </c>
      <c r="W362" s="14">
        <f t="shared" si="34"/>
        <v>0.63414634146341464</v>
      </c>
      <c r="X362" s="14">
        <v>39.770000000000003</v>
      </c>
      <c r="Y362" s="14">
        <v>0.43</v>
      </c>
      <c r="AC362" s="14">
        <v>87</v>
      </c>
      <c r="AD362" s="34">
        <f t="shared" si="35"/>
        <v>0.70731707317073167</v>
      </c>
      <c r="AE362" s="35">
        <f t="shared" si="36"/>
        <v>39.480000000000004</v>
      </c>
      <c r="AF362" s="35">
        <f t="shared" si="37"/>
        <v>24.36</v>
      </c>
      <c r="AO362" s="35">
        <v>27.8</v>
      </c>
      <c r="AP362" s="35">
        <v>32.299999999999997</v>
      </c>
      <c r="AU362" s="14" t="s">
        <v>2447</v>
      </c>
      <c r="AV362" s="14" t="s">
        <v>2490</v>
      </c>
      <c r="AX362" s="14">
        <f>EXP(-0.0002)</f>
        <v>0.99980001999866674</v>
      </c>
      <c r="AY362" s="14">
        <f>EXP(-0.002)</f>
        <v>0.99800199866733308</v>
      </c>
      <c r="AZ362" s="14">
        <f>EXP(0.001)</f>
        <v>1.0010005001667084</v>
      </c>
      <c r="BN362" s="14" t="s">
        <v>2231</v>
      </c>
      <c r="CC362" s="14">
        <v>-0.15</v>
      </c>
      <c r="CE362" s="14">
        <v>-0.33</v>
      </c>
      <c r="CF362" s="14">
        <v>0.03</v>
      </c>
      <c r="CG362" s="14">
        <v>0.09</v>
      </c>
      <c r="CJ362" s="14" t="s">
        <v>2604</v>
      </c>
      <c r="CK362" s="14">
        <v>-0.54</v>
      </c>
      <c r="CL362" s="14">
        <v>-0.82</v>
      </c>
      <c r="CM362" s="14">
        <v>-7.0000000000000007E-2</v>
      </c>
      <c r="CN362" s="14">
        <v>0.02</v>
      </c>
      <c r="CW362" s="14" t="s">
        <v>314</v>
      </c>
      <c r="CX362" s="14" t="s">
        <v>315</v>
      </c>
      <c r="CY362" s="14">
        <v>2020</v>
      </c>
      <c r="CZ362" s="36">
        <v>45403</v>
      </c>
      <c r="DA362" s="14" t="s">
        <v>316</v>
      </c>
      <c r="DB362" s="14">
        <v>21</v>
      </c>
      <c r="DC362" s="14">
        <v>8</v>
      </c>
      <c r="DE362" s="14" t="s">
        <v>317</v>
      </c>
    </row>
    <row r="363" spans="1:109">
      <c r="A363" s="14" t="s">
        <v>1850</v>
      </c>
      <c r="B363" s="14" t="s">
        <v>1712</v>
      </c>
      <c r="C363" s="14" t="s">
        <v>318</v>
      </c>
      <c r="D363" s="14" t="s">
        <v>827</v>
      </c>
      <c r="E363" s="14" t="s">
        <v>672</v>
      </c>
      <c r="F363" s="14" t="s">
        <v>3196</v>
      </c>
      <c r="H363" s="14" t="s">
        <v>637</v>
      </c>
      <c r="I363" s="14" t="s">
        <v>3083</v>
      </c>
      <c r="J363" s="14" t="s">
        <v>585</v>
      </c>
      <c r="K363" s="14" t="s">
        <v>895</v>
      </c>
      <c r="L363" s="14" t="s">
        <v>708</v>
      </c>
      <c r="M363" s="14">
        <v>123</v>
      </c>
      <c r="Q363" s="14">
        <v>66.06</v>
      </c>
      <c r="V363" s="14">
        <v>78</v>
      </c>
      <c r="W363" s="14">
        <f t="shared" si="34"/>
        <v>0.63414634146341464</v>
      </c>
      <c r="X363" s="14">
        <v>39.770000000000003</v>
      </c>
      <c r="Y363" s="14">
        <v>0.43</v>
      </c>
      <c r="AC363" s="14">
        <v>87</v>
      </c>
      <c r="AD363" s="34">
        <f t="shared" si="35"/>
        <v>0.70731707317073167</v>
      </c>
      <c r="AE363" s="35">
        <f t="shared" si="36"/>
        <v>39.480000000000004</v>
      </c>
      <c r="AF363" s="35">
        <f t="shared" si="37"/>
        <v>24.36</v>
      </c>
      <c r="AO363" s="35">
        <v>27.8</v>
      </c>
      <c r="AP363" s="35">
        <v>32.299999999999997</v>
      </c>
      <c r="AU363" s="14" t="s">
        <v>2447</v>
      </c>
      <c r="AV363" s="14" t="s">
        <v>2490</v>
      </c>
      <c r="AX363" s="14">
        <f>EXP(-0.09)</f>
        <v>0.91393118527122819</v>
      </c>
      <c r="AY363" s="14">
        <f>EXP(-0.45)</f>
        <v>0.63762815162177333</v>
      </c>
      <c r="AZ363" s="14">
        <f>EXP(0.29)</f>
        <v>1.3364274880254721</v>
      </c>
      <c r="BN363" s="14" t="s">
        <v>2231</v>
      </c>
      <c r="CC363" s="14">
        <v>0.32</v>
      </c>
      <c r="CE363" s="14">
        <v>0.14000000000000001</v>
      </c>
      <c r="CF363" s="14">
        <v>0.47</v>
      </c>
      <c r="CG363" s="14">
        <v>4.0000000000000002E-4</v>
      </c>
      <c r="CJ363" s="14" t="s">
        <v>2604</v>
      </c>
      <c r="CK363" s="14">
        <v>0.2</v>
      </c>
      <c r="CL363" s="14">
        <v>-0.31</v>
      </c>
      <c r="CM363" s="14">
        <v>0.62</v>
      </c>
      <c r="CN363" s="14">
        <v>0.43</v>
      </c>
      <c r="CW363" s="14" t="s">
        <v>314</v>
      </c>
      <c r="CX363" s="14" t="s">
        <v>315</v>
      </c>
      <c r="CY363" s="14">
        <v>2020</v>
      </c>
      <c r="CZ363" s="36">
        <v>45403</v>
      </c>
      <c r="DA363" s="14" t="s">
        <v>316</v>
      </c>
      <c r="DB363" s="14">
        <v>21</v>
      </c>
      <c r="DC363" s="14">
        <v>8</v>
      </c>
      <c r="DE363" s="14" t="s">
        <v>317</v>
      </c>
    </row>
    <row r="364" spans="1:109">
      <c r="A364" s="14" t="s">
        <v>1850</v>
      </c>
      <c r="B364" s="14" t="s">
        <v>1712</v>
      </c>
      <c r="C364" s="14" t="s">
        <v>318</v>
      </c>
      <c r="D364" s="14" t="s">
        <v>827</v>
      </c>
      <c r="E364" s="14" t="s">
        <v>672</v>
      </c>
      <c r="F364" s="29" t="s">
        <v>4142</v>
      </c>
      <c r="H364" s="14" t="s">
        <v>637</v>
      </c>
      <c r="I364" s="14" t="s">
        <v>3083</v>
      </c>
      <c r="J364" s="14" t="s">
        <v>585</v>
      </c>
      <c r="K364" s="14" t="s">
        <v>895</v>
      </c>
      <c r="L364" s="14" t="s">
        <v>708</v>
      </c>
      <c r="M364" s="14">
        <v>123</v>
      </c>
      <c r="Q364" s="14">
        <v>66.06</v>
      </c>
      <c r="V364" s="14">
        <v>78</v>
      </c>
      <c r="W364" s="14">
        <f t="shared" si="34"/>
        <v>0.63414634146341464</v>
      </c>
      <c r="X364" s="14">
        <v>39.770000000000003</v>
      </c>
      <c r="Y364" s="14">
        <v>0.43</v>
      </c>
      <c r="AC364" s="14">
        <v>87</v>
      </c>
      <c r="AD364" s="34">
        <f t="shared" si="35"/>
        <v>0.70731707317073167</v>
      </c>
      <c r="AE364" s="35">
        <f t="shared" si="36"/>
        <v>39.480000000000004</v>
      </c>
      <c r="AF364" s="35">
        <f t="shared" si="37"/>
        <v>24.36</v>
      </c>
      <c r="AO364" s="35">
        <v>27.8</v>
      </c>
      <c r="AP364" s="35">
        <v>32.299999999999997</v>
      </c>
      <c r="AU364" s="14" t="s">
        <v>2447</v>
      </c>
      <c r="AV364" s="14" t="s">
        <v>2490</v>
      </c>
      <c r="AX364" s="14">
        <f>EXP(0.005)</f>
        <v>1.005012520859401</v>
      </c>
      <c r="AY364" s="14">
        <f>EXP(-0.02)</f>
        <v>0.98019867330675525</v>
      </c>
      <c r="AZ364" s="14">
        <f>EXP(0.03)</f>
        <v>1.0304545339535169</v>
      </c>
      <c r="BN364" s="14" t="s">
        <v>2231</v>
      </c>
      <c r="CC364" s="14">
        <v>0.09</v>
      </c>
      <c r="CE364" s="14">
        <v>-0.09</v>
      </c>
      <c r="CF364" s="14">
        <v>0.28000000000000003</v>
      </c>
      <c r="CG364" s="14">
        <v>0.28999999999999998</v>
      </c>
      <c r="CJ364" s="14" t="s">
        <v>2604</v>
      </c>
      <c r="CK364" s="14">
        <v>0.28000000000000003</v>
      </c>
      <c r="CL364" s="14">
        <v>-0.23</v>
      </c>
      <c r="CM364" s="14">
        <v>0.67</v>
      </c>
      <c r="CN364" s="14">
        <v>0.27</v>
      </c>
      <c r="CW364" s="14" t="s">
        <v>314</v>
      </c>
      <c r="CX364" s="14" t="s">
        <v>315</v>
      </c>
      <c r="CY364" s="14">
        <v>2020</v>
      </c>
      <c r="CZ364" s="36">
        <v>45403</v>
      </c>
      <c r="DA364" s="14" t="s">
        <v>316</v>
      </c>
      <c r="DB364" s="14">
        <v>21</v>
      </c>
      <c r="DC364" s="14">
        <v>8</v>
      </c>
      <c r="DE364" s="14" t="s">
        <v>317</v>
      </c>
    </row>
    <row r="365" spans="1:109">
      <c r="A365" s="14" t="s">
        <v>1850</v>
      </c>
      <c r="B365" s="14" t="s">
        <v>1712</v>
      </c>
      <c r="C365" s="14" t="s">
        <v>318</v>
      </c>
      <c r="D365" s="14" t="s">
        <v>827</v>
      </c>
      <c r="E365" s="14" t="s">
        <v>672</v>
      </c>
      <c r="F365" s="14" t="s">
        <v>678</v>
      </c>
      <c r="H365" s="14" t="s">
        <v>637</v>
      </c>
      <c r="I365" s="14" t="s">
        <v>3083</v>
      </c>
      <c r="J365" s="14" t="s">
        <v>585</v>
      </c>
      <c r="K365" s="14" t="s">
        <v>895</v>
      </c>
      <c r="L365" s="14" t="s">
        <v>708</v>
      </c>
      <c r="M365" s="14">
        <v>123</v>
      </c>
      <c r="Q365" s="14">
        <v>66.06</v>
      </c>
      <c r="V365" s="14">
        <v>78</v>
      </c>
      <c r="W365" s="14">
        <f t="shared" si="34"/>
        <v>0.63414634146341464</v>
      </c>
      <c r="X365" s="14">
        <v>39.770000000000003</v>
      </c>
      <c r="Y365" s="14">
        <v>0.43</v>
      </c>
      <c r="AC365" s="14">
        <v>87</v>
      </c>
      <c r="AD365" s="34">
        <f t="shared" si="35"/>
        <v>0.70731707317073167</v>
      </c>
      <c r="AE365" s="35">
        <f t="shared" si="36"/>
        <v>39.480000000000004</v>
      </c>
      <c r="AF365" s="35">
        <f t="shared" si="37"/>
        <v>24.36</v>
      </c>
      <c r="AO365" s="35">
        <v>27.8</v>
      </c>
      <c r="AP365" s="35">
        <v>32.299999999999997</v>
      </c>
      <c r="AU365" s="14" t="s">
        <v>2447</v>
      </c>
      <c r="AV365" s="14" t="s">
        <v>2490</v>
      </c>
      <c r="AX365" s="14">
        <f>EXP(-4.08)</f>
        <v>1.6907465652705279E-2</v>
      </c>
      <c r="AY365" s="14">
        <f>EXP(-12.21)</f>
        <v>4.9804017375032515E-6</v>
      </c>
      <c r="AZ365" s="14">
        <f>EXP(3.81)</f>
        <v>45.150438866318723</v>
      </c>
      <c r="BN365" s="14" t="s">
        <v>2231</v>
      </c>
      <c r="CC365" s="14">
        <v>0.26</v>
      </c>
      <c r="CE365" s="14">
        <v>0.08</v>
      </c>
      <c r="CF365" s="14">
        <v>0.43</v>
      </c>
      <c r="CG365" s="14">
        <v>4.0000000000000001E-3</v>
      </c>
      <c r="CJ365" s="14" t="s">
        <v>2604</v>
      </c>
      <c r="CK365" s="14">
        <v>0.44</v>
      </c>
      <c r="CL365" s="14">
        <v>-0.05</v>
      </c>
      <c r="CM365" s="14">
        <v>0.76</v>
      </c>
      <c r="CN365" s="14">
        <v>7.0000000000000007E-2</v>
      </c>
      <c r="CW365" s="14" t="s">
        <v>314</v>
      </c>
      <c r="CX365" s="14" t="s">
        <v>315</v>
      </c>
      <c r="CY365" s="14">
        <v>2020</v>
      </c>
      <c r="CZ365" s="36">
        <v>45403</v>
      </c>
      <c r="DA365" s="14" t="s">
        <v>316</v>
      </c>
      <c r="DB365" s="14">
        <v>21</v>
      </c>
      <c r="DC365" s="14">
        <v>8</v>
      </c>
      <c r="DE365" s="14" t="s">
        <v>317</v>
      </c>
    </row>
    <row r="366" spans="1:109">
      <c r="A366" s="14" t="s">
        <v>2036</v>
      </c>
      <c r="C366" s="14" t="s">
        <v>2077</v>
      </c>
      <c r="D366" s="14" t="s">
        <v>827</v>
      </c>
      <c r="E366" s="14" t="s">
        <v>674</v>
      </c>
      <c r="F366" s="14" t="s">
        <v>2584</v>
      </c>
      <c r="H366" s="14" t="s">
        <v>629</v>
      </c>
      <c r="I366" s="14" t="s">
        <v>4051</v>
      </c>
      <c r="J366" s="14" t="s">
        <v>2586</v>
      </c>
      <c r="K366" s="14" t="s">
        <v>2585</v>
      </c>
      <c r="L366" s="14" t="s">
        <v>2335</v>
      </c>
      <c r="M366" s="14">
        <v>50</v>
      </c>
      <c r="N366" s="14">
        <v>7</v>
      </c>
      <c r="P366" s="14">
        <v>6</v>
      </c>
      <c r="Q366" s="14">
        <v>60.6</v>
      </c>
      <c r="R366" s="14">
        <v>7.7</v>
      </c>
      <c r="V366" s="14">
        <v>31</v>
      </c>
      <c r="W366" s="14">
        <f t="shared" si="34"/>
        <v>0.62</v>
      </c>
      <c r="X366" s="14">
        <v>35.5</v>
      </c>
      <c r="Y366" s="14">
        <v>6.11</v>
      </c>
      <c r="AC366" s="14">
        <v>31</v>
      </c>
      <c r="AD366" s="34">
        <f t="shared" si="35"/>
        <v>0.62</v>
      </c>
      <c r="AG366" s="35">
        <v>20</v>
      </c>
      <c r="BN366" s="14" t="s">
        <v>2231</v>
      </c>
      <c r="CC366" s="14">
        <v>0.22839999999999999</v>
      </c>
      <c r="CG366" s="14">
        <v>0.1106</v>
      </c>
      <c r="CW366" s="14" t="s">
        <v>2074</v>
      </c>
      <c r="CX366" s="14" t="s">
        <v>2075</v>
      </c>
      <c r="CY366" s="14">
        <v>2020</v>
      </c>
      <c r="CZ366" s="36">
        <v>45337</v>
      </c>
      <c r="DA366" s="14" t="s">
        <v>1132</v>
      </c>
      <c r="DB366" s="14">
        <v>409</v>
      </c>
      <c r="DD366" s="14" t="s">
        <v>2180</v>
      </c>
      <c r="DE366" s="14" t="s">
        <v>2076</v>
      </c>
    </row>
    <row r="367" spans="1:109" ht="20">
      <c r="A367" s="13" t="s">
        <v>1765</v>
      </c>
      <c r="B367" s="13" t="s">
        <v>1765</v>
      </c>
      <c r="C367" s="13" t="s">
        <v>323</v>
      </c>
      <c r="D367" s="13" t="s">
        <v>898</v>
      </c>
      <c r="E367" s="13" t="s">
        <v>674</v>
      </c>
      <c r="F367" s="13" t="s">
        <v>684</v>
      </c>
      <c r="H367" s="13" t="s">
        <v>584</v>
      </c>
      <c r="I367" s="13" t="s">
        <v>3649</v>
      </c>
      <c r="J367" s="13" t="s">
        <v>1972</v>
      </c>
      <c r="K367" s="13" t="s">
        <v>1071</v>
      </c>
      <c r="M367" s="13">
        <v>40</v>
      </c>
      <c r="N367" s="13"/>
      <c r="O367" s="15"/>
      <c r="P367" s="13"/>
      <c r="Q367" s="13">
        <v>62</v>
      </c>
      <c r="R367" s="13">
        <v>9.1</v>
      </c>
      <c r="S367" s="13"/>
      <c r="T367" s="13"/>
      <c r="U367" s="13"/>
      <c r="V367" s="14">
        <v>23</v>
      </c>
      <c r="W367" s="14">
        <f t="shared" si="34"/>
        <v>0.57499999999999996</v>
      </c>
      <c r="X367" s="14">
        <v>38</v>
      </c>
      <c r="Y367" s="14">
        <v>5.0999999999999996</v>
      </c>
      <c r="AE367" s="35">
        <v>12</v>
      </c>
      <c r="AF367" s="35">
        <f>12*0.37</f>
        <v>4.4399999999999995</v>
      </c>
      <c r="CW367" s="13" t="s">
        <v>319</v>
      </c>
      <c r="CX367" s="13" t="s">
        <v>320</v>
      </c>
      <c r="CY367" s="13">
        <v>2023</v>
      </c>
      <c r="CZ367" s="13" t="s">
        <v>188</v>
      </c>
      <c r="DA367" s="13" t="s">
        <v>300</v>
      </c>
      <c r="DB367" s="13">
        <v>67</v>
      </c>
      <c r="DC367" s="13">
        <v>4</v>
      </c>
      <c r="DD367" s="13" t="s">
        <v>321</v>
      </c>
      <c r="DE367" s="13" t="s">
        <v>322</v>
      </c>
    </row>
    <row r="368" spans="1:109">
      <c r="A368" s="14" t="s">
        <v>1851</v>
      </c>
      <c r="C368" s="14" t="s">
        <v>1335</v>
      </c>
      <c r="D368" s="14" t="s">
        <v>2371</v>
      </c>
      <c r="E368" s="14" t="s">
        <v>4121</v>
      </c>
      <c r="F368" s="14" t="s">
        <v>2595</v>
      </c>
      <c r="H368" s="14" t="s">
        <v>4110</v>
      </c>
      <c r="I368" s="14" t="s">
        <v>3137</v>
      </c>
      <c r="J368" s="14" t="s">
        <v>4115</v>
      </c>
      <c r="K368" s="14" t="s">
        <v>2591</v>
      </c>
      <c r="M368" s="14">
        <v>146</v>
      </c>
      <c r="Q368" s="14">
        <v>61.84</v>
      </c>
      <c r="R368" s="14">
        <v>10.85</v>
      </c>
      <c r="V368" s="14">
        <v>88</v>
      </c>
      <c r="W368" s="14">
        <f t="shared" si="34"/>
        <v>0.60273972602739723</v>
      </c>
      <c r="X368" s="14">
        <v>35.799999999999997</v>
      </c>
      <c r="Y368" s="14">
        <v>8</v>
      </c>
      <c r="AD368" s="34">
        <v>0.77400000000000002</v>
      </c>
      <c r="AG368" s="35">
        <v>15</v>
      </c>
      <c r="AU368" s="14" t="s">
        <v>2449</v>
      </c>
      <c r="AX368" s="14">
        <v>1.32</v>
      </c>
      <c r="AY368" s="39">
        <v>1.1599999999999999</v>
      </c>
      <c r="AZ368" s="14">
        <v>1.5</v>
      </c>
      <c r="BA368" s="29" t="s">
        <v>4107</v>
      </c>
      <c r="BB368" s="14">
        <v>3.13</v>
      </c>
      <c r="BC368" s="14">
        <v>1.74</v>
      </c>
      <c r="BD368" s="14">
        <v>5.63</v>
      </c>
      <c r="BE368" s="29" t="s">
        <v>2592</v>
      </c>
      <c r="BG368" s="14">
        <v>1.24</v>
      </c>
      <c r="BH368" s="14">
        <v>1.08</v>
      </c>
      <c r="BI368" s="14">
        <v>1.41</v>
      </c>
      <c r="BJ368" s="29" t="s">
        <v>4107</v>
      </c>
      <c r="BK368" s="14">
        <v>2.37</v>
      </c>
      <c r="BL368" s="14">
        <v>1.29</v>
      </c>
      <c r="BM368" s="14">
        <v>4.3499999999999996</v>
      </c>
      <c r="BN368" s="14" t="s">
        <v>2552</v>
      </c>
      <c r="BO368" s="14" t="s">
        <v>2380</v>
      </c>
      <c r="BP368" s="14" t="s">
        <v>2380</v>
      </c>
      <c r="BQ368" s="14">
        <v>0.28000000000000003</v>
      </c>
      <c r="BU368" s="14" t="s">
        <v>2050</v>
      </c>
      <c r="CW368" s="14" t="s">
        <v>1332</v>
      </c>
      <c r="CX368" s="14" t="s">
        <v>1333</v>
      </c>
      <c r="CY368" s="14">
        <v>2022</v>
      </c>
      <c r="CZ368" s="36">
        <v>45323</v>
      </c>
      <c r="DA368" s="14" t="s">
        <v>411</v>
      </c>
      <c r="DB368" s="14">
        <v>10</v>
      </c>
      <c r="DC368" s="14">
        <v>2</v>
      </c>
      <c r="DE368" s="14" t="s">
        <v>1334</v>
      </c>
    </row>
    <row r="369" spans="1:109" ht="20">
      <c r="A369" s="13" t="s">
        <v>1713</v>
      </c>
      <c r="B369" s="13" t="s">
        <v>1713</v>
      </c>
      <c r="C369" s="13" t="s">
        <v>327</v>
      </c>
      <c r="D369" s="13" t="s">
        <v>831</v>
      </c>
      <c r="E369" s="13" t="s">
        <v>674</v>
      </c>
      <c r="F369" s="13" t="s">
        <v>897</v>
      </c>
      <c r="H369" s="13" t="s">
        <v>3634</v>
      </c>
      <c r="I369" s="14" t="s">
        <v>3635</v>
      </c>
      <c r="J369" s="13" t="s">
        <v>1970</v>
      </c>
      <c r="K369" s="13"/>
      <c r="M369" s="13">
        <v>82</v>
      </c>
      <c r="N369" s="13"/>
      <c r="O369" s="15"/>
      <c r="P369" s="13"/>
      <c r="Q369" s="13"/>
      <c r="R369" s="13"/>
      <c r="S369" s="13"/>
      <c r="T369" s="13"/>
      <c r="U369" s="13"/>
      <c r="V369" s="14">
        <v>46</v>
      </c>
      <c r="W369" s="14">
        <f t="shared" si="34"/>
        <v>0.56097560975609762</v>
      </c>
      <c r="AC369" s="14">
        <v>44</v>
      </c>
      <c r="AD369" s="34">
        <f>AC369/M369</f>
        <v>0.53658536585365857</v>
      </c>
      <c r="CW369" s="13" t="s">
        <v>324</v>
      </c>
      <c r="CX369" s="13" t="s">
        <v>325</v>
      </c>
      <c r="CY369" s="13">
        <v>2019</v>
      </c>
      <c r="CZ369" s="13" t="s">
        <v>2216</v>
      </c>
      <c r="DA369" s="13" t="s">
        <v>61</v>
      </c>
      <c r="DB369" s="13">
        <v>9</v>
      </c>
      <c r="DC369" s="13">
        <v>1</v>
      </c>
      <c r="DD369" s="13" t="s">
        <v>2215</v>
      </c>
      <c r="DE369" s="13" t="s">
        <v>326</v>
      </c>
    </row>
    <row r="370" spans="1:109">
      <c r="A370" s="14" t="s">
        <v>2123</v>
      </c>
      <c r="B370" s="14" t="s">
        <v>1716</v>
      </c>
      <c r="C370" s="14" t="s">
        <v>2619</v>
      </c>
      <c r="D370" s="14" t="s">
        <v>898</v>
      </c>
      <c r="E370" s="14" t="s">
        <v>672</v>
      </c>
      <c r="F370" s="14" t="s">
        <v>757</v>
      </c>
      <c r="H370" s="14" t="s">
        <v>712</v>
      </c>
      <c r="I370" s="14" t="s">
        <v>4088</v>
      </c>
      <c r="J370" s="14" t="s">
        <v>652</v>
      </c>
      <c r="L370" s="14" t="s">
        <v>639</v>
      </c>
      <c r="M370" s="14">
        <v>20</v>
      </c>
      <c r="Q370" s="14">
        <v>49.08</v>
      </c>
      <c r="R370" s="14">
        <v>9.6989999999999892</v>
      </c>
      <c r="V370" s="14">
        <v>16</v>
      </c>
      <c r="W370" s="14">
        <f t="shared" si="34"/>
        <v>0.8</v>
      </c>
      <c r="CW370" s="14" t="s">
        <v>340</v>
      </c>
      <c r="CX370" s="14" t="s">
        <v>341</v>
      </c>
      <c r="CY370" s="14">
        <v>2020</v>
      </c>
      <c r="CZ370" s="36" t="s">
        <v>119</v>
      </c>
      <c r="DA370" s="14" t="s">
        <v>26</v>
      </c>
      <c r="DB370" s="14">
        <v>7</v>
      </c>
      <c r="DC370" s="14">
        <v>8</v>
      </c>
      <c r="DD370" s="14" t="s">
        <v>342</v>
      </c>
      <c r="DE370" s="14" t="s">
        <v>343</v>
      </c>
    </row>
    <row r="371" spans="1:109">
      <c r="A371" s="14" t="s">
        <v>2123</v>
      </c>
      <c r="B371" s="14" t="s">
        <v>1716</v>
      </c>
      <c r="C371" s="14" t="s">
        <v>2618</v>
      </c>
      <c r="D371" s="14" t="s">
        <v>898</v>
      </c>
      <c r="E371" s="14" t="s">
        <v>672</v>
      </c>
      <c r="F371" s="14" t="s">
        <v>757</v>
      </c>
      <c r="H371" s="14" t="s">
        <v>712</v>
      </c>
      <c r="I371" s="14" t="s">
        <v>2875</v>
      </c>
      <c r="J371" s="14" t="s">
        <v>652</v>
      </c>
      <c r="L371" s="14" t="s">
        <v>639</v>
      </c>
      <c r="M371" s="14">
        <v>23</v>
      </c>
      <c r="Q371" s="14">
        <v>52.7</v>
      </c>
      <c r="R371" s="14">
        <v>10.368</v>
      </c>
      <c r="V371" s="14">
        <v>16</v>
      </c>
      <c r="W371" s="14">
        <f t="shared" si="34"/>
        <v>0.69565217391304346</v>
      </c>
      <c r="AC371" s="14">
        <v>19</v>
      </c>
      <c r="AD371" s="34">
        <f>AC371/M371</f>
        <v>0.82608695652173914</v>
      </c>
      <c r="CW371" s="14" t="s">
        <v>340</v>
      </c>
      <c r="CX371" s="14" t="s">
        <v>341</v>
      </c>
      <c r="CY371" s="14">
        <v>2020</v>
      </c>
      <c r="CZ371" s="36" t="s">
        <v>119</v>
      </c>
      <c r="DA371" s="14" t="s">
        <v>26</v>
      </c>
      <c r="DB371" s="14">
        <v>7</v>
      </c>
      <c r="DC371" s="14">
        <v>8</v>
      </c>
      <c r="DD371" s="14" t="s">
        <v>342</v>
      </c>
      <c r="DE371" s="14" t="s">
        <v>343</v>
      </c>
    </row>
    <row r="372" spans="1:109">
      <c r="A372" s="14" t="s">
        <v>2123</v>
      </c>
      <c r="B372" s="14" t="s">
        <v>1716</v>
      </c>
      <c r="C372" s="14" t="s">
        <v>2618</v>
      </c>
      <c r="D372" s="14" t="s">
        <v>898</v>
      </c>
      <c r="E372" s="14" t="s">
        <v>673</v>
      </c>
      <c r="F372" s="14" t="s">
        <v>757</v>
      </c>
      <c r="H372" s="14" t="s">
        <v>712</v>
      </c>
      <c r="I372" s="14" t="s">
        <v>2875</v>
      </c>
      <c r="J372" s="14" t="s">
        <v>652</v>
      </c>
      <c r="L372" s="14" t="s">
        <v>639</v>
      </c>
      <c r="M372" s="14">
        <v>69</v>
      </c>
      <c r="Q372" s="14">
        <v>53.13</v>
      </c>
      <c r="R372" s="14">
        <v>10.491</v>
      </c>
      <c r="V372" s="14">
        <v>51</v>
      </c>
      <c r="W372" s="14">
        <f t="shared" si="34"/>
        <v>0.73913043478260865</v>
      </c>
      <c r="AC372" s="14">
        <v>58</v>
      </c>
      <c r="AD372" s="34">
        <f>AC372/M372</f>
        <v>0.84057971014492749</v>
      </c>
      <c r="CW372" s="14" t="s">
        <v>340</v>
      </c>
      <c r="CX372" s="14" t="s">
        <v>341</v>
      </c>
      <c r="CY372" s="14">
        <v>2020</v>
      </c>
      <c r="CZ372" s="36" t="s">
        <v>119</v>
      </c>
      <c r="DA372" s="14" t="s">
        <v>26</v>
      </c>
      <c r="DB372" s="14">
        <v>7</v>
      </c>
      <c r="DC372" s="14">
        <v>8</v>
      </c>
      <c r="DD372" s="14" t="s">
        <v>342</v>
      </c>
      <c r="DE372" s="14" t="s">
        <v>343</v>
      </c>
    </row>
    <row r="373" spans="1:109" ht="20">
      <c r="A373" s="14" t="s">
        <v>1852</v>
      </c>
      <c r="C373" s="14" t="s">
        <v>3138</v>
      </c>
      <c r="D373" s="14" t="s">
        <v>2454</v>
      </c>
      <c r="E373" s="14" t="s">
        <v>725</v>
      </c>
      <c r="F373" s="14" t="s">
        <v>3139</v>
      </c>
      <c r="H373" s="14" t="s">
        <v>712</v>
      </c>
      <c r="I373" s="14" t="s">
        <v>3142</v>
      </c>
      <c r="J373" s="14" t="s">
        <v>3140</v>
      </c>
      <c r="K373" s="14" t="s">
        <v>3141</v>
      </c>
      <c r="M373" s="14">
        <v>397</v>
      </c>
      <c r="AU373" s="14" t="s">
        <v>2447</v>
      </c>
      <c r="AY373" s="39" t="s">
        <v>2547</v>
      </c>
      <c r="BE373" s="29" t="s">
        <v>3145</v>
      </c>
      <c r="BG373" s="14">
        <v>2.5379999999999998</v>
      </c>
      <c r="BH373" s="14">
        <v>1.714</v>
      </c>
      <c r="BI373" s="14">
        <v>3.7570000000000001</v>
      </c>
      <c r="CW373" s="13" t="s">
        <v>1336</v>
      </c>
      <c r="CX373" s="13" t="s">
        <v>1337</v>
      </c>
      <c r="CY373" s="13">
        <v>2022</v>
      </c>
      <c r="CZ373" s="13" t="s">
        <v>73</v>
      </c>
      <c r="DA373" s="13" t="s">
        <v>1338</v>
      </c>
      <c r="DB373" s="13">
        <v>10</v>
      </c>
      <c r="DC373" s="13"/>
      <c r="DD373" s="13"/>
      <c r="DE373" s="13" t="s">
        <v>1339</v>
      </c>
    </row>
    <row r="374" spans="1:109" ht="20">
      <c r="A374" s="14" t="s">
        <v>1852</v>
      </c>
      <c r="C374" s="14" t="s">
        <v>3143</v>
      </c>
      <c r="D374" s="14" t="s">
        <v>2454</v>
      </c>
      <c r="E374" s="14" t="s">
        <v>725</v>
      </c>
      <c r="F374" s="14" t="s">
        <v>3139</v>
      </c>
      <c r="H374" s="14" t="s">
        <v>712</v>
      </c>
      <c r="I374" s="14" t="s">
        <v>3142</v>
      </c>
      <c r="J374" s="14" t="s">
        <v>3140</v>
      </c>
      <c r="K374" s="14" t="s">
        <v>3141</v>
      </c>
      <c r="M374" s="14">
        <v>239</v>
      </c>
      <c r="S374" s="14">
        <v>61.59</v>
      </c>
      <c r="V374" s="14">
        <v>144</v>
      </c>
      <c r="W374" s="14">
        <f t="shared" ref="W374:W394" si="38">V374/M374</f>
        <v>0.60251046025104604</v>
      </c>
      <c r="AC374" s="14">
        <v>147</v>
      </c>
      <c r="AD374" s="34">
        <f t="shared" ref="AD374:AD386" si="39">AC374/M374</f>
        <v>0.61506276150627615</v>
      </c>
      <c r="AL374" s="35">
        <f>2.95*12</f>
        <v>35.400000000000006</v>
      </c>
      <c r="AU374" s="14" t="s">
        <v>2447</v>
      </c>
      <c r="AY374" s="39" t="s">
        <v>2547</v>
      </c>
      <c r="BE374" s="29" t="s">
        <v>3145</v>
      </c>
      <c r="CW374" s="13" t="s">
        <v>1336</v>
      </c>
      <c r="CX374" s="13" t="s">
        <v>1337</v>
      </c>
      <c r="CY374" s="13">
        <v>2022</v>
      </c>
      <c r="CZ374" s="13" t="s">
        <v>73</v>
      </c>
      <c r="DA374" s="13" t="s">
        <v>1338</v>
      </c>
      <c r="DB374" s="13">
        <v>10</v>
      </c>
      <c r="DC374" s="13"/>
      <c r="DD374" s="13"/>
      <c r="DE374" s="13" t="s">
        <v>1339</v>
      </c>
    </row>
    <row r="375" spans="1:109" ht="20">
      <c r="A375" s="14" t="s">
        <v>1852</v>
      </c>
      <c r="C375" s="14" t="s">
        <v>3144</v>
      </c>
      <c r="D375" s="14" t="s">
        <v>2454</v>
      </c>
      <c r="E375" s="14" t="s">
        <v>725</v>
      </c>
      <c r="F375" s="14" t="s">
        <v>3139</v>
      </c>
      <c r="H375" s="14" t="s">
        <v>712</v>
      </c>
      <c r="I375" s="14" t="s">
        <v>3142</v>
      </c>
      <c r="J375" s="14" t="s">
        <v>3140</v>
      </c>
      <c r="K375" s="14" t="s">
        <v>3141</v>
      </c>
      <c r="M375" s="14">
        <v>158</v>
      </c>
      <c r="S375" s="14">
        <v>63.05</v>
      </c>
      <c r="V375" s="14">
        <v>95</v>
      </c>
      <c r="W375" s="14">
        <f t="shared" si="38"/>
        <v>0.60126582278481011</v>
      </c>
      <c r="AC375" s="14">
        <v>104</v>
      </c>
      <c r="AD375" s="34">
        <f t="shared" si="39"/>
        <v>0.65822784810126578</v>
      </c>
      <c r="AL375" s="35">
        <f>2.77*12</f>
        <v>33.24</v>
      </c>
      <c r="AU375" s="14" t="s">
        <v>2447</v>
      </c>
      <c r="AY375" s="39" t="s">
        <v>2547</v>
      </c>
      <c r="BE375" s="29" t="s">
        <v>3145</v>
      </c>
      <c r="CW375" s="13" t="s">
        <v>1336</v>
      </c>
      <c r="CX375" s="13" t="s">
        <v>1337</v>
      </c>
      <c r="CY375" s="13">
        <v>2022</v>
      </c>
      <c r="CZ375" s="13" t="s">
        <v>73</v>
      </c>
      <c r="DA375" s="13" t="s">
        <v>1338</v>
      </c>
      <c r="DB375" s="13">
        <v>10</v>
      </c>
      <c r="DC375" s="13"/>
      <c r="DD375" s="13"/>
      <c r="DE375" s="13" t="s">
        <v>1339</v>
      </c>
    </row>
    <row r="376" spans="1:109">
      <c r="A376" s="14" t="s">
        <v>1853</v>
      </c>
      <c r="B376" s="14" t="s">
        <v>1714</v>
      </c>
      <c r="C376" s="14" t="s">
        <v>2599</v>
      </c>
      <c r="D376" s="14" t="s">
        <v>898</v>
      </c>
      <c r="E376" s="14" t="s">
        <v>672</v>
      </c>
      <c r="F376" s="14" t="s">
        <v>900</v>
      </c>
      <c r="H376" s="14" t="s">
        <v>712</v>
      </c>
      <c r="I376" s="14" t="s">
        <v>4073</v>
      </c>
      <c r="J376" s="14" t="s">
        <v>902</v>
      </c>
      <c r="L376" s="14" t="s">
        <v>901</v>
      </c>
      <c r="M376" s="14">
        <v>113</v>
      </c>
      <c r="Q376" s="14">
        <v>49.74</v>
      </c>
      <c r="R376" s="14">
        <v>11.14</v>
      </c>
      <c r="V376" s="14">
        <v>62</v>
      </c>
      <c r="W376" s="14">
        <f t="shared" si="38"/>
        <v>0.54867256637168138</v>
      </c>
      <c r="Z376" s="14">
        <v>40</v>
      </c>
      <c r="AA376" s="14">
        <f t="shared" ref="AA376:AA383" si="40">Z376-7/2</f>
        <v>36.5</v>
      </c>
      <c r="AB376" s="14">
        <f t="shared" ref="AB376:AB383" si="41">Z376+7/2</f>
        <v>43.5</v>
      </c>
      <c r="AC376" s="14">
        <v>95</v>
      </c>
      <c r="AD376" s="34">
        <f t="shared" si="39"/>
        <v>0.84070796460176989</v>
      </c>
      <c r="AG376" s="35">
        <v>11</v>
      </c>
      <c r="AH376" s="35">
        <f t="shared" ref="AH376:AH383" si="42">AG376-12.5/2</f>
        <v>4.75</v>
      </c>
      <c r="AI376" s="35">
        <f t="shared" ref="AI376:AI383" si="43">AG376+12.5/2</f>
        <v>17.25</v>
      </c>
      <c r="AL376" s="35">
        <v>38</v>
      </c>
      <c r="AU376" s="14" t="s">
        <v>2447</v>
      </c>
      <c r="BE376" s="29" t="s">
        <v>2593</v>
      </c>
      <c r="BG376" s="14">
        <v>0.81100000000000005</v>
      </c>
      <c r="BH376" s="14">
        <v>0.39</v>
      </c>
      <c r="BI376" s="14">
        <v>1.6870000000000001</v>
      </c>
      <c r="CV376" s="14" t="s">
        <v>2594</v>
      </c>
      <c r="CW376" s="14" t="s">
        <v>1340</v>
      </c>
      <c r="CX376" s="14" t="s">
        <v>1341</v>
      </c>
      <c r="CY376" s="14">
        <v>2022</v>
      </c>
      <c r="CZ376" s="36" t="s">
        <v>330</v>
      </c>
      <c r="DA376" s="14" t="s">
        <v>331</v>
      </c>
      <c r="DB376" s="14">
        <v>43</v>
      </c>
      <c r="DC376" s="14">
        <v>5</v>
      </c>
      <c r="DD376" s="14" t="s">
        <v>332</v>
      </c>
      <c r="DE376" s="14" t="s">
        <v>333</v>
      </c>
    </row>
    <row r="377" spans="1:109">
      <c r="A377" s="14" t="s">
        <v>1853</v>
      </c>
      <c r="B377" s="14" t="s">
        <v>1714</v>
      </c>
      <c r="C377" s="14" t="s">
        <v>2599</v>
      </c>
      <c r="D377" s="14" t="s">
        <v>898</v>
      </c>
      <c r="E377" s="14" t="s">
        <v>672</v>
      </c>
      <c r="F377" s="14" t="s">
        <v>578</v>
      </c>
      <c r="H377" s="14" t="s">
        <v>712</v>
      </c>
      <c r="I377" s="14" t="s">
        <v>3124</v>
      </c>
      <c r="J377" s="14" t="s">
        <v>902</v>
      </c>
      <c r="L377" s="14" t="s">
        <v>903</v>
      </c>
      <c r="M377" s="14">
        <v>113</v>
      </c>
      <c r="Q377" s="14">
        <v>49.74</v>
      </c>
      <c r="R377" s="14">
        <v>11.14</v>
      </c>
      <c r="V377" s="14">
        <v>62</v>
      </c>
      <c r="W377" s="14">
        <f t="shared" si="38"/>
        <v>0.54867256637168138</v>
      </c>
      <c r="Z377" s="14">
        <v>40</v>
      </c>
      <c r="AA377" s="14">
        <f t="shared" si="40"/>
        <v>36.5</v>
      </c>
      <c r="AB377" s="14">
        <f t="shared" si="41"/>
        <v>43.5</v>
      </c>
      <c r="AC377" s="14">
        <v>95</v>
      </c>
      <c r="AD377" s="34">
        <f t="shared" si="39"/>
        <v>0.84070796460176989</v>
      </c>
      <c r="AG377" s="35">
        <v>11</v>
      </c>
      <c r="AH377" s="35">
        <f t="shared" si="42"/>
        <v>4.75</v>
      </c>
      <c r="AI377" s="35">
        <f t="shared" si="43"/>
        <v>17.25</v>
      </c>
      <c r="AL377" s="35">
        <v>38</v>
      </c>
      <c r="AU377" s="14" t="s">
        <v>2447</v>
      </c>
      <c r="BE377" s="29" t="s">
        <v>2593</v>
      </c>
      <c r="BG377" s="14">
        <v>2.4940000000000002</v>
      </c>
      <c r="BH377" s="14">
        <v>1.268</v>
      </c>
      <c r="BI377" s="14">
        <v>4.9029999999999996</v>
      </c>
      <c r="CV377" s="14" t="s">
        <v>2594</v>
      </c>
      <c r="CW377" s="14" t="s">
        <v>1340</v>
      </c>
      <c r="CX377" s="14" t="s">
        <v>1341</v>
      </c>
      <c r="CY377" s="14">
        <v>2022</v>
      </c>
      <c r="CZ377" s="36" t="s">
        <v>330</v>
      </c>
      <c r="DA377" s="14" t="s">
        <v>331</v>
      </c>
      <c r="DB377" s="14">
        <v>43</v>
      </c>
      <c r="DC377" s="14">
        <v>5</v>
      </c>
      <c r="DD377" s="14" t="s">
        <v>332</v>
      </c>
      <c r="DE377" s="14" t="s">
        <v>333</v>
      </c>
    </row>
    <row r="378" spans="1:109">
      <c r="A378" s="14" t="s">
        <v>1853</v>
      </c>
      <c r="B378" s="14" t="s">
        <v>1714</v>
      </c>
      <c r="C378" s="14" t="s">
        <v>2599</v>
      </c>
      <c r="D378" s="14" t="s">
        <v>898</v>
      </c>
      <c r="E378" s="14" t="s">
        <v>672</v>
      </c>
      <c r="F378" s="14" t="s">
        <v>904</v>
      </c>
      <c r="H378" s="14" t="s">
        <v>712</v>
      </c>
      <c r="I378" s="14" t="s">
        <v>3124</v>
      </c>
      <c r="J378" s="14" t="s">
        <v>902</v>
      </c>
      <c r="L378" s="14" t="s">
        <v>905</v>
      </c>
      <c r="M378" s="14">
        <v>113</v>
      </c>
      <c r="Q378" s="14">
        <v>49.74</v>
      </c>
      <c r="R378" s="14">
        <v>11.14</v>
      </c>
      <c r="V378" s="14">
        <v>62</v>
      </c>
      <c r="W378" s="14">
        <f t="shared" si="38"/>
        <v>0.54867256637168138</v>
      </c>
      <c r="Z378" s="14">
        <v>40</v>
      </c>
      <c r="AA378" s="14">
        <f t="shared" si="40"/>
        <v>36.5</v>
      </c>
      <c r="AB378" s="14">
        <f t="shared" si="41"/>
        <v>43.5</v>
      </c>
      <c r="AC378" s="14">
        <v>95</v>
      </c>
      <c r="AD378" s="34">
        <f t="shared" si="39"/>
        <v>0.84070796460176989</v>
      </c>
      <c r="AG378" s="35">
        <v>11</v>
      </c>
      <c r="AH378" s="35">
        <f t="shared" si="42"/>
        <v>4.75</v>
      </c>
      <c r="AI378" s="35">
        <f t="shared" si="43"/>
        <v>17.25</v>
      </c>
      <c r="AL378" s="35">
        <v>38</v>
      </c>
      <c r="AU378" s="14" t="s">
        <v>2447</v>
      </c>
      <c r="BE378" s="29" t="s">
        <v>2593</v>
      </c>
      <c r="BG378" s="14">
        <v>2.2090000000000001</v>
      </c>
      <c r="BH378" s="14">
        <v>0.90600000000000003</v>
      </c>
      <c r="BI378" s="14">
        <v>5.3849999999999998</v>
      </c>
      <c r="CV378" s="14" t="s">
        <v>2594</v>
      </c>
      <c r="CW378" s="14" t="s">
        <v>1340</v>
      </c>
      <c r="CX378" s="14" t="s">
        <v>1341</v>
      </c>
      <c r="CY378" s="14">
        <v>2022</v>
      </c>
      <c r="CZ378" s="36" t="s">
        <v>330</v>
      </c>
      <c r="DA378" s="14" t="s">
        <v>331</v>
      </c>
      <c r="DB378" s="14">
        <v>43</v>
      </c>
      <c r="DC378" s="14">
        <v>5</v>
      </c>
      <c r="DD378" s="14" t="s">
        <v>332</v>
      </c>
      <c r="DE378" s="14" t="s">
        <v>333</v>
      </c>
    </row>
    <row r="379" spans="1:109">
      <c r="A379" s="14" t="s">
        <v>1853</v>
      </c>
      <c r="B379" s="14" t="s">
        <v>1714</v>
      </c>
      <c r="C379" s="14" t="s">
        <v>2599</v>
      </c>
      <c r="D379" s="14" t="s">
        <v>898</v>
      </c>
      <c r="E379" s="14" t="s">
        <v>672</v>
      </c>
      <c r="F379" s="14" t="s">
        <v>906</v>
      </c>
      <c r="H379" s="14" t="s">
        <v>712</v>
      </c>
      <c r="I379" s="14" t="s">
        <v>3124</v>
      </c>
      <c r="J379" s="14" t="s">
        <v>902</v>
      </c>
      <c r="L379" s="14" t="s">
        <v>905</v>
      </c>
      <c r="M379" s="14">
        <v>113</v>
      </c>
      <c r="Q379" s="14">
        <v>49.74</v>
      </c>
      <c r="R379" s="14">
        <v>11.14</v>
      </c>
      <c r="V379" s="14">
        <v>62</v>
      </c>
      <c r="W379" s="14">
        <f t="shared" si="38"/>
        <v>0.54867256637168138</v>
      </c>
      <c r="Z379" s="14">
        <v>40</v>
      </c>
      <c r="AA379" s="14">
        <f t="shared" si="40"/>
        <v>36.5</v>
      </c>
      <c r="AB379" s="14">
        <f t="shared" si="41"/>
        <v>43.5</v>
      </c>
      <c r="AC379" s="14">
        <v>95</v>
      </c>
      <c r="AD379" s="34">
        <f t="shared" si="39"/>
        <v>0.84070796460176989</v>
      </c>
      <c r="AG379" s="35">
        <v>11</v>
      </c>
      <c r="AH379" s="35">
        <f t="shared" si="42"/>
        <v>4.75</v>
      </c>
      <c r="AI379" s="35">
        <f t="shared" si="43"/>
        <v>17.25</v>
      </c>
      <c r="AL379" s="35">
        <v>38</v>
      </c>
      <c r="AU379" s="14" t="s">
        <v>2447</v>
      </c>
      <c r="BE379" s="29" t="s">
        <v>2593</v>
      </c>
      <c r="BG379" s="14">
        <v>2.4180000000000001</v>
      </c>
      <c r="BH379" s="14">
        <v>1.304</v>
      </c>
      <c r="BI379" s="14">
        <v>4.4820000000000002</v>
      </c>
      <c r="CV379" s="14" t="s">
        <v>2594</v>
      </c>
      <c r="CW379" s="14" t="s">
        <v>1340</v>
      </c>
      <c r="CX379" s="14" t="s">
        <v>1341</v>
      </c>
      <c r="CY379" s="14">
        <v>2022</v>
      </c>
      <c r="CZ379" s="36" t="s">
        <v>330</v>
      </c>
      <c r="DA379" s="14" t="s">
        <v>331</v>
      </c>
      <c r="DB379" s="14">
        <v>43</v>
      </c>
      <c r="DC379" s="14">
        <v>5</v>
      </c>
      <c r="DD379" s="14" t="s">
        <v>332</v>
      </c>
      <c r="DE379" s="14" t="s">
        <v>333</v>
      </c>
    </row>
    <row r="380" spans="1:109">
      <c r="A380" s="14" t="s">
        <v>1853</v>
      </c>
      <c r="B380" s="14" t="s">
        <v>1714</v>
      </c>
      <c r="C380" s="14" t="s">
        <v>2599</v>
      </c>
      <c r="D380" s="14" t="s">
        <v>898</v>
      </c>
      <c r="E380" s="14" t="s">
        <v>672</v>
      </c>
      <c r="F380" s="14" t="s">
        <v>2378</v>
      </c>
      <c r="H380" s="14" t="s">
        <v>712</v>
      </c>
      <c r="I380" s="14" t="s">
        <v>3124</v>
      </c>
      <c r="J380" s="14" t="s">
        <v>902</v>
      </c>
      <c r="L380" s="14" t="s">
        <v>905</v>
      </c>
      <c r="M380" s="14">
        <v>113</v>
      </c>
      <c r="Q380" s="14">
        <v>49.74</v>
      </c>
      <c r="R380" s="14">
        <v>11.14</v>
      </c>
      <c r="V380" s="14">
        <v>62</v>
      </c>
      <c r="W380" s="14">
        <f t="shared" si="38"/>
        <v>0.54867256637168138</v>
      </c>
      <c r="Z380" s="14">
        <v>40</v>
      </c>
      <c r="AA380" s="14">
        <f t="shared" si="40"/>
        <v>36.5</v>
      </c>
      <c r="AB380" s="14">
        <f t="shared" si="41"/>
        <v>43.5</v>
      </c>
      <c r="AC380" s="14">
        <v>95</v>
      </c>
      <c r="AD380" s="34">
        <f t="shared" si="39"/>
        <v>0.84070796460176989</v>
      </c>
      <c r="AG380" s="35">
        <v>11</v>
      </c>
      <c r="AH380" s="35">
        <f t="shared" si="42"/>
        <v>4.75</v>
      </c>
      <c r="AI380" s="35">
        <f t="shared" si="43"/>
        <v>17.25</v>
      </c>
      <c r="AL380" s="35">
        <v>38</v>
      </c>
      <c r="AU380" s="14" t="s">
        <v>2447</v>
      </c>
      <c r="BE380" s="29" t="s">
        <v>2593</v>
      </c>
      <c r="BG380" s="14">
        <v>2.024</v>
      </c>
      <c r="BH380" s="14">
        <v>0.872</v>
      </c>
      <c r="BI380" s="14">
        <v>4.6989999999999998</v>
      </c>
      <c r="CV380" s="14" t="s">
        <v>2594</v>
      </c>
      <c r="CW380" s="14" t="s">
        <v>1340</v>
      </c>
      <c r="CX380" s="14" t="s">
        <v>1341</v>
      </c>
      <c r="CY380" s="14">
        <v>2022</v>
      </c>
      <c r="CZ380" s="36" t="s">
        <v>330</v>
      </c>
      <c r="DA380" s="14" t="s">
        <v>331</v>
      </c>
      <c r="DB380" s="14">
        <v>43</v>
      </c>
      <c r="DC380" s="14">
        <v>5</v>
      </c>
      <c r="DD380" s="14" t="s">
        <v>332</v>
      </c>
      <c r="DE380" s="14" t="s">
        <v>333</v>
      </c>
    </row>
    <row r="381" spans="1:109">
      <c r="A381" s="14" t="s">
        <v>1853</v>
      </c>
      <c r="B381" s="14" t="s">
        <v>1714</v>
      </c>
      <c r="C381" s="14" t="s">
        <v>2599</v>
      </c>
      <c r="D381" s="14" t="s">
        <v>898</v>
      </c>
      <c r="E381" s="14" t="s">
        <v>673</v>
      </c>
      <c r="F381" s="14" t="s">
        <v>2596</v>
      </c>
      <c r="H381" s="14" t="s">
        <v>712</v>
      </c>
      <c r="I381" s="14" t="s">
        <v>3124</v>
      </c>
      <c r="J381" s="14" t="s">
        <v>902</v>
      </c>
      <c r="L381" s="14" t="s">
        <v>905</v>
      </c>
      <c r="M381" s="14">
        <v>113</v>
      </c>
      <c r="Q381" s="14">
        <v>49.74</v>
      </c>
      <c r="R381" s="14">
        <v>11.14</v>
      </c>
      <c r="V381" s="14">
        <v>62</v>
      </c>
      <c r="W381" s="14">
        <f t="shared" si="38"/>
        <v>0.54867256637168138</v>
      </c>
      <c r="Z381" s="14">
        <v>40</v>
      </c>
      <c r="AA381" s="14">
        <f t="shared" si="40"/>
        <v>36.5</v>
      </c>
      <c r="AB381" s="14">
        <f t="shared" si="41"/>
        <v>43.5</v>
      </c>
      <c r="AC381" s="14">
        <v>95</v>
      </c>
      <c r="AD381" s="34">
        <f t="shared" si="39"/>
        <v>0.84070796460176989</v>
      </c>
      <c r="AG381" s="35">
        <v>11</v>
      </c>
      <c r="AH381" s="35">
        <f t="shared" si="42"/>
        <v>4.75</v>
      </c>
      <c r="AI381" s="35">
        <f t="shared" si="43"/>
        <v>17.25</v>
      </c>
      <c r="AL381" s="35">
        <v>38</v>
      </c>
      <c r="AU381" s="14" t="s">
        <v>2447</v>
      </c>
      <c r="BE381" s="29" t="s">
        <v>2593</v>
      </c>
      <c r="BG381" s="14">
        <v>0.36399999999999999</v>
      </c>
      <c r="BH381" s="14">
        <v>0.16</v>
      </c>
      <c r="BI381" s="14">
        <v>0.83</v>
      </c>
      <c r="CV381" s="14" t="s">
        <v>2594</v>
      </c>
      <c r="CW381" s="14" t="s">
        <v>1340</v>
      </c>
      <c r="CX381" s="14" t="s">
        <v>1341</v>
      </c>
      <c r="CY381" s="14">
        <v>2022</v>
      </c>
      <c r="CZ381" s="36" t="s">
        <v>330</v>
      </c>
      <c r="DA381" s="14" t="s">
        <v>331</v>
      </c>
      <c r="DB381" s="14">
        <v>43</v>
      </c>
      <c r="DC381" s="14">
        <v>5</v>
      </c>
      <c r="DD381" s="14" t="s">
        <v>332</v>
      </c>
      <c r="DE381" s="14" t="s">
        <v>333</v>
      </c>
    </row>
    <row r="382" spans="1:109">
      <c r="A382" s="14" t="s">
        <v>1853</v>
      </c>
      <c r="B382" s="14" t="s">
        <v>1714</v>
      </c>
      <c r="C382" s="14" t="s">
        <v>2599</v>
      </c>
      <c r="D382" s="14" t="s">
        <v>898</v>
      </c>
      <c r="E382" s="14" t="s">
        <v>673</v>
      </c>
      <c r="F382" s="14" t="s">
        <v>2273</v>
      </c>
      <c r="H382" s="14" t="s">
        <v>712</v>
      </c>
      <c r="I382" s="14" t="s">
        <v>3124</v>
      </c>
      <c r="J382" s="14" t="s">
        <v>902</v>
      </c>
      <c r="L382" s="14" t="s">
        <v>905</v>
      </c>
      <c r="M382" s="14">
        <v>113</v>
      </c>
      <c r="Q382" s="14">
        <v>49.74</v>
      </c>
      <c r="R382" s="14">
        <v>11.14</v>
      </c>
      <c r="V382" s="14">
        <v>62</v>
      </c>
      <c r="W382" s="14">
        <f t="shared" si="38"/>
        <v>0.54867256637168138</v>
      </c>
      <c r="Z382" s="14">
        <v>40</v>
      </c>
      <c r="AA382" s="14">
        <f t="shared" si="40"/>
        <v>36.5</v>
      </c>
      <c r="AB382" s="14">
        <f t="shared" si="41"/>
        <v>43.5</v>
      </c>
      <c r="AC382" s="14">
        <v>95</v>
      </c>
      <c r="AD382" s="34">
        <f t="shared" si="39"/>
        <v>0.84070796460176989</v>
      </c>
      <c r="AG382" s="35">
        <v>11</v>
      </c>
      <c r="AH382" s="35">
        <f t="shared" si="42"/>
        <v>4.75</v>
      </c>
      <c r="AI382" s="35">
        <f t="shared" si="43"/>
        <v>17.25</v>
      </c>
      <c r="AL382" s="35">
        <v>38</v>
      </c>
      <c r="AU382" s="14" t="s">
        <v>2447</v>
      </c>
      <c r="BE382" s="29" t="s">
        <v>2593</v>
      </c>
      <c r="BG382" s="14">
        <v>1.0289999999999999</v>
      </c>
      <c r="BH382" s="14">
        <v>0.50900000000000001</v>
      </c>
      <c r="BI382" s="14">
        <v>2.081</v>
      </c>
      <c r="CV382" s="14" t="s">
        <v>2594</v>
      </c>
      <c r="CW382" s="14" t="s">
        <v>1340</v>
      </c>
      <c r="CX382" s="14" t="s">
        <v>1341</v>
      </c>
      <c r="CY382" s="14">
        <v>2022</v>
      </c>
      <c r="CZ382" s="36" t="s">
        <v>330</v>
      </c>
      <c r="DA382" s="14" t="s">
        <v>331</v>
      </c>
      <c r="DB382" s="14">
        <v>43</v>
      </c>
      <c r="DC382" s="14">
        <v>5</v>
      </c>
      <c r="DD382" s="14" t="s">
        <v>332</v>
      </c>
      <c r="DE382" s="14" t="s">
        <v>333</v>
      </c>
    </row>
    <row r="383" spans="1:109">
      <c r="A383" s="14" t="s">
        <v>1853</v>
      </c>
      <c r="B383" s="14" t="s">
        <v>1714</v>
      </c>
      <c r="C383" s="14" t="s">
        <v>2599</v>
      </c>
      <c r="D383" s="14" t="s">
        <v>898</v>
      </c>
      <c r="E383" s="14" t="s">
        <v>4121</v>
      </c>
      <c r="F383" s="14" t="s">
        <v>2595</v>
      </c>
      <c r="H383" s="14" t="s">
        <v>712</v>
      </c>
      <c r="I383" s="14" t="s">
        <v>3124</v>
      </c>
      <c r="J383" s="14" t="s">
        <v>902</v>
      </c>
      <c r="L383" s="14" t="s">
        <v>905</v>
      </c>
      <c r="M383" s="14">
        <v>113</v>
      </c>
      <c r="Q383" s="14">
        <v>49.74</v>
      </c>
      <c r="R383" s="14">
        <v>11.14</v>
      </c>
      <c r="V383" s="14">
        <v>62</v>
      </c>
      <c r="W383" s="14">
        <f t="shared" si="38"/>
        <v>0.54867256637168138</v>
      </c>
      <c r="Z383" s="14">
        <v>40</v>
      </c>
      <c r="AA383" s="14">
        <f t="shared" si="40"/>
        <v>36.5</v>
      </c>
      <c r="AB383" s="14">
        <f t="shared" si="41"/>
        <v>43.5</v>
      </c>
      <c r="AC383" s="14">
        <v>95</v>
      </c>
      <c r="AD383" s="34">
        <f t="shared" si="39"/>
        <v>0.84070796460176989</v>
      </c>
      <c r="AG383" s="35">
        <v>11</v>
      </c>
      <c r="AH383" s="35">
        <f t="shared" si="42"/>
        <v>4.75</v>
      </c>
      <c r="AI383" s="35">
        <f t="shared" si="43"/>
        <v>17.25</v>
      </c>
      <c r="AL383" s="35">
        <v>38</v>
      </c>
      <c r="AU383" s="14" t="s">
        <v>2447</v>
      </c>
      <c r="BE383" s="29" t="s">
        <v>2593</v>
      </c>
      <c r="BG383" s="14">
        <v>0.68300000000000005</v>
      </c>
      <c r="BH383" s="14">
        <v>0.26</v>
      </c>
      <c r="BI383" s="14">
        <v>1.798</v>
      </c>
      <c r="CV383" s="14" t="s">
        <v>2594</v>
      </c>
      <c r="CW383" s="14" t="s">
        <v>1340</v>
      </c>
      <c r="CX383" s="14" t="s">
        <v>1341</v>
      </c>
      <c r="CY383" s="14">
        <v>2022</v>
      </c>
      <c r="CZ383" s="36" t="s">
        <v>330</v>
      </c>
      <c r="DA383" s="14" t="s">
        <v>331</v>
      </c>
      <c r="DB383" s="14">
        <v>43</v>
      </c>
      <c r="DC383" s="14">
        <v>5</v>
      </c>
      <c r="DD383" s="14" t="s">
        <v>332</v>
      </c>
      <c r="DE383" s="14" t="s">
        <v>333</v>
      </c>
    </row>
    <row r="384" spans="1:109" ht="20">
      <c r="A384" s="14" t="s">
        <v>1854</v>
      </c>
      <c r="C384" s="14" t="s">
        <v>2600</v>
      </c>
      <c r="D384" s="14" t="s">
        <v>831</v>
      </c>
      <c r="E384" s="14" t="s">
        <v>673</v>
      </c>
      <c r="F384" s="14" t="s">
        <v>683</v>
      </c>
      <c r="H384" s="14" t="s">
        <v>712</v>
      </c>
      <c r="I384" s="14" t="s">
        <v>4073</v>
      </c>
      <c r="J384" s="14" t="s">
        <v>2597</v>
      </c>
      <c r="K384" s="13" t="s">
        <v>2598</v>
      </c>
      <c r="M384" s="14">
        <v>52</v>
      </c>
      <c r="N384" s="14">
        <v>6</v>
      </c>
      <c r="P384" s="14">
        <v>6</v>
      </c>
      <c r="Q384" s="14">
        <v>50.4</v>
      </c>
      <c r="R384" s="14">
        <v>10.9</v>
      </c>
      <c r="V384" s="14">
        <v>29</v>
      </c>
      <c r="W384" s="14">
        <f t="shared" si="38"/>
        <v>0.55769230769230771</v>
      </c>
      <c r="X384" s="14">
        <v>37.04</v>
      </c>
      <c r="Y384" s="14">
        <v>6.32</v>
      </c>
      <c r="AC384" s="14">
        <v>41</v>
      </c>
      <c r="AD384" s="34">
        <f t="shared" si="39"/>
        <v>0.78846153846153844</v>
      </c>
      <c r="AG384" s="35">
        <v>12</v>
      </c>
      <c r="AH384" s="35">
        <v>8</v>
      </c>
      <c r="AI384" s="35">
        <v>19</v>
      </c>
      <c r="BN384" s="14" t="s">
        <v>2552</v>
      </c>
      <c r="BO384" s="14" t="s">
        <v>2490</v>
      </c>
      <c r="BP384" s="14" t="s">
        <v>2490</v>
      </c>
      <c r="CC384" s="14">
        <v>8.4000000000000005E-2</v>
      </c>
      <c r="CG384" s="14">
        <v>0.55400000000000005</v>
      </c>
      <c r="CJ384" s="14" t="s">
        <v>2603</v>
      </c>
      <c r="CK384" s="14">
        <v>-0.311</v>
      </c>
      <c r="CN384" s="14">
        <v>2.98E-2</v>
      </c>
      <c r="CV384" s="14" t="s">
        <v>2605</v>
      </c>
      <c r="CW384" s="14" t="s">
        <v>1342</v>
      </c>
      <c r="CX384" s="14" t="s">
        <v>1343</v>
      </c>
      <c r="CY384" s="14">
        <v>2022</v>
      </c>
      <c r="CZ384" s="36" t="s">
        <v>53</v>
      </c>
      <c r="DA384" s="14" t="s">
        <v>26</v>
      </c>
      <c r="DB384" s="14">
        <v>9</v>
      </c>
      <c r="DC384" s="14">
        <v>7</v>
      </c>
      <c r="DD384" s="14" t="s">
        <v>1344</v>
      </c>
      <c r="DE384" s="14" t="s">
        <v>1345</v>
      </c>
    </row>
    <row r="385" spans="1:109" ht="20">
      <c r="A385" s="14" t="s">
        <v>1854</v>
      </c>
      <c r="C385" s="14" t="s">
        <v>2600</v>
      </c>
      <c r="D385" s="14" t="s">
        <v>831</v>
      </c>
      <c r="E385" s="14" t="s">
        <v>673</v>
      </c>
      <c r="F385" s="14" t="s">
        <v>2602</v>
      </c>
      <c r="H385" s="14" t="s">
        <v>712</v>
      </c>
      <c r="I385" s="14" t="s">
        <v>3124</v>
      </c>
      <c r="J385" s="14" t="s">
        <v>2597</v>
      </c>
      <c r="K385" s="13" t="s">
        <v>2598</v>
      </c>
      <c r="M385" s="14">
        <v>52</v>
      </c>
      <c r="N385" s="14">
        <v>6</v>
      </c>
      <c r="P385" s="14">
        <v>6</v>
      </c>
      <c r="Q385" s="14">
        <v>50.4</v>
      </c>
      <c r="R385" s="14">
        <v>10.9</v>
      </c>
      <c r="V385" s="14">
        <v>29</v>
      </c>
      <c r="W385" s="14">
        <f t="shared" si="38"/>
        <v>0.55769230769230771</v>
      </c>
      <c r="X385" s="14">
        <v>37.04</v>
      </c>
      <c r="Y385" s="14">
        <v>6.32</v>
      </c>
      <c r="AC385" s="14">
        <v>41</v>
      </c>
      <c r="AD385" s="34">
        <f t="shared" si="39"/>
        <v>0.78846153846153844</v>
      </c>
      <c r="AG385" s="35">
        <v>12</v>
      </c>
      <c r="AH385" s="35">
        <v>8</v>
      </c>
      <c r="AI385" s="35">
        <v>19</v>
      </c>
      <c r="BN385" s="14" t="s">
        <v>2552</v>
      </c>
      <c r="BO385" s="14" t="s">
        <v>2490</v>
      </c>
      <c r="BP385" s="14" t="s">
        <v>2490</v>
      </c>
      <c r="BQ385" s="14">
        <v>-0.43819999999999998</v>
      </c>
      <c r="BU385" s="14">
        <v>1.1999999999999999E-3</v>
      </c>
      <c r="CC385" s="14">
        <v>0.32100000000000001</v>
      </c>
      <c r="CG385" s="14">
        <v>2.0400000000000001E-2</v>
      </c>
      <c r="CJ385" s="14" t="s">
        <v>2603</v>
      </c>
      <c r="CK385" s="14">
        <v>-0.33700000000000002</v>
      </c>
      <c r="CN385" s="14">
        <v>1.8100000000000002E-2</v>
      </c>
      <c r="CV385" s="14" t="s">
        <v>2605</v>
      </c>
      <c r="CW385" s="14" t="s">
        <v>1342</v>
      </c>
      <c r="CX385" s="14" t="s">
        <v>1343</v>
      </c>
      <c r="CY385" s="14">
        <v>2022</v>
      </c>
      <c r="CZ385" s="36" t="s">
        <v>53</v>
      </c>
      <c r="DA385" s="14" t="s">
        <v>26</v>
      </c>
      <c r="DB385" s="14">
        <v>9</v>
      </c>
      <c r="DC385" s="14">
        <v>7</v>
      </c>
      <c r="DD385" s="14" t="s">
        <v>1344</v>
      </c>
      <c r="DE385" s="14" t="s">
        <v>1345</v>
      </c>
    </row>
    <row r="386" spans="1:109">
      <c r="A386" s="14" t="s">
        <v>1855</v>
      </c>
      <c r="C386" s="14" t="s">
        <v>2601</v>
      </c>
      <c r="D386" s="14" t="s">
        <v>898</v>
      </c>
      <c r="E386" s="14" t="s">
        <v>674</v>
      </c>
      <c r="F386" s="14" t="s">
        <v>2621</v>
      </c>
      <c r="G386" s="14" t="s">
        <v>2620</v>
      </c>
      <c r="H386" s="14" t="s">
        <v>712</v>
      </c>
      <c r="I386" s="14" t="s">
        <v>4062</v>
      </c>
      <c r="J386" s="14" t="s">
        <v>585</v>
      </c>
      <c r="L386" s="14" t="s">
        <v>641</v>
      </c>
      <c r="M386" s="14">
        <v>39</v>
      </c>
      <c r="Q386" s="14">
        <v>50.9</v>
      </c>
      <c r="R386" s="14">
        <v>9.4</v>
      </c>
      <c r="V386" s="14">
        <v>25</v>
      </c>
      <c r="W386" s="14">
        <f t="shared" si="38"/>
        <v>0.64102564102564108</v>
      </c>
      <c r="X386" s="14">
        <v>42.5</v>
      </c>
      <c r="Y386" s="14">
        <v>3.7</v>
      </c>
      <c r="AC386" s="14">
        <v>32</v>
      </c>
      <c r="AD386" s="34">
        <f t="shared" si="39"/>
        <v>0.82051282051282048</v>
      </c>
      <c r="AG386" s="35">
        <v>13</v>
      </c>
      <c r="AH386" s="35">
        <f>AG386-7/2</f>
        <v>9.5</v>
      </c>
      <c r="AI386" s="35">
        <f>AH386+7</f>
        <v>16.5</v>
      </c>
      <c r="BN386" s="14" t="s">
        <v>2552</v>
      </c>
      <c r="BQ386" s="14">
        <v>-0.11799999999999999</v>
      </c>
      <c r="BS386" s="14">
        <v>-0.41799999999999998</v>
      </c>
      <c r="BT386" s="14">
        <v>0.191</v>
      </c>
      <c r="BU386" s="14">
        <v>0.47499999999999998</v>
      </c>
      <c r="CC386" s="14">
        <v>-3.2000000000000001E-2</v>
      </c>
      <c r="CE386" s="14">
        <v>-0.39100000000000001</v>
      </c>
      <c r="CF386" s="14">
        <v>-0.32</v>
      </c>
      <c r="CG386" s="14">
        <v>0.84699999999999998</v>
      </c>
      <c r="CW386" s="14" t="s">
        <v>1346</v>
      </c>
      <c r="CX386" s="14" t="s">
        <v>1347</v>
      </c>
      <c r="CY386" s="14">
        <v>2022</v>
      </c>
      <c r="CZ386" s="36" t="s">
        <v>253</v>
      </c>
      <c r="DA386" s="14" t="s">
        <v>64</v>
      </c>
      <c r="DB386" s="14">
        <v>23</v>
      </c>
      <c r="DC386" s="14">
        <v>45293</v>
      </c>
      <c r="DD386" s="14" t="s">
        <v>1348</v>
      </c>
      <c r="DE386" s="14" t="s">
        <v>1349</v>
      </c>
    </row>
    <row r="387" spans="1:109">
      <c r="A387" s="14" t="s">
        <v>2122</v>
      </c>
      <c r="B387" s="14" t="s">
        <v>1715</v>
      </c>
      <c r="C387" s="14" t="s">
        <v>339</v>
      </c>
      <c r="D387" s="14" t="s">
        <v>831</v>
      </c>
      <c r="E387" s="14" t="s">
        <v>673</v>
      </c>
      <c r="F387" s="14" t="s">
        <v>2198</v>
      </c>
      <c r="H387" s="14" t="s">
        <v>712</v>
      </c>
      <c r="I387" s="14" t="s">
        <v>3124</v>
      </c>
      <c r="J387" s="14" t="s">
        <v>4115</v>
      </c>
      <c r="L387" s="14" t="s">
        <v>714</v>
      </c>
      <c r="M387" s="14">
        <v>10</v>
      </c>
      <c r="Q387" s="14">
        <v>50</v>
      </c>
      <c r="R387" s="14">
        <v>11.31</v>
      </c>
      <c r="V387" s="14">
        <v>6</v>
      </c>
      <c r="W387" s="14">
        <f t="shared" si="38"/>
        <v>0.6</v>
      </c>
      <c r="X387" s="14">
        <v>38.4</v>
      </c>
      <c r="Y387" s="14">
        <v>5.97</v>
      </c>
      <c r="AG387" s="35">
        <v>14</v>
      </c>
      <c r="AH387" s="35">
        <v>7</v>
      </c>
      <c r="AI387" s="35">
        <v>29</v>
      </c>
      <c r="BN387" s="14" t="s">
        <v>2231</v>
      </c>
      <c r="BQ387" s="14">
        <v>-0.33300000000000002</v>
      </c>
      <c r="BU387" s="14">
        <v>0.42</v>
      </c>
      <c r="CC387" s="14">
        <v>0.12</v>
      </c>
      <c r="CG387" s="14">
        <v>0.77600000000000002</v>
      </c>
      <c r="CW387" s="14" t="s">
        <v>334</v>
      </c>
      <c r="CX387" s="14" t="s">
        <v>335</v>
      </c>
      <c r="CY387" s="14">
        <v>2023</v>
      </c>
      <c r="CZ387" s="36" t="s">
        <v>330</v>
      </c>
      <c r="DA387" s="14" t="s">
        <v>336</v>
      </c>
      <c r="DB387" s="14">
        <v>13</v>
      </c>
      <c r="DC387" s="14">
        <v>5</v>
      </c>
      <c r="DD387" s="14" t="s">
        <v>337</v>
      </c>
      <c r="DE387" s="14" t="s">
        <v>338</v>
      </c>
    </row>
    <row r="388" spans="1:109">
      <c r="A388" s="14" t="s">
        <v>2122</v>
      </c>
      <c r="B388" s="14" t="s">
        <v>1715</v>
      </c>
      <c r="C388" s="14" t="s">
        <v>339</v>
      </c>
      <c r="D388" s="14" t="s">
        <v>831</v>
      </c>
      <c r="E388" s="14" t="s">
        <v>673</v>
      </c>
      <c r="F388" s="14" t="s">
        <v>2337</v>
      </c>
      <c r="H388" s="14" t="s">
        <v>712</v>
      </c>
      <c r="I388" s="14" t="s">
        <v>3124</v>
      </c>
      <c r="J388" s="14" t="s">
        <v>4115</v>
      </c>
      <c r="L388" s="14" t="s">
        <v>3000</v>
      </c>
      <c r="M388" s="14">
        <v>10</v>
      </c>
      <c r="Q388" s="14">
        <v>50</v>
      </c>
      <c r="R388" s="14">
        <v>11.31</v>
      </c>
      <c r="V388" s="14">
        <v>6</v>
      </c>
      <c r="W388" s="14">
        <f t="shared" si="38"/>
        <v>0.6</v>
      </c>
      <c r="X388" s="14">
        <v>38.4</v>
      </c>
      <c r="Y388" s="14">
        <v>5.97</v>
      </c>
      <c r="AG388" s="35">
        <v>14</v>
      </c>
      <c r="AH388" s="35">
        <v>7</v>
      </c>
      <c r="AI388" s="35">
        <v>29</v>
      </c>
      <c r="BN388" s="14" t="s">
        <v>2231</v>
      </c>
      <c r="BQ388" s="14">
        <v>-0.503</v>
      </c>
      <c r="BU388" s="14">
        <v>0.13800000000000001</v>
      </c>
      <c r="CC388" s="14">
        <v>0.22600000000000001</v>
      </c>
      <c r="CG388" s="14">
        <v>0.53100000000000003</v>
      </c>
      <c r="CW388" s="14" t="s">
        <v>334</v>
      </c>
      <c r="CX388" s="14" t="s">
        <v>335</v>
      </c>
      <c r="CY388" s="14">
        <v>2023</v>
      </c>
      <c r="CZ388" s="36" t="s">
        <v>330</v>
      </c>
      <c r="DA388" s="14" t="s">
        <v>336</v>
      </c>
      <c r="DB388" s="14">
        <v>13</v>
      </c>
      <c r="DC388" s="14">
        <v>5</v>
      </c>
      <c r="DD388" s="14" t="s">
        <v>337</v>
      </c>
      <c r="DE388" s="14" t="s">
        <v>338</v>
      </c>
    </row>
    <row r="389" spans="1:109">
      <c r="A389" s="14" t="s">
        <v>2122</v>
      </c>
      <c r="B389" s="14" t="s">
        <v>1715</v>
      </c>
      <c r="C389" s="14" t="s">
        <v>339</v>
      </c>
      <c r="D389" s="14" t="s">
        <v>831</v>
      </c>
      <c r="E389" s="14" t="s">
        <v>673</v>
      </c>
      <c r="F389" s="14" t="s">
        <v>675</v>
      </c>
      <c r="H389" s="14" t="s">
        <v>712</v>
      </c>
      <c r="I389" s="14" t="s">
        <v>3124</v>
      </c>
      <c r="J389" s="14" t="s">
        <v>4029</v>
      </c>
      <c r="K389" s="14" t="s">
        <v>4028</v>
      </c>
      <c r="L389" s="14" t="s">
        <v>639</v>
      </c>
      <c r="M389" s="14">
        <v>10</v>
      </c>
      <c r="Q389" s="14">
        <v>50</v>
      </c>
      <c r="R389" s="14">
        <v>11.31</v>
      </c>
      <c r="V389" s="14">
        <v>6</v>
      </c>
      <c r="W389" s="14">
        <f t="shared" si="38"/>
        <v>0.6</v>
      </c>
      <c r="X389" s="14">
        <v>38.4</v>
      </c>
      <c r="Y389" s="14">
        <v>5.97</v>
      </c>
      <c r="AG389" s="35">
        <v>14</v>
      </c>
      <c r="AH389" s="35">
        <v>7</v>
      </c>
      <c r="AI389" s="35">
        <v>29</v>
      </c>
      <c r="BN389" s="14" t="s">
        <v>2231</v>
      </c>
      <c r="BQ389" s="14">
        <v>0.56399999999999995</v>
      </c>
      <c r="BU389" s="14">
        <v>0.09</v>
      </c>
      <c r="CC389" s="14">
        <v>-0.28000000000000003</v>
      </c>
      <c r="CG389" s="14">
        <v>0.432</v>
      </c>
      <c r="CW389" s="14" t="s">
        <v>334</v>
      </c>
      <c r="CX389" s="14" t="s">
        <v>335</v>
      </c>
      <c r="CY389" s="14">
        <v>2023</v>
      </c>
      <c r="CZ389" s="36" t="s">
        <v>330</v>
      </c>
      <c r="DA389" s="14" t="s">
        <v>336</v>
      </c>
      <c r="DB389" s="14">
        <v>13</v>
      </c>
      <c r="DC389" s="14">
        <v>5</v>
      </c>
      <c r="DD389" s="14" t="s">
        <v>337</v>
      </c>
      <c r="DE389" s="14" t="s">
        <v>338</v>
      </c>
    </row>
    <row r="390" spans="1:109">
      <c r="A390" s="14" t="s">
        <v>2122</v>
      </c>
      <c r="B390" s="14" t="s">
        <v>1715</v>
      </c>
      <c r="C390" s="14" t="s">
        <v>339</v>
      </c>
      <c r="D390" s="14" t="s">
        <v>831</v>
      </c>
      <c r="E390" s="14" t="s">
        <v>673</v>
      </c>
      <c r="F390" s="14" t="s">
        <v>686</v>
      </c>
      <c r="H390" s="14" t="s">
        <v>712</v>
      </c>
      <c r="I390" s="14" t="s">
        <v>3124</v>
      </c>
      <c r="J390" s="14" t="s">
        <v>585</v>
      </c>
      <c r="K390" s="14" t="s">
        <v>4030</v>
      </c>
      <c r="L390" s="14" t="s">
        <v>641</v>
      </c>
      <c r="M390" s="14">
        <v>10</v>
      </c>
      <c r="Q390" s="14">
        <v>50</v>
      </c>
      <c r="R390" s="14">
        <v>11.31</v>
      </c>
      <c r="V390" s="14">
        <v>6</v>
      </c>
      <c r="W390" s="14">
        <f t="shared" si="38"/>
        <v>0.6</v>
      </c>
      <c r="X390" s="14">
        <v>38.4</v>
      </c>
      <c r="Y390" s="14">
        <v>5.97</v>
      </c>
      <c r="AG390" s="35">
        <v>14</v>
      </c>
      <c r="AH390" s="35">
        <v>7</v>
      </c>
      <c r="AI390" s="35">
        <v>29</v>
      </c>
      <c r="BN390" s="14" t="s">
        <v>2231</v>
      </c>
      <c r="BQ390" s="14">
        <v>0.628</v>
      </c>
      <c r="BU390" s="14">
        <v>5.1999999999999998E-2</v>
      </c>
      <c r="CC390" s="14">
        <v>-0.73499999999999999</v>
      </c>
      <c r="CG390" s="14">
        <v>1.4999999999999999E-2</v>
      </c>
      <c r="CW390" s="14" t="s">
        <v>334</v>
      </c>
      <c r="CX390" s="14" t="s">
        <v>335</v>
      </c>
      <c r="CY390" s="14">
        <v>2023</v>
      </c>
      <c r="CZ390" s="36" t="s">
        <v>330</v>
      </c>
      <c r="DA390" s="14" t="s">
        <v>336</v>
      </c>
      <c r="DB390" s="14">
        <v>13</v>
      </c>
      <c r="DC390" s="14">
        <v>5</v>
      </c>
      <c r="DD390" s="14" t="s">
        <v>337</v>
      </c>
      <c r="DE390" s="14" t="s">
        <v>338</v>
      </c>
    </row>
    <row r="391" spans="1:109">
      <c r="A391" s="14" t="s">
        <v>2122</v>
      </c>
      <c r="B391" s="14" t="s">
        <v>1715</v>
      </c>
      <c r="C391" s="14" t="s">
        <v>339</v>
      </c>
      <c r="D391" s="14" t="s">
        <v>831</v>
      </c>
      <c r="E391" s="14" t="s">
        <v>672</v>
      </c>
      <c r="F391" s="14" t="s">
        <v>2265</v>
      </c>
      <c r="H391" s="14" t="s">
        <v>712</v>
      </c>
      <c r="I391" s="14" t="s">
        <v>3124</v>
      </c>
      <c r="J391" s="14" t="s">
        <v>4115</v>
      </c>
      <c r="L391" s="14" t="s">
        <v>903</v>
      </c>
      <c r="M391" s="14">
        <v>10</v>
      </c>
      <c r="Q391" s="14">
        <v>50</v>
      </c>
      <c r="R391" s="14">
        <v>11.31</v>
      </c>
      <c r="V391" s="14">
        <v>6</v>
      </c>
      <c r="W391" s="14">
        <f t="shared" si="38"/>
        <v>0.6</v>
      </c>
      <c r="X391" s="14">
        <v>38.4</v>
      </c>
      <c r="Y391" s="14">
        <v>5.97</v>
      </c>
      <c r="AG391" s="35">
        <v>14</v>
      </c>
      <c r="AH391" s="35">
        <v>7</v>
      </c>
      <c r="AI391" s="35">
        <v>29</v>
      </c>
      <c r="BN391" s="14" t="s">
        <v>2231</v>
      </c>
      <c r="BQ391" s="14">
        <v>-0.111</v>
      </c>
      <c r="BU391" s="14">
        <v>0.76100000000000001</v>
      </c>
      <c r="CC391" s="14">
        <v>-0.161</v>
      </c>
      <c r="CG391" s="14">
        <v>0.65700000000000003</v>
      </c>
      <c r="CW391" s="14" t="s">
        <v>334</v>
      </c>
      <c r="CX391" s="14" t="s">
        <v>335</v>
      </c>
      <c r="CY391" s="14">
        <v>2023</v>
      </c>
      <c r="CZ391" s="36" t="s">
        <v>330</v>
      </c>
      <c r="DA391" s="14" t="s">
        <v>336</v>
      </c>
      <c r="DB391" s="14">
        <v>13</v>
      </c>
      <c r="DC391" s="14">
        <v>5</v>
      </c>
      <c r="DD391" s="14" t="s">
        <v>337</v>
      </c>
      <c r="DE391" s="14" t="s">
        <v>338</v>
      </c>
    </row>
    <row r="392" spans="1:109">
      <c r="A392" s="14" t="s">
        <v>2122</v>
      </c>
      <c r="B392" s="14" t="s">
        <v>1715</v>
      </c>
      <c r="C392" s="14" t="s">
        <v>339</v>
      </c>
      <c r="D392" s="14" t="s">
        <v>831</v>
      </c>
      <c r="E392" s="14" t="s">
        <v>672</v>
      </c>
      <c r="F392" s="14" t="s">
        <v>675</v>
      </c>
      <c r="H392" s="14" t="s">
        <v>712</v>
      </c>
      <c r="I392" s="14" t="s">
        <v>3124</v>
      </c>
      <c r="J392" s="14" t="s">
        <v>585</v>
      </c>
      <c r="K392" s="14" t="s">
        <v>4031</v>
      </c>
      <c r="L392" s="14" t="s">
        <v>639</v>
      </c>
      <c r="M392" s="14">
        <v>10</v>
      </c>
      <c r="Q392" s="14">
        <v>50</v>
      </c>
      <c r="R392" s="14">
        <v>11.31</v>
      </c>
      <c r="V392" s="14">
        <v>6</v>
      </c>
      <c r="W392" s="14">
        <f t="shared" si="38"/>
        <v>0.6</v>
      </c>
      <c r="X392" s="14">
        <v>38.4</v>
      </c>
      <c r="Y392" s="14">
        <v>5.97</v>
      </c>
      <c r="AG392" s="35">
        <v>14</v>
      </c>
      <c r="AH392" s="35">
        <v>7</v>
      </c>
      <c r="AI392" s="35">
        <v>29</v>
      </c>
      <c r="BN392" s="14" t="s">
        <v>2231</v>
      </c>
      <c r="BQ392" s="14">
        <v>0.62</v>
      </c>
      <c r="BU392" s="14">
        <v>5.6000000000000001E-2</v>
      </c>
      <c r="CC392" s="14">
        <v>-0.44400000000000001</v>
      </c>
      <c r="CG392" s="14">
        <v>0.19800000000000001</v>
      </c>
      <c r="CW392" s="14" t="s">
        <v>334</v>
      </c>
      <c r="CX392" s="14" t="s">
        <v>335</v>
      </c>
      <c r="CY392" s="14">
        <v>2023</v>
      </c>
      <c r="CZ392" s="36" t="s">
        <v>330</v>
      </c>
      <c r="DA392" s="14" t="s">
        <v>336</v>
      </c>
      <c r="DB392" s="14">
        <v>13</v>
      </c>
      <c r="DC392" s="14">
        <v>5</v>
      </c>
      <c r="DD392" s="14" t="s">
        <v>337</v>
      </c>
      <c r="DE392" s="14" t="s">
        <v>338</v>
      </c>
    </row>
    <row r="393" spans="1:109">
      <c r="A393" s="14" t="s">
        <v>2122</v>
      </c>
      <c r="B393" s="14" t="s">
        <v>1715</v>
      </c>
      <c r="C393" s="14" t="s">
        <v>339</v>
      </c>
      <c r="D393" s="14" t="s">
        <v>831</v>
      </c>
      <c r="E393" s="14" t="s">
        <v>672</v>
      </c>
      <c r="F393" s="14" t="s">
        <v>686</v>
      </c>
      <c r="H393" s="14" t="s">
        <v>712</v>
      </c>
      <c r="I393" s="14" t="s">
        <v>3124</v>
      </c>
      <c r="J393" s="14" t="s">
        <v>585</v>
      </c>
      <c r="K393" s="14" t="s">
        <v>4030</v>
      </c>
      <c r="L393" s="14" t="s">
        <v>641</v>
      </c>
      <c r="M393" s="14">
        <v>10</v>
      </c>
      <c r="Q393" s="14">
        <v>50</v>
      </c>
      <c r="R393" s="14">
        <v>11.31</v>
      </c>
      <c r="V393" s="14">
        <v>6</v>
      </c>
      <c r="W393" s="14">
        <f t="shared" si="38"/>
        <v>0.6</v>
      </c>
      <c r="X393" s="14">
        <v>38.4</v>
      </c>
      <c r="Y393" s="14">
        <v>5.97</v>
      </c>
      <c r="AG393" s="35">
        <v>14</v>
      </c>
      <c r="AH393" s="35">
        <v>7</v>
      </c>
      <c r="AI393" s="35">
        <v>29</v>
      </c>
      <c r="BN393" s="14" t="s">
        <v>2231</v>
      </c>
      <c r="BQ393" s="14">
        <v>0.52700000000000002</v>
      </c>
      <c r="BU393" s="14">
        <v>0.11700000000000001</v>
      </c>
      <c r="CC393" s="14">
        <v>-0.64300000000000002</v>
      </c>
      <c r="CG393" s="14">
        <v>8.5999999999999993E-2</v>
      </c>
      <c r="CW393" s="14" t="s">
        <v>334</v>
      </c>
      <c r="CX393" s="14" t="s">
        <v>335</v>
      </c>
      <c r="CY393" s="14">
        <v>2023</v>
      </c>
      <c r="CZ393" s="36" t="s">
        <v>330</v>
      </c>
      <c r="DA393" s="14" t="s">
        <v>336</v>
      </c>
      <c r="DB393" s="14">
        <v>13</v>
      </c>
      <c r="DC393" s="14">
        <v>5</v>
      </c>
      <c r="DD393" s="14" t="s">
        <v>337</v>
      </c>
      <c r="DE393" s="14" t="s">
        <v>338</v>
      </c>
    </row>
    <row r="394" spans="1:109" ht="20">
      <c r="A394" s="13" t="s">
        <v>3392</v>
      </c>
      <c r="B394" s="13"/>
      <c r="C394" s="13" t="s">
        <v>3321</v>
      </c>
      <c r="D394" s="14" t="s">
        <v>831</v>
      </c>
      <c r="E394" s="13" t="s">
        <v>673</v>
      </c>
      <c r="F394" s="13" t="s">
        <v>3801</v>
      </c>
      <c r="G394" s="13"/>
      <c r="H394" s="14" t="s">
        <v>712</v>
      </c>
      <c r="I394" s="13" t="s">
        <v>3802</v>
      </c>
      <c r="J394" s="13" t="s">
        <v>778</v>
      </c>
      <c r="K394" s="13"/>
      <c r="L394" s="13" t="s">
        <v>3803</v>
      </c>
      <c r="M394" s="13">
        <v>62</v>
      </c>
      <c r="N394" s="13"/>
      <c r="O394" s="15"/>
      <c r="P394" s="13">
        <v>20</v>
      </c>
      <c r="Q394" s="13">
        <v>53.7</v>
      </c>
      <c r="R394" s="13">
        <v>14.7</v>
      </c>
      <c r="S394" s="13"/>
      <c r="T394" s="13"/>
      <c r="U394" s="13"/>
      <c r="V394" s="13">
        <v>38</v>
      </c>
      <c r="W394" s="2">
        <f t="shared" si="38"/>
        <v>0.61290322580645162</v>
      </c>
      <c r="X394" s="13">
        <v>38.700000000000003</v>
      </c>
      <c r="Y394" s="13">
        <v>8.1</v>
      </c>
      <c r="Z394" s="13"/>
      <c r="AA394" s="13"/>
      <c r="AB394" s="13"/>
      <c r="AC394" s="13">
        <v>55</v>
      </c>
      <c r="AD394" s="13">
        <f>AC394/M394</f>
        <v>0.88709677419354838</v>
      </c>
      <c r="AE394" s="13">
        <v>19.2</v>
      </c>
      <c r="AF394" s="13">
        <v>22.2</v>
      </c>
      <c r="AG394" s="13"/>
      <c r="AH394" s="13"/>
      <c r="AI394" s="13"/>
      <c r="AJ394" s="13"/>
      <c r="AK394" s="13"/>
      <c r="AL394" s="13"/>
      <c r="AM394" s="13"/>
      <c r="AN394" s="13"/>
      <c r="AO394" s="13"/>
      <c r="AP394" s="13"/>
      <c r="AQ394" s="13"/>
      <c r="AR394" s="13"/>
      <c r="AS394" s="13"/>
      <c r="AT394" s="13"/>
      <c r="AV394" s="13"/>
      <c r="AW394" s="13"/>
      <c r="AX394" s="13"/>
      <c r="AY394" s="13"/>
      <c r="AZ394" s="13"/>
      <c r="BA394" s="16"/>
      <c r="BB394" s="13"/>
      <c r="BC394" s="13"/>
      <c r="BD394" s="13"/>
      <c r="BE394" s="16"/>
      <c r="BF394" s="13"/>
      <c r="BG394" s="13"/>
      <c r="BH394" s="13"/>
      <c r="BI394" s="13"/>
      <c r="BJ394" s="16"/>
      <c r="BK394" s="13"/>
      <c r="BL394" s="13"/>
      <c r="BM394" s="13"/>
      <c r="BN394" s="16" t="s">
        <v>2552</v>
      </c>
      <c r="BO394" s="13"/>
      <c r="BP394" s="13"/>
      <c r="BQ394" s="13">
        <v>-0.26</v>
      </c>
      <c r="BR394" s="13"/>
      <c r="BS394" s="13"/>
      <c r="BT394" s="13"/>
      <c r="BU394" s="13">
        <v>4.3999999999999997E-2</v>
      </c>
      <c r="BV394" s="13"/>
      <c r="BW394" s="13"/>
      <c r="BX394" s="13"/>
      <c r="BY394" s="13"/>
      <c r="BZ394" s="13"/>
      <c r="CA394" s="13"/>
      <c r="CB394" s="13"/>
      <c r="CC394" s="13">
        <v>0.06</v>
      </c>
      <c r="CD394" s="13"/>
      <c r="CE394" s="13"/>
      <c r="CF394" s="13"/>
      <c r="CG394" s="13">
        <v>0.625</v>
      </c>
      <c r="CH394" s="13"/>
      <c r="CI394" s="13"/>
      <c r="CJ394" s="13"/>
      <c r="CK394" s="13"/>
      <c r="CL394" s="13"/>
      <c r="CM394" s="13"/>
      <c r="CN394" s="13"/>
      <c r="CO394" s="13"/>
      <c r="CP394" s="13"/>
      <c r="CQ394" s="13"/>
      <c r="CR394" s="13"/>
      <c r="CS394" s="13"/>
      <c r="CT394" s="13"/>
      <c r="CU394" s="13"/>
      <c r="CV394" s="13" t="s">
        <v>3804</v>
      </c>
      <c r="CW394" s="13" t="s">
        <v>3522</v>
      </c>
      <c r="CX394" s="13" t="s">
        <v>3523</v>
      </c>
      <c r="CY394" s="13">
        <v>2024</v>
      </c>
      <c r="CZ394" s="13" t="s">
        <v>162</v>
      </c>
      <c r="DA394" s="13" t="s">
        <v>19</v>
      </c>
      <c r="DB394" s="13">
        <v>31</v>
      </c>
      <c r="DC394" s="13">
        <v>12</v>
      </c>
      <c r="DD394" s="13" t="s">
        <v>3524</v>
      </c>
      <c r="DE394" s="13" t="s">
        <v>3247</v>
      </c>
    </row>
    <row r="395" spans="1:109" ht="20">
      <c r="A395" s="13" t="s">
        <v>3393</v>
      </c>
      <c r="B395" s="13"/>
      <c r="C395" s="13" t="s">
        <v>3322</v>
      </c>
      <c r="D395" s="14" t="s">
        <v>898</v>
      </c>
      <c r="E395" s="13" t="s">
        <v>672</v>
      </c>
      <c r="F395" s="13" t="s">
        <v>675</v>
      </c>
      <c r="G395" s="13"/>
      <c r="H395" s="14" t="s">
        <v>584</v>
      </c>
      <c r="I395" s="13" t="s">
        <v>3805</v>
      </c>
      <c r="J395" s="13" t="s">
        <v>652</v>
      </c>
      <c r="K395" s="13"/>
      <c r="L395" s="13"/>
      <c r="M395" s="13">
        <v>189</v>
      </c>
      <c r="N395" s="13"/>
      <c r="O395" s="15"/>
      <c r="P395" s="13">
        <v>8</v>
      </c>
      <c r="Q395" s="13"/>
      <c r="R395" s="13"/>
      <c r="S395" s="13"/>
      <c r="T395" s="13"/>
      <c r="U395" s="13"/>
      <c r="V395" s="13"/>
      <c r="W395" s="2"/>
      <c r="X395" s="13">
        <v>31</v>
      </c>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V395" s="13"/>
      <c r="AW395" s="13"/>
      <c r="AX395" s="13"/>
      <c r="AY395" s="13"/>
      <c r="AZ395" s="13"/>
      <c r="BA395" s="16"/>
      <c r="BB395" s="13"/>
      <c r="BC395" s="13"/>
      <c r="BD395" s="13"/>
      <c r="BE395" s="16"/>
      <c r="BF395" s="13"/>
      <c r="BG395" s="13"/>
      <c r="BH395" s="13"/>
      <c r="BI395" s="13"/>
      <c r="BJ395" s="16"/>
      <c r="BK395" s="13"/>
      <c r="BL395" s="13"/>
      <c r="BM395" s="13"/>
      <c r="BN395" s="16"/>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t="s">
        <v>3806</v>
      </c>
      <c r="CK395" s="13"/>
      <c r="CL395" s="13"/>
      <c r="CM395" s="13"/>
      <c r="CN395" s="13"/>
      <c r="CO395" s="13"/>
      <c r="CP395" s="13"/>
      <c r="CQ395" s="13"/>
      <c r="CR395" s="13"/>
      <c r="CS395" s="13"/>
      <c r="CT395" s="13"/>
      <c r="CU395" s="13"/>
      <c r="CV395" s="13"/>
      <c r="CW395" s="13" t="s">
        <v>3525</v>
      </c>
      <c r="CX395" s="13" t="s">
        <v>3526</v>
      </c>
      <c r="CY395" s="13">
        <v>2024</v>
      </c>
      <c r="CZ395" s="13" t="s">
        <v>12</v>
      </c>
      <c r="DA395" s="13" t="s">
        <v>1384</v>
      </c>
      <c r="DB395" s="13">
        <v>69</v>
      </c>
      <c r="DC395" s="13">
        <v>6</v>
      </c>
      <c r="DD395" s="13" t="s">
        <v>3527</v>
      </c>
      <c r="DE395" s="13" t="s">
        <v>3248</v>
      </c>
    </row>
    <row r="396" spans="1:109">
      <c r="A396" s="14" t="s">
        <v>1857</v>
      </c>
      <c r="C396" s="14" t="s">
        <v>1360</v>
      </c>
      <c r="D396" s="14" t="s">
        <v>4179</v>
      </c>
      <c r="E396" s="29" t="s">
        <v>673</v>
      </c>
      <c r="F396" s="29" t="s">
        <v>2337</v>
      </c>
      <c r="M396" s="14">
        <v>11377</v>
      </c>
      <c r="CW396" s="14" t="s">
        <v>1356</v>
      </c>
      <c r="CX396" s="14" t="s">
        <v>1357</v>
      </c>
      <c r="CY396" s="14">
        <v>2020</v>
      </c>
      <c r="CZ396" s="36" t="s">
        <v>44</v>
      </c>
      <c r="DA396" s="14" t="s">
        <v>64</v>
      </c>
      <c r="DB396" s="14">
        <v>21</v>
      </c>
      <c r="DC396" s="14">
        <v>45481</v>
      </c>
      <c r="DD396" s="14" t="s">
        <v>1358</v>
      </c>
      <c r="DE396" s="14" t="s">
        <v>1359</v>
      </c>
    </row>
    <row r="397" spans="1:109">
      <c r="A397" s="14" t="s">
        <v>1856</v>
      </c>
      <c r="C397" s="14" t="s">
        <v>1355</v>
      </c>
      <c r="D397" s="14" t="s">
        <v>4179</v>
      </c>
      <c r="F397" s="14" t="s">
        <v>777</v>
      </c>
      <c r="J397" s="14" t="s">
        <v>2624</v>
      </c>
      <c r="M397" s="14">
        <v>281</v>
      </c>
      <c r="CW397" s="14" t="s">
        <v>1350</v>
      </c>
      <c r="CX397" s="14" t="s">
        <v>1351</v>
      </c>
      <c r="CY397" s="14">
        <v>2023</v>
      </c>
      <c r="CZ397" s="36" t="s">
        <v>25</v>
      </c>
      <c r="DA397" s="14" t="s">
        <v>1352</v>
      </c>
      <c r="DB397" s="14">
        <v>194</v>
      </c>
      <c r="DD397" s="14" t="s">
        <v>1353</v>
      </c>
      <c r="DE397" s="14" t="s">
        <v>1354</v>
      </c>
    </row>
    <row r="398" spans="1:109" ht="20">
      <c r="A398" s="13" t="s">
        <v>3394</v>
      </c>
      <c r="B398" s="13"/>
      <c r="C398" s="13" t="s">
        <v>3323</v>
      </c>
      <c r="D398" s="14" t="s">
        <v>830</v>
      </c>
      <c r="E398" s="13" t="s">
        <v>674</v>
      </c>
      <c r="F398" s="13"/>
      <c r="G398" s="13" t="s">
        <v>3810</v>
      </c>
      <c r="H398" s="14" t="s">
        <v>584</v>
      </c>
      <c r="I398" s="13" t="s">
        <v>3807</v>
      </c>
      <c r="J398" s="13" t="s">
        <v>3808</v>
      </c>
      <c r="K398" s="13"/>
      <c r="L398" s="13"/>
      <c r="M398" s="13">
        <v>243</v>
      </c>
      <c r="N398" s="13"/>
      <c r="O398" s="15"/>
      <c r="P398" s="13"/>
      <c r="Q398" s="13"/>
      <c r="R398" s="13"/>
      <c r="S398" s="13"/>
      <c r="T398" s="13"/>
      <c r="U398" s="13"/>
      <c r="V398" s="13"/>
      <c r="W398" s="2"/>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V398" s="13"/>
      <c r="AW398" s="13"/>
      <c r="AX398" s="13"/>
      <c r="AY398" s="13"/>
      <c r="AZ398" s="13"/>
      <c r="BA398" s="16"/>
      <c r="BB398" s="13"/>
      <c r="BC398" s="13"/>
      <c r="BD398" s="13"/>
      <c r="BE398" s="16"/>
      <c r="BF398" s="13"/>
      <c r="BG398" s="13"/>
      <c r="BH398" s="13"/>
      <c r="BI398" s="13"/>
      <c r="BJ398" s="16"/>
      <c r="BK398" s="13"/>
      <c r="BL398" s="13"/>
      <c r="BM398" s="13"/>
      <c r="BN398" s="16"/>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t="s">
        <v>3528</v>
      </c>
      <c r="CX398" s="13" t="s">
        <v>3529</v>
      </c>
      <c r="CY398" s="13">
        <v>2025</v>
      </c>
      <c r="CZ398" s="21">
        <v>45709</v>
      </c>
      <c r="DA398" s="13" t="s">
        <v>120</v>
      </c>
      <c r="DB398" s="13"/>
      <c r="DC398" s="13"/>
      <c r="DD398" s="13"/>
      <c r="DE398" s="13" t="s">
        <v>3249</v>
      </c>
    </row>
    <row r="399" spans="1:109" ht="20">
      <c r="A399" s="13" t="s">
        <v>3395</v>
      </c>
      <c r="B399" s="13"/>
      <c r="C399" s="13" t="s">
        <v>3324</v>
      </c>
      <c r="D399" s="14" t="s">
        <v>3811</v>
      </c>
      <c r="E399" s="13" t="s">
        <v>674</v>
      </c>
      <c r="F399" s="13"/>
      <c r="G399" s="13" t="s">
        <v>3815</v>
      </c>
      <c r="H399" s="14" t="s">
        <v>3813</v>
      </c>
      <c r="I399" s="13" t="s">
        <v>3812</v>
      </c>
      <c r="J399" s="13" t="s">
        <v>3814</v>
      </c>
      <c r="K399" s="13"/>
      <c r="L399" s="13"/>
      <c r="M399" s="13">
        <v>20806</v>
      </c>
      <c r="N399" s="13"/>
      <c r="O399" s="15"/>
      <c r="P399" s="13"/>
      <c r="Q399" s="13"/>
      <c r="R399" s="13"/>
      <c r="S399" s="13"/>
      <c r="T399" s="13"/>
      <c r="U399" s="13"/>
      <c r="V399" s="13"/>
      <c r="W399" s="2"/>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6"/>
      <c r="BB399" s="13"/>
      <c r="BC399" s="13"/>
      <c r="BD399" s="13"/>
      <c r="BE399" s="16"/>
      <c r="BF399" s="13"/>
      <c r="BG399" s="13"/>
      <c r="BH399" s="13"/>
      <c r="BI399" s="13"/>
      <c r="BJ399" s="16"/>
      <c r="BK399" s="13"/>
      <c r="BL399" s="13"/>
      <c r="BM399" s="13"/>
      <c r="BN399" s="16"/>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t="s">
        <v>3530</v>
      </c>
      <c r="CX399" s="13" t="s">
        <v>3531</v>
      </c>
      <c r="CY399" s="13">
        <v>2025</v>
      </c>
      <c r="CZ399" s="21">
        <v>45719</v>
      </c>
      <c r="DA399" s="13" t="s">
        <v>377</v>
      </c>
      <c r="DB399" s="13">
        <v>25</v>
      </c>
      <c r="DC399" s="13">
        <v>1</v>
      </c>
      <c r="DD399" s="13">
        <v>82</v>
      </c>
      <c r="DE399" s="13" t="s">
        <v>3250</v>
      </c>
    </row>
    <row r="400" spans="1:109" ht="20">
      <c r="A400" s="13" t="s">
        <v>3396</v>
      </c>
      <c r="B400" s="13"/>
      <c r="C400" s="13" t="s">
        <v>3325</v>
      </c>
      <c r="D400" s="14" t="s">
        <v>3816</v>
      </c>
      <c r="E400" s="13" t="s">
        <v>672</v>
      </c>
      <c r="F400" s="13" t="s">
        <v>3820</v>
      </c>
      <c r="G400" s="13"/>
      <c r="H400" s="14" t="s">
        <v>703</v>
      </c>
      <c r="I400" s="13" t="s">
        <v>3146</v>
      </c>
      <c r="J400" s="13" t="s">
        <v>2342</v>
      </c>
      <c r="K400" s="13" t="s">
        <v>3818</v>
      </c>
      <c r="L400" s="13" t="s">
        <v>641</v>
      </c>
      <c r="M400" s="13">
        <v>37</v>
      </c>
      <c r="N400" s="13"/>
      <c r="O400" s="15"/>
      <c r="P400" s="13"/>
      <c r="Q400" s="13">
        <v>52.08</v>
      </c>
      <c r="R400" s="13">
        <v>11.56</v>
      </c>
      <c r="S400" s="13"/>
      <c r="T400" s="13"/>
      <c r="U400" s="13"/>
      <c r="V400" s="13">
        <v>20</v>
      </c>
      <c r="W400" s="2">
        <f>V400/M400</f>
        <v>0.54054054054054057</v>
      </c>
      <c r="X400" s="13">
        <v>40.97</v>
      </c>
      <c r="Y400" s="13">
        <v>4.83</v>
      </c>
      <c r="Z400" s="13"/>
      <c r="AA400" s="13"/>
      <c r="AB400" s="13"/>
      <c r="AC400" s="13">
        <v>29</v>
      </c>
      <c r="AD400" s="13">
        <f t="shared" ref="AD400:AD421" si="44">AC400/M400</f>
        <v>0.78378378378378377</v>
      </c>
      <c r="AE400" s="13">
        <v>10.71</v>
      </c>
      <c r="AF400" s="13">
        <v>6.53</v>
      </c>
      <c r="AG400" s="13"/>
      <c r="AH400" s="13"/>
      <c r="AI400" s="13"/>
      <c r="AJ400" s="13"/>
      <c r="AK400" s="13"/>
      <c r="AL400" s="13"/>
      <c r="AM400" s="13"/>
      <c r="AN400" s="13"/>
      <c r="AO400" s="13"/>
      <c r="AP400" s="13"/>
      <c r="AQ400" s="13"/>
      <c r="AR400" s="13"/>
      <c r="AS400" s="13"/>
      <c r="AT400" s="13"/>
      <c r="AU400" s="14" t="s">
        <v>3832</v>
      </c>
      <c r="AV400" s="13"/>
      <c r="AW400" s="13"/>
      <c r="AX400" s="13"/>
      <c r="AY400" s="13"/>
      <c r="AZ400" s="13"/>
      <c r="BA400" s="16" t="s">
        <v>2674</v>
      </c>
      <c r="BB400" s="13">
        <v>1.66</v>
      </c>
      <c r="BC400" s="13">
        <v>0.69</v>
      </c>
      <c r="BD400" s="13">
        <v>3.98</v>
      </c>
      <c r="BE400" s="16"/>
      <c r="BF400" s="13"/>
      <c r="BG400" s="13"/>
      <c r="BH400" s="13"/>
      <c r="BI400" s="13"/>
      <c r="BJ400" s="16"/>
      <c r="BK400" s="13"/>
      <c r="BL400" s="13"/>
      <c r="BM400" s="13"/>
      <c r="BN400" s="16" t="s">
        <v>2231</v>
      </c>
      <c r="BO400" s="13" t="s">
        <v>2490</v>
      </c>
      <c r="BP400" s="13"/>
      <c r="BQ400" s="13">
        <v>0.19</v>
      </c>
      <c r="BR400" s="13"/>
      <c r="BS400" s="13"/>
      <c r="BT400" s="13"/>
      <c r="BU400" s="13">
        <v>0.26</v>
      </c>
      <c r="BV400" s="13"/>
      <c r="BW400" s="13"/>
      <c r="BX400" s="13"/>
      <c r="BY400" s="13"/>
      <c r="BZ400" s="13"/>
      <c r="CA400" s="13"/>
      <c r="CB400" s="13"/>
      <c r="CC400" s="13">
        <v>-0.16</v>
      </c>
      <c r="CD400" s="13"/>
      <c r="CE400" s="13"/>
      <c r="CF400" s="13"/>
      <c r="CG400" s="13">
        <v>0.34</v>
      </c>
      <c r="CH400" s="13"/>
      <c r="CI400" s="13"/>
      <c r="CJ400" s="13" t="s">
        <v>3836</v>
      </c>
      <c r="CK400" s="13">
        <v>0.26</v>
      </c>
      <c r="CL400" s="13"/>
      <c r="CM400" s="13"/>
      <c r="CN400" s="13">
        <v>0.12</v>
      </c>
      <c r="CO400" s="13"/>
      <c r="CP400" s="13"/>
      <c r="CQ400" s="13"/>
      <c r="CR400" s="13"/>
      <c r="CS400" s="13"/>
      <c r="CT400" s="13"/>
      <c r="CU400" s="13"/>
      <c r="CV400" s="13" t="s">
        <v>3833</v>
      </c>
      <c r="CW400" s="13" t="s">
        <v>3532</v>
      </c>
      <c r="CX400" s="13" t="s">
        <v>3533</v>
      </c>
      <c r="CY400" s="13">
        <v>2024</v>
      </c>
      <c r="CZ400" s="21">
        <v>45897</v>
      </c>
      <c r="DA400" s="13" t="s">
        <v>1080</v>
      </c>
      <c r="DB400" s="13">
        <v>14</v>
      </c>
      <c r="DC400" s="13">
        <v>9</v>
      </c>
      <c r="DD400" s="13"/>
      <c r="DE400" s="13" t="s">
        <v>3251</v>
      </c>
    </row>
    <row r="401" spans="1:109" ht="20">
      <c r="A401" s="13" t="s">
        <v>3396</v>
      </c>
      <c r="B401" s="13"/>
      <c r="C401" s="13" t="s">
        <v>3325</v>
      </c>
      <c r="D401" s="14" t="s">
        <v>3816</v>
      </c>
      <c r="E401" s="13" t="s">
        <v>672</v>
      </c>
      <c r="F401" s="13" t="s">
        <v>3821</v>
      </c>
      <c r="G401" s="13"/>
      <c r="H401" s="14" t="s">
        <v>703</v>
      </c>
      <c r="I401" s="13" t="s">
        <v>3146</v>
      </c>
      <c r="J401" s="13" t="s">
        <v>2342</v>
      </c>
      <c r="K401" s="13" t="s">
        <v>3818</v>
      </c>
      <c r="L401" s="13" t="s">
        <v>641</v>
      </c>
      <c r="M401" s="13">
        <v>37</v>
      </c>
      <c r="N401" s="13"/>
      <c r="O401" s="15"/>
      <c r="P401" s="13"/>
      <c r="Q401" s="13">
        <v>52.08</v>
      </c>
      <c r="R401" s="13">
        <v>11.56</v>
      </c>
      <c r="S401" s="13"/>
      <c r="T401" s="13"/>
      <c r="U401" s="13"/>
      <c r="V401" s="13">
        <v>20</v>
      </c>
      <c r="W401" s="2">
        <f>V401/M401</f>
        <v>0.54054054054054057</v>
      </c>
      <c r="X401" s="13">
        <v>40.97</v>
      </c>
      <c r="Y401" s="13">
        <v>4.83</v>
      </c>
      <c r="Z401" s="13"/>
      <c r="AA401" s="13"/>
      <c r="AB401" s="13"/>
      <c r="AC401" s="13">
        <v>29</v>
      </c>
      <c r="AD401" s="13">
        <f t="shared" si="44"/>
        <v>0.78378378378378377</v>
      </c>
      <c r="AE401" s="13">
        <v>10.71</v>
      </c>
      <c r="AF401" s="13">
        <v>6.53</v>
      </c>
      <c r="AG401" s="13"/>
      <c r="AH401" s="13"/>
      <c r="AI401" s="13"/>
      <c r="AJ401" s="13"/>
      <c r="AK401" s="13"/>
      <c r="AL401" s="13"/>
      <c r="AM401" s="13"/>
      <c r="AN401" s="13"/>
      <c r="AO401" s="13"/>
      <c r="AP401" s="13"/>
      <c r="AQ401" s="13"/>
      <c r="AR401" s="13"/>
      <c r="AS401" s="13"/>
      <c r="AT401" s="13"/>
      <c r="AU401" s="14" t="s">
        <v>3832</v>
      </c>
      <c r="AV401" s="13"/>
      <c r="AW401" s="13"/>
      <c r="AX401" s="13"/>
      <c r="AY401" s="13"/>
      <c r="AZ401" s="13"/>
      <c r="BA401" s="16" t="s">
        <v>2674</v>
      </c>
      <c r="BB401" s="13">
        <v>1.34</v>
      </c>
      <c r="BC401" s="13">
        <v>0.56000000000000005</v>
      </c>
      <c r="BD401" s="13">
        <v>3.21</v>
      </c>
      <c r="BE401" s="16"/>
      <c r="BF401" s="13"/>
      <c r="BG401" s="13"/>
      <c r="BH401" s="13"/>
      <c r="BI401" s="13"/>
      <c r="BJ401" s="16"/>
      <c r="BK401" s="13"/>
      <c r="BL401" s="13"/>
      <c r="BM401" s="13"/>
      <c r="BN401" s="16" t="s">
        <v>2231</v>
      </c>
      <c r="BO401" s="13" t="s">
        <v>2490</v>
      </c>
      <c r="BP401" s="13"/>
      <c r="BQ401" s="13">
        <v>0.09</v>
      </c>
      <c r="BR401" s="13"/>
      <c r="BS401" s="13"/>
      <c r="BT401" s="13"/>
      <c r="BU401" s="13">
        <v>0.61</v>
      </c>
      <c r="BV401" s="13"/>
      <c r="BW401" s="13"/>
      <c r="BX401" s="13"/>
      <c r="BY401" s="13"/>
      <c r="BZ401" s="13"/>
      <c r="CA401" s="13"/>
      <c r="CB401" s="13"/>
      <c r="CC401" s="13">
        <v>0.04</v>
      </c>
      <c r="CD401" s="13"/>
      <c r="CE401" s="13"/>
      <c r="CF401" s="13"/>
      <c r="CG401" s="13">
        <v>0.98</v>
      </c>
      <c r="CH401" s="13"/>
      <c r="CI401" s="13"/>
      <c r="CJ401" s="13" t="s">
        <v>3836</v>
      </c>
      <c r="CK401" s="13">
        <v>-0.04</v>
      </c>
      <c r="CL401" s="13"/>
      <c r="CM401" s="13"/>
      <c r="CN401" s="13">
        <v>0.81</v>
      </c>
      <c r="CO401" s="13"/>
      <c r="CP401" s="13"/>
      <c r="CQ401" s="13"/>
      <c r="CR401" s="13"/>
      <c r="CS401" s="13"/>
      <c r="CT401" s="13"/>
      <c r="CU401" s="13"/>
      <c r="CV401" s="13" t="s">
        <v>3833</v>
      </c>
      <c r="CW401" s="13" t="s">
        <v>3532</v>
      </c>
      <c r="CX401" s="13" t="s">
        <v>3533</v>
      </c>
      <c r="CY401" s="13">
        <v>2024</v>
      </c>
      <c r="CZ401" s="21">
        <v>45897</v>
      </c>
      <c r="DA401" s="13" t="s">
        <v>1080</v>
      </c>
      <c r="DB401" s="13">
        <v>14</v>
      </c>
      <c r="DC401" s="13">
        <v>9</v>
      </c>
      <c r="DD401" s="13"/>
      <c r="DE401" s="13" t="s">
        <v>3251</v>
      </c>
    </row>
    <row r="402" spans="1:109" ht="20">
      <c r="A402" s="13" t="s">
        <v>3396</v>
      </c>
      <c r="B402" s="13"/>
      <c r="C402" s="13" t="s">
        <v>3325</v>
      </c>
      <c r="D402" s="14" t="s">
        <v>3816</v>
      </c>
      <c r="E402" s="13" t="s">
        <v>672</v>
      </c>
      <c r="F402" s="13" t="s">
        <v>3822</v>
      </c>
      <c r="G402" s="13"/>
      <c r="H402" s="14" t="s">
        <v>703</v>
      </c>
      <c r="I402" s="13" t="s">
        <v>3146</v>
      </c>
      <c r="J402" s="13" t="s">
        <v>2342</v>
      </c>
      <c r="K402" s="13" t="s">
        <v>3818</v>
      </c>
      <c r="L402" s="13" t="s">
        <v>641</v>
      </c>
      <c r="M402" s="13">
        <v>37</v>
      </c>
      <c r="N402" s="13"/>
      <c r="O402" s="15"/>
      <c r="P402" s="13"/>
      <c r="Q402" s="13">
        <v>52.08</v>
      </c>
      <c r="R402" s="13">
        <v>11.56</v>
      </c>
      <c r="S402" s="13"/>
      <c r="T402" s="13"/>
      <c r="U402" s="13"/>
      <c r="V402" s="13">
        <v>20</v>
      </c>
      <c r="W402" s="2">
        <f>V402/M402</f>
        <v>0.54054054054054057</v>
      </c>
      <c r="X402" s="13">
        <v>40.97</v>
      </c>
      <c r="Y402" s="13">
        <v>4.83</v>
      </c>
      <c r="Z402" s="13"/>
      <c r="AA402" s="13"/>
      <c r="AB402" s="13"/>
      <c r="AC402" s="13">
        <v>29</v>
      </c>
      <c r="AD402" s="13">
        <f t="shared" si="44"/>
        <v>0.78378378378378377</v>
      </c>
      <c r="AE402" s="13">
        <v>10.71</v>
      </c>
      <c r="AF402" s="13">
        <v>6.53</v>
      </c>
      <c r="AG402" s="13"/>
      <c r="AH402" s="13"/>
      <c r="AI402" s="13"/>
      <c r="AJ402" s="13"/>
      <c r="AK402" s="13"/>
      <c r="AL402" s="13"/>
      <c r="AM402" s="13"/>
      <c r="AN402" s="13"/>
      <c r="AO402" s="13"/>
      <c r="AP402" s="13"/>
      <c r="AQ402" s="13"/>
      <c r="AR402" s="13"/>
      <c r="AS402" s="13"/>
      <c r="AT402" s="13"/>
      <c r="AU402" s="14" t="s">
        <v>3832</v>
      </c>
      <c r="AV402" s="13"/>
      <c r="AW402" s="13"/>
      <c r="AX402" s="13"/>
      <c r="AY402" s="13"/>
      <c r="AZ402" s="13"/>
      <c r="BA402" s="16" t="s">
        <v>2674</v>
      </c>
      <c r="BB402" s="13">
        <v>1.24</v>
      </c>
      <c r="BC402" s="13">
        <v>0.52</v>
      </c>
      <c r="BD402" s="13">
        <v>2.99</v>
      </c>
      <c r="BE402" s="16"/>
      <c r="BF402" s="13"/>
      <c r="BG402" s="13"/>
      <c r="BH402" s="13"/>
      <c r="BI402" s="13"/>
      <c r="BJ402" s="16"/>
      <c r="BK402" s="13"/>
      <c r="BL402" s="13"/>
      <c r="BM402" s="13"/>
      <c r="BN402" s="16" t="s">
        <v>2231</v>
      </c>
      <c r="BO402" s="13" t="s">
        <v>2490</v>
      </c>
      <c r="BP402" s="13"/>
      <c r="BQ402" s="13">
        <v>-0.13</v>
      </c>
      <c r="BR402" s="13"/>
      <c r="BS402" s="13"/>
      <c r="BT402" s="13"/>
      <c r="BU402" s="13">
        <v>0.43</v>
      </c>
      <c r="BV402" s="13"/>
      <c r="BW402" s="13"/>
      <c r="BX402" s="13"/>
      <c r="BY402" s="13"/>
      <c r="BZ402" s="13"/>
      <c r="CA402" s="13"/>
      <c r="CB402" s="13"/>
      <c r="CC402" s="13">
        <v>0.03</v>
      </c>
      <c r="CD402" s="13"/>
      <c r="CE402" s="13"/>
      <c r="CF402" s="13"/>
      <c r="CG402" s="13">
        <v>0.87</v>
      </c>
      <c r="CH402" s="13"/>
      <c r="CI402" s="13"/>
      <c r="CJ402" s="13" t="s">
        <v>3836</v>
      </c>
      <c r="CK402" s="13">
        <v>0.03</v>
      </c>
      <c r="CL402" s="13"/>
      <c r="CM402" s="13"/>
      <c r="CN402" s="13">
        <v>0.84</v>
      </c>
      <c r="CO402" s="13"/>
      <c r="CP402" s="13"/>
      <c r="CQ402" s="13"/>
      <c r="CR402" s="13"/>
      <c r="CS402" s="13"/>
      <c r="CT402" s="13"/>
      <c r="CU402" s="13"/>
      <c r="CV402" s="13" t="s">
        <v>3833</v>
      </c>
      <c r="CW402" s="13" t="s">
        <v>3532</v>
      </c>
      <c r="CX402" s="13" t="s">
        <v>3533</v>
      </c>
      <c r="CY402" s="13">
        <v>2024</v>
      </c>
      <c r="CZ402" s="21">
        <v>45897</v>
      </c>
      <c r="DA402" s="13" t="s">
        <v>1080</v>
      </c>
      <c r="DB402" s="13">
        <v>14</v>
      </c>
      <c r="DC402" s="13">
        <v>9</v>
      </c>
      <c r="DD402" s="13"/>
      <c r="DE402" s="13" t="s">
        <v>3251</v>
      </c>
    </row>
    <row r="403" spans="1:109" ht="20">
      <c r="A403" s="13" t="s">
        <v>3396</v>
      </c>
      <c r="B403" s="13"/>
      <c r="C403" s="13" t="s">
        <v>3325</v>
      </c>
      <c r="D403" s="14" t="s">
        <v>3816</v>
      </c>
      <c r="E403" s="13" t="s">
        <v>672</v>
      </c>
      <c r="F403" s="13" t="s">
        <v>3830</v>
      </c>
      <c r="G403" s="13"/>
      <c r="H403" s="14" t="s">
        <v>703</v>
      </c>
      <c r="I403" s="13" t="s">
        <v>3146</v>
      </c>
      <c r="J403" s="13" t="s">
        <v>2342</v>
      </c>
      <c r="K403" s="13" t="s">
        <v>3818</v>
      </c>
      <c r="L403" s="13" t="s">
        <v>641</v>
      </c>
      <c r="M403" s="13">
        <v>37</v>
      </c>
      <c r="N403" s="13"/>
      <c r="O403" s="15"/>
      <c r="P403" s="13"/>
      <c r="Q403" s="13">
        <v>52.08</v>
      </c>
      <c r="R403" s="13">
        <v>11.56</v>
      </c>
      <c r="S403" s="13"/>
      <c r="T403" s="13"/>
      <c r="U403" s="13"/>
      <c r="V403" s="13">
        <v>20</v>
      </c>
      <c r="W403" s="2">
        <f>V403/M403</f>
        <v>0.54054054054054057</v>
      </c>
      <c r="X403" s="13">
        <v>40.97</v>
      </c>
      <c r="Y403" s="13">
        <v>4.83</v>
      </c>
      <c r="Z403" s="13"/>
      <c r="AA403" s="13"/>
      <c r="AB403" s="13"/>
      <c r="AC403" s="13">
        <v>29</v>
      </c>
      <c r="AD403" s="13">
        <f t="shared" si="44"/>
        <v>0.78378378378378377</v>
      </c>
      <c r="AE403" s="13">
        <v>10.71</v>
      </c>
      <c r="AF403" s="13">
        <v>6.53</v>
      </c>
      <c r="AG403" s="13"/>
      <c r="AH403" s="13"/>
      <c r="AI403" s="13"/>
      <c r="AJ403" s="13"/>
      <c r="AK403" s="13"/>
      <c r="AL403" s="13"/>
      <c r="AM403" s="13"/>
      <c r="AN403" s="13"/>
      <c r="AO403" s="13"/>
      <c r="AP403" s="13"/>
      <c r="AQ403" s="13"/>
      <c r="AR403" s="13"/>
      <c r="AS403" s="13"/>
      <c r="AT403" s="13"/>
      <c r="AU403" s="14" t="s">
        <v>3832</v>
      </c>
      <c r="AV403" s="13"/>
      <c r="AW403" s="13"/>
      <c r="AX403" s="13"/>
      <c r="AY403" s="13"/>
      <c r="AZ403" s="13"/>
      <c r="BA403" s="16" t="s">
        <v>2674</v>
      </c>
      <c r="BB403" s="13">
        <v>0.6</v>
      </c>
      <c r="BC403" s="13">
        <v>0.25</v>
      </c>
      <c r="BD403" s="13">
        <v>1.43</v>
      </c>
      <c r="BE403" s="16"/>
      <c r="BF403" s="13"/>
      <c r="BG403" s="13"/>
      <c r="BH403" s="13"/>
      <c r="BI403" s="13"/>
      <c r="BJ403" s="16"/>
      <c r="BK403" s="13"/>
      <c r="BL403" s="13"/>
      <c r="BM403" s="13"/>
      <c r="BN403" s="16" t="s">
        <v>2231</v>
      </c>
      <c r="BO403" s="13" t="s">
        <v>2490</v>
      </c>
      <c r="BP403" s="13"/>
      <c r="BQ403" s="13">
        <v>0.22</v>
      </c>
      <c r="BR403" s="13"/>
      <c r="BS403" s="13"/>
      <c r="BT403" s="13"/>
      <c r="BU403" s="13">
        <v>0.18</v>
      </c>
      <c r="BV403" s="13"/>
      <c r="BW403" s="13"/>
      <c r="BX403" s="13"/>
      <c r="BY403" s="13"/>
      <c r="BZ403" s="13"/>
      <c r="CA403" s="13"/>
      <c r="CB403" s="13"/>
      <c r="CC403" s="13">
        <v>-0.23</v>
      </c>
      <c r="CD403" s="13"/>
      <c r="CE403" s="13"/>
      <c r="CF403" s="13"/>
      <c r="CG403" s="13">
        <v>0.18</v>
      </c>
      <c r="CH403" s="13"/>
      <c r="CI403" s="13"/>
      <c r="CJ403" s="13" t="s">
        <v>3836</v>
      </c>
      <c r="CK403" s="13">
        <v>1E-3</v>
      </c>
      <c r="CL403" s="13"/>
      <c r="CM403" s="13"/>
      <c r="CN403" s="13">
        <v>1</v>
      </c>
      <c r="CO403" s="13"/>
      <c r="CP403" s="13"/>
      <c r="CQ403" s="13"/>
      <c r="CR403" s="13"/>
      <c r="CS403" s="13"/>
      <c r="CT403" s="13"/>
      <c r="CU403" s="13"/>
      <c r="CV403" s="13" t="s">
        <v>3833</v>
      </c>
      <c r="CW403" s="13" t="s">
        <v>3532</v>
      </c>
      <c r="CX403" s="13" t="s">
        <v>3533</v>
      </c>
      <c r="CY403" s="13">
        <v>2024</v>
      </c>
      <c r="CZ403" s="21">
        <v>45897</v>
      </c>
      <c r="DA403" s="13" t="s">
        <v>1080</v>
      </c>
      <c r="DB403" s="13">
        <v>14</v>
      </c>
      <c r="DC403" s="13">
        <v>9</v>
      </c>
      <c r="DD403" s="13"/>
      <c r="DE403" s="13" t="s">
        <v>3251</v>
      </c>
    </row>
    <row r="404" spans="1:109" ht="20">
      <c r="A404" s="13" t="s">
        <v>3396</v>
      </c>
      <c r="B404" s="13"/>
      <c r="C404" s="13" t="s">
        <v>3325</v>
      </c>
      <c r="D404" s="14" t="s">
        <v>3816</v>
      </c>
      <c r="E404" s="13" t="s">
        <v>672</v>
      </c>
      <c r="F404" s="13" t="s">
        <v>3823</v>
      </c>
      <c r="G404" s="13"/>
      <c r="H404" s="14" t="s">
        <v>703</v>
      </c>
      <c r="I404" s="13" t="s">
        <v>3146</v>
      </c>
      <c r="J404" s="13" t="s">
        <v>2342</v>
      </c>
      <c r="K404" s="13" t="s">
        <v>3818</v>
      </c>
      <c r="L404" s="13" t="s">
        <v>641</v>
      </c>
      <c r="M404" s="13">
        <v>33</v>
      </c>
      <c r="N404" s="13"/>
      <c r="O404" s="15"/>
      <c r="P404" s="13"/>
      <c r="Q404" s="13">
        <v>52.08</v>
      </c>
      <c r="R404" s="13">
        <v>11.56</v>
      </c>
      <c r="S404" s="13"/>
      <c r="T404" s="13"/>
      <c r="U404" s="13"/>
      <c r="V404" s="13"/>
      <c r="W404" s="2">
        <v>0.54100000000000004</v>
      </c>
      <c r="X404" s="13">
        <v>40.97</v>
      </c>
      <c r="Y404" s="13">
        <v>4.83</v>
      </c>
      <c r="Z404" s="13"/>
      <c r="AA404" s="13"/>
      <c r="AB404" s="13"/>
      <c r="AC404" s="13">
        <v>29</v>
      </c>
      <c r="AD404" s="13">
        <f t="shared" si="44"/>
        <v>0.87878787878787878</v>
      </c>
      <c r="AE404" s="13">
        <v>10.71</v>
      </c>
      <c r="AF404" s="13">
        <v>6.53</v>
      </c>
      <c r="AG404" s="13"/>
      <c r="AH404" s="13"/>
      <c r="AI404" s="13"/>
      <c r="AJ404" s="13"/>
      <c r="AK404" s="13"/>
      <c r="AL404" s="13"/>
      <c r="AM404" s="13"/>
      <c r="AN404" s="13"/>
      <c r="AO404" s="13"/>
      <c r="AP404" s="13"/>
      <c r="AQ404" s="13"/>
      <c r="AR404" s="13"/>
      <c r="AS404" s="13"/>
      <c r="AT404" s="13"/>
      <c r="AU404" s="14" t="s">
        <v>3832</v>
      </c>
      <c r="AV404" s="13"/>
      <c r="AW404" s="13"/>
      <c r="AX404" s="13"/>
      <c r="AY404" s="13"/>
      <c r="AZ404" s="13"/>
      <c r="BA404" s="16" t="s">
        <v>2674</v>
      </c>
      <c r="BB404" s="13">
        <v>3.24</v>
      </c>
      <c r="BC404" s="13">
        <v>1.28</v>
      </c>
      <c r="BD404" s="13">
        <v>8.19</v>
      </c>
      <c r="BE404" s="16"/>
      <c r="BF404" s="13"/>
      <c r="BG404" s="13"/>
      <c r="BH404" s="13"/>
      <c r="BI404" s="13"/>
      <c r="BJ404" s="16"/>
      <c r="BK404" s="13"/>
      <c r="BL404" s="13"/>
      <c r="BM404" s="13"/>
      <c r="BN404" s="16" t="s">
        <v>2231</v>
      </c>
      <c r="BO404" s="13" t="s">
        <v>2490</v>
      </c>
      <c r="BP404" s="13"/>
      <c r="BQ404" s="13">
        <v>0.25</v>
      </c>
      <c r="BR404" s="13"/>
      <c r="BS404" s="13"/>
      <c r="BT404" s="13"/>
      <c r="BU404" s="13">
        <v>0.16</v>
      </c>
      <c r="BV404" s="13"/>
      <c r="BW404" s="13"/>
      <c r="BX404" s="13"/>
      <c r="BY404" s="13"/>
      <c r="BZ404" s="13"/>
      <c r="CA404" s="13"/>
      <c r="CB404" s="13"/>
      <c r="CC404" s="13">
        <v>-0.21</v>
      </c>
      <c r="CD404" s="13"/>
      <c r="CE404" s="13"/>
      <c r="CF404" s="13"/>
      <c r="CG404" s="13">
        <v>0.25</v>
      </c>
      <c r="CH404" s="13"/>
      <c r="CI404" s="13"/>
      <c r="CJ404" s="13" t="s">
        <v>3836</v>
      </c>
      <c r="CK404" s="13">
        <v>0.32</v>
      </c>
      <c r="CL404" s="13"/>
      <c r="CM404" s="13"/>
      <c r="CN404" s="13">
        <v>7.0000000000000007E-2</v>
      </c>
      <c r="CO404" s="13"/>
      <c r="CP404" s="13"/>
      <c r="CQ404" s="13"/>
      <c r="CR404" s="13"/>
      <c r="CS404" s="13"/>
      <c r="CT404" s="13"/>
      <c r="CU404" s="13"/>
      <c r="CV404" s="13" t="s">
        <v>3833</v>
      </c>
      <c r="CW404" s="13" t="s">
        <v>3532</v>
      </c>
      <c r="CX404" s="13" t="s">
        <v>3533</v>
      </c>
      <c r="CY404" s="13">
        <v>2024</v>
      </c>
      <c r="CZ404" s="21">
        <v>45897</v>
      </c>
      <c r="DA404" s="13" t="s">
        <v>1080</v>
      </c>
      <c r="DB404" s="13">
        <v>14</v>
      </c>
      <c r="DC404" s="13">
        <v>9</v>
      </c>
      <c r="DD404" s="13"/>
      <c r="DE404" s="13" t="s">
        <v>3251</v>
      </c>
    </row>
    <row r="405" spans="1:109" ht="20">
      <c r="A405" s="13" t="s">
        <v>3396</v>
      </c>
      <c r="B405" s="13"/>
      <c r="C405" s="13" t="s">
        <v>3325</v>
      </c>
      <c r="D405" s="14" t="s">
        <v>3816</v>
      </c>
      <c r="E405" s="13" t="s">
        <v>672</v>
      </c>
      <c r="F405" s="13" t="s">
        <v>3824</v>
      </c>
      <c r="G405" s="13"/>
      <c r="H405" s="14" t="s">
        <v>703</v>
      </c>
      <c r="I405" s="13" t="s">
        <v>3146</v>
      </c>
      <c r="J405" s="13" t="s">
        <v>2342</v>
      </c>
      <c r="K405" s="13" t="s">
        <v>3818</v>
      </c>
      <c r="L405" s="13" t="s">
        <v>641</v>
      </c>
      <c r="M405" s="13">
        <v>36</v>
      </c>
      <c r="N405" s="13"/>
      <c r="O405" s="15"/>
      <c r="P405" s="13"/>
      <c r="Q405" s="13">
        <v>52.08</v>
      </c>
      <c r="R405" s="13">
        <v>11.56</v>
      </c>
      <c r="S405" s="13"/>
      <c r="T405" s="13"/>
      <c r="U405" s="13"/>
      <c r="V405" s="13"/>
      <c r="W405" s="2">
        <v>0.54100000000000004</v>
      </c>
      <c r="X405" s="13">
        <v>40.97</v>
      </c>
      <c r="Y405" s="13">
        <v>4.83</v>
      </c>
      <c r="Z405" s="13"/>
      <c r="AA405" s="13"/>
      <c r="AB405" s="13"/>
      <c r="AC405" s="13">
        <v>29</v>
      </c>
      <c r="AD405" s="13">
        <f t="shared" si="44"/>
        <v>0.80555555555555558</v>
      </c>
      <c r="AE405" s="13">
        <v>10.71</v>
      </c>
      <c r="AF405" s="13">
        <v>6.53</v>
      </c>
      <c r="AG405" s="13"/>
      <c r="AH405" s="13"/>
      <c r="AI405" s="13"/>
      <c r="AJ405" s="13"/>
      <c r="AK405" s="13"/>
      <c r="AL405" s="13"/>
      <c r="AM405" s="13"/>
      <c r="AN405" s="13"/>
      <c r="AO405" s="13"/>
      <c r="AP405" s="13"/>
      <c r="AQ405" s="13"/>
      <c r="AR405" s="13"/>
      <c r="AS405" s="13"/>
      <c r="AT405" s="13"/>
      <c r="AU405" s="14" t="s">
        <v>3832</v>
      </c>
      <c r="AV405" s="13"/>
      <c r="AW405" s="13"/>
      <c r="AX405" s="13"/>
      <c r="AY405" s="13"/>
      <c r="AZ405" s="13"/>
      <c r="BA405" s="16" t="s">
        <v>2674</v>
      </c>
      <c r="BB405" s="13">
        <v>1.95</v>
      </c>
      <c r="BC405" s="13">
        <v>0.77</v>
      </c>
      <c r="BD405" s="13">
        <v>4.91</v>
      </c>
      <c r="BE405" s="16"/>
      <c r="BF405" s="13"/>
      <c r="BG405" s="13"/>
      <c r="BH405" s="13"/>
      <c r="BI405" s="13"/>
      <c r="BJ405" s="16"/>
      <c r="BK405" s="13"/>
      <c r="BL405" s="13"/>
      <c r="BM405" s="13"/>
      <c r="BN405" s="16" t="s">
        <v>2231</v>
      </c>
      <c r="BO405" s="13" t="s">
        <v>2490</v>
      </c>
      <c r="BP405" s="13"/>
      <c r="BQ405" s="13">
        <v>0.03</v>
      </c>
      <c r="BR405" s="13"/>
      <c r="BS405" s="13"/>
      <c r="BT405" s="13"/>
      <c r="BU405" s="13">
        <v>0.86</v>
      </c>
      <c r="BV405" s="13"/>
      <c r="BW405" s="13"/>
      <c r="BX405" s="13"/>
      <c r="BY405" s="13"/>
      <c r="BZ405" s="13"/>
      <c r="CA405" s="13"/>
      <c r="CB405" s="13"/>
      <c r="CC405" s="13">
        <v>0.22</v>
      </c>
      <c r="CD405" s="13"/>
      <c r="CE405" s="13"/>
      <c r="CF405" s="13"/>
      <c r="CG405" s="13">
        <v>0.19</v>
      </c>
      <c r="CH405" s="13"/>
      <c r="CI405" s="13"/>
      <c r="CJ405" s="13" t="s">
        <v>3836</v>
      </c>
      <c r="CK405" s="13">
        <v>-0.15</v>
      </c>
      <c r="CL405" s="13"/>
      <c r="CM405" s="13"/>
      <c r="CN405" s="13">
        <v>0.38</v>
      </c>
      <c r="CO405" s="13"/>
      <c r="CP405" s="13"/>
      <c r="CQ405" s="13"/>
      <c r="CR405" s="13"/>
      <c r="CS405" s="13"/>
      <c r="CT405" s="13"/>
      <c r="CU405" s="13"/>
      <c r="CV405" s="13" t="s">
        <v>3833</v>
      </c>
      <c r="CW405" s="13" t="s">
        <v>3532</v>
      </c>
      <c r="CX405" s="13" t="s">
        <v>3533</v>
      </c>
      <c r="CY405" s="13">
        <v>2024</v>
      </c>
      <c r="CZ405" s="21">
        <v>45897</v>
      </c>
      <c r="DA405" s="13" t="s">
        <v>1080</v>
      </c>
      <c r="DB405" s="13">
        <v>14</v>
      </c>
      <c r="DC405" s="13">
        <v>9</v>
      </c>
      <c r="DD405" s="13"/>
      <c r="DE405" s="13" t="s">
        <v>3251</v>
      </c>
    </row>
    <row r="406" spans="1:109" ht="20">
      <c r="A406" s="13" t="s">
        <v>3396</v>
      </c>
      <c r="B406" s="13"/>
      <c r="C406" s="13" t="s">
        <v>3325</v>
      </c>
      <c r="D406" s="14" t="s">
        <v>3816</v>
      </c>
      <c r="E406" s="13" t="s">
        <v>672</v>
      </c>
      <c r="F406" s="13" t="s">
        <v>3825</v>
      </c>
      <c r="G406" s="13"/>
      <c r="H406" s="14" t="s">
        <v>703</v>
      </c>
      <c r="I406" s="13" t="s">
        <v>3146</v>
      </c>
      <c r="J406" s="13" t="s">
        <v>2342</v>
      </c>
      <c r="K406" s="13" t="s">
        <v>3818</v>
      </c>
      <c r="L406" s="13" t="s">
        <v>641</v>
      </c>
      <c r="M406" s="13">
        <v>17</v>
      </c>
      <c r="N406" s="13"/>
      <c r="O406" s="15"/>
      <c r="P406" s="13"/>
      <c r="Q406" s="13">
        <v>52.08</v>
      </c>
      <c r="R406" s="13">
        <v>11.56</v>
      </c>
      <c r="S406" s="13"/>
      <c r="T406" s="13"/>
      <c r="U406" s="13"/>
      <c r="V406" s="13"/>
      <c r="W406" s="2">
        <v>0.54100000000000004</v>
      </c>
      <c r="X406" s="13">
        <v>40.97</v>
      </c>
      <c r="Y406" s="13">
        <v>4.83</v>
      </c>
      <c r="Z406" s="13"/>
      <c r="AA406" s="13"/>
      <c r="AB406" s="13"/>
      <c r="AC406" s="13">
        <v>29</v>
      </c>
      <c r="AD406" s="13">
        <f t="shared" si="44"/>
        <v>1.7058823529411764</v>
      </c>
      <c r="AE406" s="13">
        <v>10.71</v>
      </c>
      <c r="AF406" s="13">
        <v>6.53</v>
      </c>
      <c r="AG406" s="13"/>
      <c r="AH406" s="13"/>
      <c r="AI406" s="13"/>
      <c r="AJ406" s="13"/>
      <c r="AK406" s="13"/>
      <c r="AL406" s="13"/>
      <c r="AM406" s="13"/>
      <c r="AN406" s="13"/>
      <c r="AO406" s="13"/>
      <c r="AP406" s="13"/>
      <c r="AQ406" s="13"/>
      <c r="AR406" s="13"/>
      <c r="AS406" s="13"/>
      <c r="AT406" s="13"/>
      <c r="AU406" s="14" t="s">
        <v>3832</v>
      </c>
      <c r="AV406" s="13"/>
      <c r="AW406" s="13"/>
      <c r="AX406" s="13"/>
      <c r="AY406" s="13"/>
      <c r="AZ406" s="13"/>
      <c r="BA406" s="16" t="s">
        <v>2674</v>
      </c>
      <c r="BB406" s="13">
        <v>1.45</v>
      </c>
      <c r="BC406" s="13">
        <v>0.24</v>
      </c>
      <c r="BD406" s="13">
        <v>8.8000000000000007</v>
      </c>
      <c r="BE406" s="16"/>
      <c r="BF406" s="13"/>
      <c r="BG406" s="13"/>
      <c r="BH406" s="13"/>
      <c r="BI406" s="13"/>
      <c r="BJ406" s="16"/>
      <c r="BK406" s="13"/>
      <c r="BL406" s="13"/>
      <c r="BM406" s="13"/>
      <c r="BN406" s="16" t="s">
        <v>2231</v>
      </c>
      <c r="BO406" s="13" t="s">
        <v>2490</v>
      </c>
      <c r="BP406" s="13"/>
      <c r="BQ406" s="13">
        <v>0.25</v>
      </c>
      <c r="BR406" s="13"/>
      <c r="BS406" s="13"/>
      <c r="BT406" s="13"/>
      <c r="BU406" s="13">
        <v>0.34</v>
      </c>
      <c r="BV406" s="13"/>
      <c r="BW406" s="13"/>
      <c r="BX406" s="13"/>
      <c r="BY406" s="13"/>
      <c r="BZ406" s="13"/>
      <c r="CA406" s="13"/>
      <c r="CB406" s="13"/>
      <c r="CC406" s="13">
        <v>-0.23</v>
      </c>
      <c r="CD406" s="13"/>
      <c r="CE406" s="13"/>
      <c r="CF406" s="13"/>
      <c r="CG406" s="13">
        <v>0.38</v>
      </c>
      <c r="CH406" s="13"/>
      <c r="CI406" s="13"/>
      <c r="CJ406" s="13" t="s">
        <v>3836</v>
      </c>
      <c r="CK406" s="13">
        <v>7.0000000000000007E-2</v>
      </c>
      <c r="CL406" s="13"/>
      <c r="CM406" s="13"/>
      <c r="CN406" s="13">
        <v>0.8</v>
      </c>
      <c r="CO406" s="13"/>
      <c r="CP406" s="13"/>
      <c r="CQ406" s="13"/>
      <c r="CR406" s="13"/>
      <c r="CS406" s="13"/>
      <c r="CT406" s="13"/>
      <c r="CU406" s="13"/>
      <c r="CV406" s="13" t="s">
        <v>3833</v>
      </c>
      <c r="CW406" s="13" t="s">
        <v>3532</v>
      </c>
      <c r="CX406" s="13" t="s">
        <v>3533</v>
      </c>
      <c r="CY406" s="13">
        <v>2024</v>
      </c>
      <c r="CZ406" s="21">
        <v>45897</v>
      </c>
      <c r="DA406" s="13" t="s">
        <v>1080</v>
      </c>
      <c r="DB406" s="13">
        <v>14</v>
      </c>
      <c r="DC406" s="13">
        <v>9</v>
      </c>
      <c r="DD406" s="13"/>
      <c r="DE406" s="13" t="s">
        <v>3251</v>
      </c>
    </row>
    <row r="407" spans="1:109" ht="20">
      <c r="A407" s="13" t="s">
        <v>3396</v>
      </c>
      <c r="B407" s="13"/>
      <c r="C407" s="13" t="s">
        <v>3325</v>
      </c>
      <c r="D407" s="14" t="s">
        <v>3816</v>
      </c>
      <c r="E407" s="13" t="s">
        <v>672</v>
      </c>
      <c r="F407" s="13" t="s">
        <v>675</v>
      </c>
      <c r="G407" s="13"/>
      <c r="H407" s="14" t="s">
        <v>703</v>
      </c>
      <c r="I407" s="13" t="s">
        <v>3146</v>
      </c>
      <c r="J407" s="13" t="s">
        <v>808</v>
      </c>
      <c r="K407" s="13" t="s">
        <v>3818</v>
      </c>
      <c r="L407" s="13" t="s">
        <v>639</v>
      </c>
      <c r="M407" s="13">
        <v>37</v>
      </c>
      <c r="N407" s="13"/>
      <c r="O407" s="15"/>
      <c r="P407" s="13"/>
      <c r="Q407" s="13">
        <v>52.08</v>
      </c>
      <c r="R407" s="13">
        <v>11.56</v>
      </c>
      <c r="S407" s="13"/>
      <c r="T407" s="13"/>
      <c r="U407" s="13"/>
      <c r="V407" s="13">
        <v>20</v>
      </c>
      <c r="W407" s="2">
        <f>V407/M407</f>
        <v>0.54054054054054057</v>
      </c>
      <c r="X407" s="13">
        <v>40.97</v>
      </c>
      <c r="Y407" s="13">
        <v>4.83</v>
      </c>
      <c r="Z407" s="13"/>
      <c r="AA407" s="13"/>
      <c r="AB407" s="13"/>
      <c r="AC407" s="13">
        <v>29</v>
      </c>
      <c r="AD407" s="13">
        <f t="shared" si="44"/>
        <v>0.78378378378378377</v>
      </c>
      <c r="AE407" s="13">
        <v>10.71</v>
      </c>
      <c r="AF407" s="13">
        <v>6.53</v>
      </c>
      <c r="AG407" s="13"/>
      <c r="AH407" s="13"/>
      <c r="AI407" s="13"/>
      <c r="AJ407" s="13"/>
      <c r="AK407" s="13"/>
      <c r="AL407" s="13"/>
      <c r="AM407" s="13"/>
      <c r="AN407" s="13"/>
      <c r="AO407" s="13"/>
      <c r="AP407" s="13"/>
      <c r="AQ407" s="13"/>
      <c r="AR407" s="13"/>
      <c r="AS407" s="13"/>
      <c r="AT407" s="13"/>
      <c r="AU407" s="14" t="s">
        <v>3832</v>
      </c>
      <c r="AV407" s="13" t="s">
        <v>2490</v>
      </c>
      <c r="AW407" s="13"/>
      <c r="AX407" s="13">
        <v>1</v>
      </c>
      <c r="AY407" s="13">
        <v>1</v>
      </c>
      <c r="AZ407" s="13">
        <v>1</v>
      </c>
      <c r="BA407" s="16"/>
      <c r="BB407" s="13"/>
      <c r="BC407" s="13"/>
      <c r="BD407" s="13"/>
      <c r="BE407" s="16"/>
      <c r="BF407" s="13"/>
      <c r="BG407" s="13"/>
      <c r="BH407" s="13"/>
      <c r="BI407" s="13"/>
      <c r="BJ407" s="16"/>
      <c r="BK407" s="13"/>
      <c r="BL407" s="13"/>
      <c r="BM407" s="13"/>
      <c r="BN407" s="16" t="s">
        <v>2231</v>
      </c>
      <c r="BO407" s="13" t="s">
        <v>2490</v>
      </c>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t="s">
        <v>3833</v>
      </c>
      <c r="CW407" s="13" t="s">
        <v>3532</v>
      </c>
      <c r="CX407" s="13" t="s">
        <v>3533</v>
      </c>
      <c r="CY407" s="13">
        <v>2024</v>
      </c>
      <c r="CZ407" s="21">
        <v>45897</v>
      </c>
      <c r="DA407" s="13" t="s">
        <v>1080</v>
      </c>
      <c r="DB407" s="13">
        <v>14</v>
      </c>
      <c r="DC407" s="13">
        <v>9</v>
      </c>
      <c r="DD407" s="13"/>
      <c r="DE407" s="13" t="s">
        <v>3251</v>
      </c>
    </row>
    <row r="408" spans="1:109" ht="20">
      <c r="A408" s="13" t="s">
        <v>3396</v>
      </c>
      <c r="B408" s="13"/>
      <c r="C408" s="13" t="s">
        <v>3325</v>
      </c>
      <c r="D408" s="14" t="s">
        <v>3816</v>
      </c>
      <c r="E408" s="13" t="s">
        <v>673</v>
      </c>
      <c r="F408" s="13" t="s">
        <v>675</v>
      </c>
      <c r="G408" s="13"/>
      <c r="H408" s="14" t="s">
        <v>703</v>
      </c>
      <c r="I408" s="13" t="s">
        <v>3146</v>
      </c>
      <c r="J408" s="13" t="s">
        <v>808</v>
      </c>
      <c r="K408" s="13" t="s">
        <v>3818</v>
      </c>
      <c r="L408" s="13" t="s">
        <v>639</v>
      </c>
      <c r="M408" s="13">
        <v>37</v>
      </c>
      <c r="N408" s="13"/>
      <c r="O408" s="15"/>
      <c r="P408" s="13"/>
      <c r="Q408" s="13">
        <v>52.08</v>
      </c>
      <c r="R408" s="13">
        <v>11.56</v>
      </c>
      <c r="S408" s="13"/>
      <c r="T408" s="13"/>
      <c r="U408" s="13"/>
      <c r="V408" s="13">
        <v>20</v>
      </c>
      <c r="W408" s="2">
        <f>V408/M408</f>
        <v>0.54054054054054057</v>
      </c>
      <c r="X408" s="13">
        <v>40.97</v>
      </c>
      <c r="Y408" s="13">
        <v>4.83</v>
      </c>
      <c r="Z408" s="13"/>
      <c r="AA408" s="13"/>
      <c r="AB408" s="13"/>
      <c r="AC408" s="13">
        <v>29</v>
      </c>
      <c r="AD408" s="13">
        <f t="shared" si="44"/>
        <v>0.78378378378378377</v>
      </c>
      <c r="AE408" s="13">
        <v>10.71</v>
      </c>
      <c r="AF408" s="13">
        <v>6.53</v>
      </c>
      <c r="AG408" s="13"/>
      <c r="AH408" s="13"/>
      <c r="AI408" s="13"/>
      <c r="AJ408" s="13"/>
      <c r="AK408" s="13"/>
      <c r="AL408" s="13"/>
      <c r="AM408" s="13"/>
      <c r="AN408" s="13"/>
      <c r="AO408" s="13"/>
      <c r="AP408" s="13"/>
      <c r="AQ408" s="13"/>
      <c r="AR408" s="13"/>
      <c r="AS408" s="13"/>
      <c r="AT408" s="13"/>
      <c r="AU408" s="14" t="s">
        <v>3832</v>
      </c>
      <c r="AV408" s="13" t="s">
        <v>2490</v>
      </c>
      <c r="AW408" s="13"/>
      <c r="AX408" s="13">
        <v>1.01</v>
      </c>
      <c r="AY408" s="13">
        <v>1</v>
      </c>
      <c r="AZ408" s="13">
        <v>1.01</v>
      </c>
      <c r="BA408" s="16"/>
      <c r="BB408" s="13"/>
      <c r="BC408" s="13"/>
      <c r="BD408" s="13"/>
      <c r="BE408" s="16" t="s">
        <v>3834</v>
      </c>
      <c r="BF408" s="13"/>
      <c r="BG408" s="13">
        <v>1.01</v>
      </c>
      <c r="BH408" s="13">
        <v>1</v>
      </c>
      <c r="BI408" s="13">
        <v>1.01</v>
      </c>
      <c r="BJ408" s="16"/>
      <c r="BK408" s="13"/>
      <c r="BL408" s="13"/>
      <c r="BM408" s="13"/>
      <c r="BN408" s="16" t="s">
        <v>2231</v>
      </c>
      <c r="BO408" s="13" t="s">
        <v>2490</v>
      </c>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t="s">
        <v>3833</v>
      </c>
      <c r="CW408" s="13" t="s">
        <v>3532</v>
      </c>
      <c r="CX408" s="13" t="s">
        <v>3533</v>
      </c>
      <c r="CY408" s="13">
        <v>2024</v>
      </c>
      <c r="CZ408" s="21">
        <v>45897</v>
      </c>
      <c r="DA408" s="13" t="s">
        <v>1080</v>
      </c>
      <c r="DB408" s="13">
        <v>14</v>
      </c>
      <c r="DC408" s="13">
        <v>9</v>
      </c>
      <c r="DD408" s="13"/>
      <c r="DE408" s="13" t="s">
        <v>3251</v>
      </c>
    </row>
    <row r="409" spans="1:109" ht="20">
      <c r="A409" s="13" t="s">
        <v>3396</v>
      </c>
      <c r="B409" s="13"/>
      <c r="C409" s="13" t="s">
        <v>3325</v>
      </c>
      <c r="D409" s="14" t="s">
        <v>3816</v>
      </c>
      <c r="E409" s="13" t="s">
        <v>672</v>
      </c>
      <c r="F409" s="13" t="s">
        <v>807</v>
      </c>
      <c r="G409" s="13"/>
      <c r="H409" s="14" t="s">
        <v>703</v>
      </c>
      <c r="I409" s="13" t="s">
        <v>3146</v>
      </c>
      <c r="J409" s="13" t="s">
        <v>808</v>
      </c>
      <c r="K409" s="13" t="s">
        <v>3818</v>
      </c>
      <c r="L409" s="13" t="s">
        <v>639</v>
      </c>
      <c r="M409" s="13">
        <v>34</v>
      </c>
      <c r="N409" s="13"/>
      <c r="O409" s="15"/>
      <c r="P409" s="13"/>
      <c r="Q409" s="13">
        <v>52.08</v>
      </c>
      <c r="R409" s="13">
        <v>11.56</v>
      </c>
      <c r="S409" s="13"/>
      <c r="T409" s="13"/>
      <c r="U409" s="13"/>
      <c r="V409" s="13"/>
      <c r="W409" s="2">
        <v>0.54100000000000004</v>
      </c>
      <c r="X409" s="13">
        <v>40.97</v>
      </c>
      <c r="Y409" s="13">
        <v>4.83</v>
      </c>
      <c r="Z409" s="13"/>
      <c r="AA409" s="13"/>
      <c r="AB409" s="13"/>
      <c r="AC409" s="13">
        <v>29</v>
      </c>
      <c r="AD409" s="13">
        <f t="shared" si="44"/>
        <v>0.8529411764705882</v>
      </c>
      <c r="AE409" s="13">
        <v>10.71</v>
      </c>
      <c r="AF409" s="13">
        <v>6.53</v>
      </c>
      <c r="AG409" s="13"/>
      <c r="AH409" s="13"/>
      <c r="AI409" s="13"/>
      <c r="AJ409" s="13"/>
      <c r="AK409" s="13"/>
      <c r="AL409" s="13"/>
      <c r="AM409" s="13"/>
      <c r="AN409" s="13"/>
      <c r="AO409" s="13"/>
      <c r="AP409" s="13"/>
      <c r="AQ409" s="13"/>
      <c r="AR409" s="13"/>
      <c r="AS409" s="13"/>
      <c r="AT409" s="13"/>
      <c r="AU409" s="14" t="s">
        <v>3832</v>
      </c>
      <c r="AV409" s="13" t="s">
        <v>2490</v>
      </c>
      <c r="AW409" s="13"/>
      <c r="AX409" s="13">
        <v>1</v>
      </c>
      <c r="AY409" s="13">
        <v>1</v>
      </c>
      <c r="AZ409" s="13">
        <v>1</v>
      </c>
      <c r="BA409" s="16"/>
      <c r="BB409" s="13"/>
      <c r="BC409" s="13"/>
      <c r="BD409" s="13"/>
      <c r="BE409" s="16"/>
      <c r="BF409" s="13"/>
      <c r="BG409" s="13"/>
      <c r="BH409" s="13"/>
      <c r="BI409" s="13"/>
      <c r="BJ409" s="16"/>
      <c r="BK409" s="13"/>
      <c r="BL409" s="13"/>
      <c r="BM409" s="13"/>
      <c r="BN409" s="16" t="s">
        <v>2231</v>
      </c>
      <c r="BO409" s="13" t="s">
        <v>2490</v>
      </c>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t="s">
        <v>3833</v>
      </c>
      <c r="CW409" s="13" t="s">
        <v>3532</v>
      </c>
      <c r="CX409" s="13" t="s">
        <v>3533</v>
      </c>
      <c r="CY409" s="13">
        <v>2024</v>
      </c>
      <c r="CZ409" s="21">
        <v>45897</v>
      </c>
      <c r="DA409" s="13" t="s">
        <v>1080</v>
      </c>
      <c r="DB409" s="13">
        <v>14</v>
      </c>
      <c r="DC409" s="13">
        <v>9</v>
      </c>
      <c r="DD409" s="13"/>
      <c r="DE409" s="13" t="s">
        <v>3251</v>
      </c>
    </row>
    <row r="410" spans="1:109" ht="20">
      <c r="A410" s="13" t="s">
        <v>3396</v>
      </c>
      <c r="B410" s="13"/>
      <c r="C410" s="13" t="s">
        <v>3325</v>
      </c>
      <c r="D410" s="14" t="s">
        <v>3816</v>
      </c>
      <c r="E410" s="13" t="s">
        <v>673</v>
      </c>
      <c r="F410" s="13" t="s">
        <v>807</v>
      </c>
      <c r="G410" s="13"/>
      <c r="H410" s="14" t="s">
        <v>703</v>
      </c>
      <c r="I410" s="13" t="s">
        <v>3146</v>
      </c>
      <c r="J410" s="13" t="s">
        <v>808</v>
      </c>
      <c r="K410" s="13" t="s">
        <v>3818</v>
      </c>
      <c r="L410" s="13" t="s">
        <v>639</v>
      </c>
      <c r="M410" s="13">
        <v>33</v>
      </c>
      <c r="N410" s="13"/>
      <c r="O410" s="15"/>
      <c r="P410" s="13"/>
      <c r="Q410" s="13">
        <v>52.08</v>
      </c>
      <c r="R410" s="13">
        <v>11.56</v>
      </c>
      <c r="S410" s="13"/>
      <c r="T410" s="13"/>
      <c r="U410" s="13"/>
      <c r="V410" s="13"/>
      <c r="W410" s="2">
        <v>0.54100000000000004</v>
      </c>
      <c r="X410" s="13">
        <v>40.97</v>
      </c>
      <c r="Y410" s="13">
        <v>4.83</v>
      </c>
      <c r="Z410" s="13"/>
      <c r="AA410" s="13"/>
      <c r="AB410" s="13"/>
      <c r="AC410" s="13">
        <v>29</v>
      </c>
      <c r="AD410" s="13">
        <f t="shared" si="44"/>
        <v>0.87878787878787878</v>
      </c>
      <c r="AE410" s="13">
        <v>10.71</v>
      </c>
      <c r="AF410" s="13">
        <v>6.53</v>
      </c>
      <c r="AG410" s="13"/>
      <c r="AH410" s="13"/>
      <c r="AI410" s="13"/>
      <c r="AJ410" s="13"/>
      <c r="AK410" s="13"/>
      <c r="AL410" s="13"/>
      <c r="AM410" s="13"/>
      <c r="AN410" s="13"/>
      <c r="AO410" s="13"/>
      <c r="AP410" s="13"/>
      <c r="AQ410" s="13"/>
      <c r="AR410" s="13"/>
      <c r="AS410" s="13"/>
      <c r="AT410" s="13"/>
      <c r="AU410" s="14" t="s">
        <v>3832</v>
      </c>
      <c r="AV410" s="13" t="s">
        <v>2490</v>
      </c>
      <c r="AW410" s="13"/>
      <c r="AX410" s="13">
        <v>1</v>
      </c>
      <c r="AY410" s="13">
        <v>1</v>
      </c>
      <c r="AZ410" s="13">
        <v>1</v>
      </c>
      <c r="BA410" s="16"/>
      <c r="BB410" s="13"/>
      <c r="BC410" s="13"/>
      <c r="BD410" s="13"/>
      <c r="BE410" s="16"/>
      <c r="BF410" s="13"/>
      <c r="BG410" s="13"/>
      <c r="BH410" s="13"/>
      <c r="BI410" s="13"/>
      <c r="BJ410" s="16"/>
      <c r="BK410" s="13"/>
      <c r="BL410" s="13"/>
      <c r="BM410" s="13"/>
      <c r="BN410" s="16" t="s">
        <v>2231</v>
      </c>
      <c r="BO410" s="13" t="s">
        <v>2490</v>
      </c>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t="s">
        <v>3833</v>
      </c>
      <c r="CW410" s="13" t="s">
        <v>3532</v>
      </c>
      <c r="CX410" s="13" t="s">
        <v>3533</v>
      </c>
      <c r="CY410" s="13">
        <v>2024</v>
      </c>
      <c r="CZ410" s="21">
        <v>45897</v>
      </c>
      <c r="DA410" s="13" t="s">
        <v>1080</v>
      </c>
      <c r="DB410" s="13">
        <v>14</v>
      </c>
      <c r="DC410" s="13">
        <v>9</v>
      </c>
      <c r="DD410" s="13"/>
      <c r="DE410" s="13" t="s">
        <v>3251</v>
      </c>
    </row>
    <row r="411" spans="1:109" ht="20">
      <c r="A411" s="13" t="s">
        <v>3396</v>
      </c>
      <c r="B411" s="13"/>
      <c r="C411" s="13" t="s">
        <v>3325</v>
      </c>
      <c r="D411" s="14" t="s">
        <v>3816</v>
      </c>
      <c r="E411" s="13" t="s">
        <v>672</v>
      </c>
      <c r="F411" s="13" t="s">
        <v>679</v>
      </c>
      <c r="G411" s="13"/>
      <c r="H411" s="14" t="s">
        <v>703</v>
      </c>
      <c r="I411" s="13" t="s">
        <v>3146</v>
      </c>
      <c r="J411" s="13" t="s">
        <v>808</v>
      </c>
      <c r="K411" s="13" t="s">
        <v>3818</v>
      </c>
      <c r="L411" s="13" t="s">
        <v>639</v>
      </c>
      <c r="M411" s="13">
        <v>26</v>
      </c>
      <c r="N411" s="13"/>
      <c r="O411" s="15"/>
      <c r="P411" s="13"/>
      <c r="Q411" s="13">
        <v>52.08</v>
      </c>
      <c r="R411" s="13">
        <v>11.56</v>
      </c>
      <c r="S411" s="13"/>
      <c r="T411" s="13"/>
      <c r="U411" s="13"/>
      <c r="V411" s="13"/>
      <c r="W411" s="2">
        <v>0.54100000000000004</v>
      </c>
      <c r="X411" s="13">
        <v>40.97</v>
      </c>
      <c r="Y411" s="13">
        <v>4.83</v>
      </c>
      <c r="Z411" s="13"/>
      <c r="AA411" s="13"/>
      <c r="AB411" s="13"/>
      <c r="AC411" s="13">
        <v>29</v>
      </c>
      <c r="AD411" s="13">
        <f t="shared" si="44"/>
        <v>1.1153846153846154</v>
      </c>
      <c r="AE411" s="13">
        <v>10.71</v>
      </c>
      <c r="AF411" s="13">
        <v>6.53</v>
      </c>
      <c r="AG411" s="13"/>
      <c r="AH411" s="13"/>
      <c r="AI411" s="13"/>
      <c r="AJ411" s="13"/>
      <c r="AK411" s="13"/>
      <c r="AL411" s="13"/>
      <c r="AM411" s="13"/>
      <c r="AN411" s="13"/>
      <c r="AO411" s="13"/>
      <c r="AP411" s="13"/>
      <c r="AQ411" s="13"/>
      <c r="AR411" s="13"/>
      <c r="AS411" s="13"/>
      <c r="AT411" s="13"/>
      <c r="AU411" s="14" t="s">
        <v>3832</v>
      </c>
      <c r="AV411" s="13" t="s">
        <v>2490</v>
      </c>
      <c r="AW411" s="13"/>
      <c r="AX411" s="13">
        <v>1</v>
      </c>
      <c r="AY411" s="13">
        <v>0.99</v>
      </c>
      <c r="AZ411" s="13">
        <v>1.01</v>
      </c>
      <c r="BA411" s="16"/>
      <c r="BB411" s="13"/>
      <c r="BC411" s="13"/>
      <c r="BD411" s="13"/>
      <c r="BE411" s="16"/>
      <c r="BF411" s="13"/>
      <c r="BG411" s="13"/>
      <c r="BH411" s="13"/>
      <c r="BI411" s="13"/>
      <c r="BJ411" s="16"/>
      <c r="BK411" s="13"/>
      <c r="BL411" s="13"/>
      <c r="BM411" s="13"/>
      <c r="BN411" s="16" t="s">
        <v>2231</v>
      </c>
      <c r="BO411" s="13" t="s">
        <v>2490</v>
      </c>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t="s">
        <v>3833</v>
      </c>
      <c r="CW411" s="13" t="s">
        <v>3532</v>
      </c>
      <c r="CX411" s="13" t="s">
        <v>3533</v>
      </c>
      <c r="CY411" s="13">
        <v>2024</v>
      </c>
      <c r="CZ411" s="21">
        <v>45897</v>
      </c>
      <c r="DA411" s="13" t="s">
        <v>1080</v>
      </c>
      <c r="DB411" s="13">
        <v>14</v>
      </c>
      <c r="DC411" s="13">
        <v>9</v>
      </c>
      <c r="DD411" s="13"/>
      <c r="DE411" s="13" t="s">
        <v>3251</v>
      </c>
    </row>
    <row r="412" spans="1:109" ht="20">
      <c r="A412" s="13" t="s">
        <v>3396</v>
      </c>
      <c r="B412" s="13"/>
      <c r="C412" s="13" t="s">
        <v>3325</v>
      </c>
      <c r="D412" s="14" t="s">
        <v>3816</v>
      </c>
      <c r="E412" s="13" t="s">
        <v>673</v>
      </c>
      <c r="F412" s="13" t="s">
        <v>679</v>
      </c>
      <c r="G412" s="13"/>
      <c r="H412" s="14" t="s">
        <v>703</v>
      </c>
      <c r="I412" s="13" t="s">
        <v>3146</v>
      </c>
      <c r="J412" s="13" t="s">
        <v>808</v>
      </c>
      <c r="K412" s="13" t="s">
        <v>3818</v>
      </c>
      <c r="L412" s="13" t="s">
        <v>639</v>
      </c>
      <c r="M412" s="13">
        <v>26</v>
      </c>
      <c r="N412" s="13"/>
      <c r="O412" s="15"/>
      <c r="P412" s="13"/>
      <c r="Q412" s="13">
        <v>52.08</v>
      </c>
      <c r="R412" s="13">
        <v>11.56</v>
      </c>
      <c r="S412" s="13"/>
      <c r="T412" s="13"/>
      <c r="U412" s="13"/>
      <c r="V412" s="13"/>
      <c r="W412" s="2">
        <v>0.54100000000000004</v>
      </c>
      <c r="X412" s="13">
        <v>40.97</v>
      </c>
      <c r="Y412" s="13">
        <v>4.83</v>
      </c>
      <c r="Z412" s="13"/>
      <c r="AA412" s="13"/>
      <c r="AB412" s="13"/>
      <c r="AC412" s="13">
        <v>29</v>
      </c>
      <c r="AD412" s="13">
        <f t="shared" si="44"/>
        <v>1.1153846153846154</v>
      </c>
      <c r="AE412" s="13">
        <v>10.71</v>
      </c>
      <c r="AF412" s="13">
        <v>6.53</v>
      </c>
      <c r="AG412" s="13"/>
      <c r="AH412" s="13"/>
      <c r="AI412" s="13"/>
      <c r="AJ412" s="13"/>
      <c r="AK412" s="13"/>
      <c r="AL412" s="13"/>
      <c r="AM412" s="13"/>
      <c r="AN412" s="13"/>
      <c r="AO412" s="13"/>
      <c r="AP412" s="13"/>
      <c r="AQ412" s="13"/>
      <c r="AR412" s="13"/>
      <c r="AS412" s="13"/>
      <c r="AT412" s="13"/>
      <c r="AU412" s="14" t="s">
        <v>3832</v>
      </c>
      <c r="AV412" s="13" t="s">
        <v>2490</v>
      </c>
      <c r="AW412" s="13"/>
      <c r="AX412" s="13">
        <v>1</v>
      </c>
      <c r="AY412" s="13">
        <v>0.99</v>
      </c>
      <c r="AZ412" s="13">
        <v>1.01</v>
      </c>
      <c r="BA412" s="16"/>
      <c r="BB412" s="13"/>
      <c r="BC412" s="13"/>
      <c r="BD412" s="13"/>
      <c r="BE412" s="16"/>
      <c r="BF412" s="13"/>
      <c r="BG412" s="13"/>
      <c r="BH412" s="13"/>
      <c r="BI412" s="13"/>
      <c r="BJ412" s="16"/>
      <c r="BK412" s="13"/>
      <c r="BL412" s="13"/>
      <c r="BM412" s="13"/>
      <c r="BN412" s="16" t="s">
        <v>2231</v>
      </c>
      <c r="BO412" s="13" t="s">
        <v>2490</v>
      </c>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t="s">
        <v>3833</v>
      </c>
      <c r="CW412" s="13" t="s">
        <v>3532</v>
      </c>
      <c r="CX412" s="13" t="s">
        <v>3533</v>
      </c>
      <c r="CY412" s="13">
        <v>2024</v>
      </c>
      <c r="CZ412" s="21">
        <v>45897</v>
      </c>
      <c r="DA412" s="13" t="s">
        <v>1080</v>
      </c>
      <c r="DB412" s="13">
        <v>14</v>
      </c>
      <c r="DC412" s="13">
        <v>9</v>
      </c>
      <c r="DD412" s="13"/>
      <c r="DE412" s="13" t="s">
        <v>3251</v>
      </c>
    </row>
    <row r="413" spans="1:109" ht="20">
      <c r="A413" s="13" t="s">
        <v>3396</v>
      </c>
      <c r="B413" s="13"/>
      <c r="C413" s="13" t="s">
        <v>3325</v>
      </c>
      <c r="D413" s="14" t="s">
        <v>3816</v>
      </c>
      <c r="E413" s="13" t="s">
        <v>672</v>
      </c>
      <c r="F413" s="13" t="s">
        <v>917</v>
      </c>
      <c r="G413" s="13"/>
      <c r="H413" s="14" t="s">
        <v>703</v>
      </c>
      <c r="I413" s="13" t="s">
        <v>3146</v>
      </c>
      <c r="J413" s="13" t="s">
        <v>808</v>
      </c>
      <c r="K413" s="13" t="s">
        <v>3818</v>
      </c>
      <c r="L413" s="13" t="s">
        <v>2672</v>
      </c>
      <c r="M413" s="13">
        <v>26</v>
      </c>
      <c r="N413" s="13"/>
      <c r="O413" s="15"/>
      <c r="P413" s="13"/>
      <c r="Q413" s="13">
        <v>52.08</v>
      </c>
      <c r="R413" s="13">
        <v>11.56</v>
      </c>
      <c r="S413" s="13"/>
      <c r="T413" s="13"/>
      <c r="U413" s="13"/>
      <c r="V413" s="13"/>
      <c r="W413" s="2">
        <v>0.54100000000000004</v>
      </c>
      <c r="X413" s="13">
        <v>40.97</v>
      </c>
      <c r="Y413" s="13">
        <v>4.83</v>
      </c>
      <c r="Z413" s="13"/>
      <c r="AA413" s="13"/>
      <c r="AB413" s="13"/>
      <c r="AC413" s="13">
        <v>29</v>
      </c>
      <c r="AD413" s="13">
        <f t="shared" si="44"/>
        <v>1.1153846153846154</v>
      </c>
      <c r="AE413" s="13">
        <v>10.71</v>
      </c>
      <c r="AF413" s="13">
        <v>6.53</v>
      </c>
      <c r="AG413" s="13"/>
      <c r="AH413" s="13"/>
      <c r="AI413" s="13"/>
      <c r="AJ413" s="13"/>
      <c r="AK413" s="13"/>
      <c r="AL413" s="13"/>
      <c r="AM413" s="13"/>
      <c r="AN413" s="13"/>
      <c r="AO413" s="13"/>
      <c r="AP413" s="13"/>
      <c r="AQ413" s="13"/>
      <c r="AR413" s="13"/>
      <c r="AS413" s="13"/>
      <c r="AT413" s="13"/>
      <c r="AU413" s="14" t="s">
        <v>3832</v>
      </c>
      <c r="AV413" s="13" t="s">
        <v>2490</v>
      </c>
      <c r="AW413" s="13"/>
      <c r="AX413" s="13">
        <v>1.1200000000000001</v>
      </c>
      <c r="AY413" s="13">
        <v>0.98</v>
      </c>
      <c r="AZ413" s="13">
        <v>1.29</v>
      </c>
      <c r="BA413" s="16"/>
      <c r="BB413" s="13"/>
      <c r="BC413" s="13"/>
      <c r="BD413" s="13"/>
      <c r="BE413" s="16"/>
      <c r="BF413" s="13"/>
      <c r="BG413" s="13"/>
      <c r="BH413" s="13"/>
      <c r="BI413" s="13"/>
      <c r="BJ413" s="16"/>
      <c r="BK413" s="13"/>
      <c r="BL413" s="13"/>
      <c r="BM413" s="13"/>
      <c r="BN413" s="16" t="s">
        <v>2231</v>
      </c>
      <c r="BO413" s="13" t="s">
        <v>2490</v>
      </c>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t="s">
        <v>3833</v>
      </c>
      <c r="CW413" s="13" t="s">
        <v>3532</v>
      </c>
      <c r="CX413" s="13" t="s">
        <v>3533</v>
      </c>
      <c r="CY413" s="13">
        <v>2024</v>
      </c>
      <c r="CZ413" s="21">
        <v>45897</v>
      </c>
      <c r="DA413" s="13" t="s">
        <v>1080</v>
      </c>
      <c r="DB413" s="13">
        <v>14</v>
      </c>
      <c r="DC413" s="13">
        <v>9</v>
      </c>
      <c r="DD413" s="13"/>
      <c r="DE413" s="13" t="s">
        <v>3251</v>
      </c>
    </row>
    <row r="414" spans="1:109" ht="20">
      <c r="A414" s="13" t="s">
        <v>3396</v>
      </c>
      <c r="B414" s="13"/>
      <c r="C414" s="13" t="s">
        <v>3325</v>
      </c>
      <c r="D414" s="14" t="s">
        <v>3816</v>
      </c>
      <c r="E414" s="13" t="s">
        <v>673</v>
      </c>
      <c r="F414" s="13" t="s">
        <v>917</v>
      </c>
      <c r="G414" s="13"/>
      <c r="H414" s="14" t="s">
        <v>703</v>
      </c>
      <c r="I414" s="13" t="s">
        <v>3146</v>
      </c>
      <c r="J414" s="13" t="s">
        <v>808</v>
      </c>
      <c r="K414" s="13" t="s">
        <v>3818</v>
      </c>
      <c r="L414" s="13" t="s">
        <v>2672</v>
      </c>
      <c r="M414" s="13">
        <v>26</v>
      </c>
      <c r="N414" s="13"/>
      <c r="O414" s="15"/>
      <c r="P414" s="13"/>
      <c r="Q414" s="13">
        <v>52.08</v>
      </c>
      <c r="R414" s="13">
        <v>11.56</v>
      </c>
      <c r="S414" s="13"/>
      <c r="T414" s="13"/>
      <c r="U414" s="13"/>
      <c r="V414" s="13"/>
      <c r="W414" s="2">
        <v>0.54100000000000004</v>
      </c>
      <c r="X414" s="13">
        <v>40.97</v>
      </c>
      <c r="Y414" s="13">
        <v>4.83</v>
      </c>
      <c r="Z414" s="13"/>
      <c r="AA414" s="13"/>
      <c r="AB414" s="13"/>
      <c r="AC414" s="13">
        <v>29</v>
      </c>
      <c r="AD414" s="13">
        <f t="shared" si="44"/>
        <v>1.1153846153846154</v>
      </c>
      <c r="AE414" s="13">
        <v>10.71</v>
      </c>
      <c r="AF414" s="13">
        <v>6.53</v>
      </c>
      <c r="AG414" s="13"/>
      <c r="AH414" s="13"/>
      <c r="AI414" s="13"/>
      <c r="AJ414" s="13"/>
      <c r="AK414" s="13"/>
      <c r="AL414" s="13"/>
      <c r="AM414" s="13"/>
      <c r="AN414" s="13"/>
      <c r="AO414" s="13"/>
      <c r="AP414" s="13"/>
      <c r="AQ414" s="13"/>
      <c r="AR414" s="13"/>
      <c r="AS414" s="13"/>
      <c r="AT414" s="13"/>
      <c r="AU414" s="14" t="s">
        <v>3832</v>
      </c>
      <c r="AV414" s="13" t="s">
        <v>2490</v>
      </c>
      <c r="AW414" s="13"/>
      <c r="AX414" s="13">
        <v>1</v>
      </c>
      <c r="AY414" s="13">
        <v>1</v>
      </c>
      <c r="AZ414" s="13">
        <v>1</v>
      </c>
      <c r="BA414" s="16"/>
      <c r="BB414" s="13"/>
      <c r="BC414" s="13"/>
      <c r="BD414" s="13"/>
      <c r="BE414" s="16"/>
      <c r="BF414" s="13"/>
      <c r="BG414" s="13"/>
      <c r="BH414" s="13"/>
      <c r="BI414" s="13"/>
      <c r="BJ414" s="16"/>
      <c r="BK414" s="13"/>
      <c r="BL414" s="13"/>
      <c r="BM414" s="13"/>
      <c r="BN414" s="16" t="s">
        <v>2231</v>
      </c>
      <c r="BO414" s="13" t="s">
        <v>2490</v>
      </c>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t="s">
        <v>3833</v>
      </c>
      <c r="CW414" s="13" t="s">
        <v>3532</v>
      </c>
      <c r="CX414" s="13" t="s">
        <v>3533</v>
      </c>
      <c r="CY414" s="13">
        <v>2024</v>
      </c>
      <c r="CZ414" s="21">
        <v>45897</v>
      </c>
      <c r="DA414" s="13" t="s">
        <v>1080</v>
      </c>
      <c r="DB414" s="13">
        <v>14</v>
      </c>
      <c r="DC414" s="13">
        <v>9</v>
      </c>
      <c r="DD414" s="13"/>
      <c r="DE414" s="13" t="s">
        <v>3251</v>
      </c>
    </row>
    <row r="415" spans="1:109" ht="20">
      <c r="A415" s="13" t="s">
        <v>3396</v>
      </c>
      <c r="B415" s="13"/>
      <c r="C415" s="13" t="s">
        <v>3325</v>
      </c>
      <c r="D415" s="14" t="s">
        <v>3816</v>
      </c>
      <c r="E415" s="13" t="s">
        <v>672</v>
      </c>
      <c r="F415" s="13" t="s">
        <v>844</v>
      </c>
      <c r="G415" s="13"/>
      <c r="H415" s="14" t="s">
        <v>703</v>
      </c>
      <c r="I415" s="13" t="s">
        <v>3146</v>
      </c>
      <c r="J415" s="13" t="s">
        <v>2342</v>
      </c>
      <c r="K415" s="13" t="s">
        <v>3818</v>
      </c>
      <c r="L415" s="13" t="s">
        <v>641</v>
      </c>
      <c r="M415" s="13">
        <v>22</v>
      </c>
      <c r="N415" s="13"/>
      <c r="O415" s="15"/>
      <c r="P415" s="13"/>
      <c r="Q415" s="13">
        <v>52.08</v>
      </c>
      <c r="R415" s="13">
        <v>11.56</v>
      </c>
      <c r="S415" s="13"/>
      <c r="T415" s="13"/>
      <c r="U415" s="13"/>
      <c r="V415" s="13"/>
      <c r="W415" s="2">
        <v>0.54100000000000004</v>
      </c>
      <c r="X415" s="13">
        <v>40.97</v>
      </c>
      <c r="Y415" s="13">
        <v>4.83</v>
      </c>
      <c r="Z415" s="13"/>
      <c r="AA415" s="13"/>
      <c r="AB415" s="13"/>
      <c r="AC415" s="13">
        <v>29</v>
      </c>
      <c r="AD415" s="13">
        <f t="shared" si="44"/>
        <v>1.3181818181818181</v>
      </c>
      <c r="AE415" s="13">
        <v>10.71</v>
      </c>
      <c r="AF415" s="13">
        <v>6.53</v>
      </c>
      <c r="AG415" s="13"/>
      <c r="AH415" s="13"/>
      <c r="AI415" s="13"/>
      <c r="AJ415" s="13"/>
      <c r="AK415" s="13"/>
      <c r="AL415" s="13"/>
      <c r="AM415" s="13"/>
      <c r="AN415" s="13"/>
      <c r="AO415" s="13"/>
      <c r="AP415" s="13"/>
      <c r="AQ415" s="13"/>
      <c r="AR415" s="13"/>
      <c r="AS415" s="13"/>
      <c r="AT415" s="13"/>
      <c r="AU415" s="14" t="s">
        <v>3832</v>
      </c>
      <c r="AV415" s="13" t="s">
        <v>2490</v>
      </c>
      <c r="AW415" s="13"/>
      <c r="AX415" s="13">
        <v>1.03</v>
      </c>
      <c r="AY415" s="13">
        <v>0.97</v>
      </c>
      <c r="AZ415" s="13">
        <v>1.1100000000000001</v>
      </c>
      <c r="BA415" s="16"/>
      <c r="BB415" s="13"/>
      <c r="BC415" s="13"/>
      <c r="BD415" s="13"/>
      <c r="BE415" s="16"/>
      <c r="BF415" s="13"/>
      <c r="BG415" s="13"/>
      <c r="BH415" s="13"/>
      <c r="BI415" s="13"/>
      <c r="BJ415" s="16"/>
      <c r="BK415" s="13"/>
      <c r="BL415" s="13"/>
      <c r="BM415" s="13"/>
      <c r="BN415" s="16" t="s">
        <v>2231</v>
      </c>
      <c r="BO415" s="13" t="s">
        <v>2490</v>
      </c>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t="s">
        <v>3833</v>
      </c>
      <c r="CW415" s="13" t="s">
        <v>3532</v>
      </c>
      <c r="CX415" s="13" t="s">
        <v>3533</v>
      </c>
      <c r="CY415" s="13">
        <v>2024</v>
      </c>
      <c r="CZ415" s="21">
        <v>45897</v>
      </c>
      <c r="DA415" s="13" t="s">
        <v>1080</v>
      </c>
      <c r="DB415" s="13">
        <v>14</v>
      </c>
      <c r="DC415" s="13">
        <v>9</v>
      </c>
      <c r="DD415" s="13"/>
      <c r="DE415" s="13" t="s">
        <v>3251</v>
      </c>
    </row>
    <row r="416" spans="1:109" ht="20">
      <c r="A416" s="13" t="s">
        <v>3396</v>
      </c>
      <c r="B416" s="13"/>
      <c r="C416" s="13" t="s">
        <v>3325</v>
      </c>
      <c r="D416" s="14" t="s">
        <v>3816</v>
      </c>
      <c r="E416" s="13" t="s">
        <v>673</v>
      </c>
      <c r="F416" s="13" t="s">
        <v>844</v>
      </c>
      <c r="G416" s="13"/>
      <c r="H416" s="14" t="s">
        <v>703</v>
      </c>
      <c r="I416" s="13" t="s">
        <v>3146</v>
      </c>
      <c r="J416" s="13" t="s">
        <v>2342</v>
      </c>
      <c r="K416" s="13" t="s">
        <v>3818</v>
      </c>
      <c r="L416" s="13" t="s">
        <v>641</v>
      </c>
      <c r="M416" s="13">
        <v>23</v>
      </c>
      <c r="N416" s="13"/>
      <c r="O416" s="15"/>
      <c r="P416" s="13"/>
      <c r="Q416" s="13">
        <v>52.08</v>
      </c>
      <c r="R416" s="13">
        <v>11.56</v>
      </c>
      <c r="S416" s="13"/>
      <c r="T416" s="13"/>
      <c r="U416" s="13"/>
      <c r="V416" s="13"/>
      <c r="W416" s="2">
        <v>0.54100000000000004</v>
      </c>
      <c r="X416" s="13">
        <v>40.97</v>
      </c>
      <c r="Y416" s="13">
        <v>4.83</v>
      </c>
      <c r="Z416" s="13"/>
      <c r="AA416" s="13"/>
      <c r="AB416" s="13"/>
      <c r="AC416" s="13">
        <v>29</v>
      </c>
      <c r="AD416" s="13">
        <f t="shared" si="44"/>
        <v>1.2608695652173914</v>
      </c>
      <c r="AE416" s="13">
        <v>10.71</v>
      </c>
      <c r="AF416" s="13">
        <v>6.53</v>
      </c>
      <c r="AG416" s="13"/>
      <c r="AH416" s="13"/>
      <c r="AI416" s="13"/>
      <c r="AJ416" s="13"/>
      <c r="AK416" s="13"/>
      <c r="AL416" s="13"/>
      <c r="AM416" s="13"/>
      <c r="AN416" s="13"/>
      <c r="AO416" s="13"/>
      <c r="AP416" s="13"/>
      <c r="AQ416" s="13"/>
      <c r="AR416" s="13"/>
      <c r="AS416" s="13"/>
      <c r="AT416" s="13"/>
      <c r="AU416" s="14" t="s">
        <v>3832</v>
      </c>
      <c r="AV416" s="13" t="s">
        <v>2490</v>
      </c>
      <c r="AW416" s="13"/>
      <c r="AX416" s="13">
        <v>0.98</v>
      </c>
      <c r="AY416" s="13">
        <v>0.91</v>
      </c>
      <c r="AZ416" s="13">
        <v>1.05</v>
      </c>
      <c r="BA416" s="16"/>
      <c r="BB416" s="13"/>
      <c r="BC416" s="13"/>
      <c r="BD416" s="13"/>
      <c r="BE416" s="16"/>
      <c r="BF416" s="13"/>
      <c r="BG416" s="13"/>
      <c r="BH416" s="13"/>
      <c r="BI416" s="13"/>
      <c r="BJ416" s="16"/>
      <c r="BK416" s="13"/>
      <c r="BL416" s="13"/>
      <c r="BM416" s="13"/>
      <c r="BN416" s="16" t="s">
        <v>2231</v>
      </c>
      <c r="BO416" s="13" t="s">
        <v>2490</v>
      </c>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t="s">
        <v>3833</v>
      </c>
      <c r="CW416" s="13" t="s">
        <v>3532</v>
      </c>
      <c r="CX416" s="13" t="s">
        <v>3533</v>
      </c>
      <c r="CY416" s="13">
        <v>2024</v>
      </c>
      <c r="CZ416" s="21">
        <v>45897</v>
      </c>
      <c r="DA416" s="13" t="s">
        <v>1080</v>
      </c>
      <c r="DB416" s="13">
        <v>14</v>
      </c>
      <c r="DC416" s="13">
        <v>9</v>
      </c>
      <c r="DD416" s="13"/>
      <c r="DE416" s="13" t="s">
        <v>3251</v>
      </c>
    </row>
    <row r="417" spans="1:109" ht="20">
      <c r="A417" s="13" t="s">
        <v>3396</v>
      </c>
      <c r="B417" s="13"/>
      <c r="C417" s="13" t="s">
        <v>3325</v>
      </c>
      <c r="D417" s="14" t="s">
        <v>3816</v>
      </c>
      <c r="E417" s="13" t="s">
        <v>725</v>
      </c>
      <c r="F417" s="13" t="s">
        <v>3826</v>
      </c>
      <c r="G417" s="13"/>
      <c r="H417" s="14" t="s">
        <v>703</v>
      </c>
      <c r="I417" s="13" t="s">
        <v>3146</v>
      </c>
      <c r="J417" s="13" t="s">
        <v>3831</v>
      </c>
      <c r="K417" s="13" t="s">
        <v>3818</v>
      </c>
      <c r="L417" s="13" t="s">
        <v>3829</v>
      </c>
      <c r="M417" s="13">
        <v>33</v>
      </c>
      <c r="N417" s="13"/>
      <c r="O417" s="15"/>
      <c r="P417" s="13"/>
      <c r="Q417" s="13">
        <v>52.08</v>
      </c>
      <c r="R417" s="13">
        <v>11.56</v>
      </c>
      <c r="S417" s="13"/>
      <c r="T417" s="13"/>
      <c r="U417" s="13"/>
      <c r="V417" s="13"/>
      <c r="W417" s="2">
        <v>0.54100000000000004</v>
      </c>
      <c r="X417" s="13">
        <v>40.97</v>
      </c>
      <c r="Y417" s="13">
        <v>4.83</v>
      </c>
      <c r="Z417" s="13"/>
      <c r="AA417" s="13"/>
      <c r="AB417" s="13"/>
      <c r="AC417" s="13">
        <v>29</v>
      </c>
      <c r="AD417" s="13">
        <f t="shared" si="44"/>
        <v>0.87878787878787878</v>
      </c>
      <c r="AE417" s="13">
        <v>10.71</v>
      </c>
      <c r="AF417" s="13">
        <v>6.53</v>
      </c>
      <c r="AG417" s="13"/>
      <c r="AH417" s="13"/>
      <c r="AI417" s="13"/>
      <c r="AJ417" s="13"/>
      <c r="AK417" s="13"/>
      <c r="AL417" s="13"/>
      <c r="AM417" s="13"/>
      <c r="AN417" s="13"/>
      <c r="AO417" s="13"/>
      <c r="AP417" s="13"/>
      <c r="AQ417" s="13"/>
      <c r="AR417" s="13"/>
      <c r="AS417" s="13"/>
      <c r="AT417" s="13"/>
      <c r="AU417" s="14" t="s">
        <v>3832</v>
      </c>
      <c r="AV417" s="13" t="s">
        <v>2490</v>
      </c>
      <c r="AW417" s="13"/>
      <c r="AX417" s="13">
        <v>0.28000000000000003</v>
      </c>
      <c r="AY417" s="13">
        <v>0.11</v>
      </c>
      <c r="AZ417" s="13">
        <v>0.96</v>
      </c>
      <c r="BA417" s="16"/>
      <c r="BB417" s="13"/>
      <c r="BC417" s="13"/>
      <c r="BD417" s="13"/>
      <c r="BE417" s="16"/>
      <c r="BF417" s="13"/>
      <c r="BG417" s="13"/>
      <c r="BH417" s="13"/>
      <c r="BI417" s="13"/>
      <c r="BJ417" s="16"/>
      <c r="BK417" s="13"/>
      <c r="BL417" s="13"/>
      <c r="BM417" s="13"/>
      <c r="BN417" s="16" t="s">
        <v>2231</v>
      </c>
      <c r="BO417" s="13" t="s">
        <v>2490</v>
      </c>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t="s">
        <v>3833</v>
      </c>
      <c r="CW417" s="13" t="s">
        <v>3532</v>
      </c>
      <c r="CX417" s="13" t="s">
        <v>3533</v>
      </c>
      <c r="CY417" s="13">
        <v>2024</v>
      </c>
      <c r="CZ417" s="21">
        <v>45897</v>
      </c>
      <c r="DA417" s="13" t="s">
        <v>1080</v>
      </c>
      <c r="DB417" s="13">
        <v>14</v>
      </c>
      <c r="DC417" s="13">
        <v>9</v>
      </c>
      <c r="DD417" s="13"/>
      <c r="DE417" s="13" t="s">
        <v>3251</v>
      </c>
    </row>
    <row r="418" spans="1:109" ht="20">
      <c r="A418" s="13" t="s">
        <v>3396</v>
      </c>
      <c r="B418" s="13"/>
      <c r="C418" s="13" t="s">
        <v>3325</v>
      </c>
      <c r="D418" s="14" t="s">
        <v>3816</v>
      </c>
      <c r="E418" s="13" t="s">
        <v>725</v>
      </c>
      <c r="F418" s="13" t="s">
        <v>3827</v>
      </c>
      <c r="G418" s="13"/>
      <c r="H418" s="14" t="s">
        <v>703</v>
      </c>
      <c r="I418" s="13" t="s">
        <v>3146</v>
      </c>
      <c r="J418" s="13" t="s">
        <v>3831</v>
      </c>
      <c r="K418" s="13" t="s">
        <v>3818</v>
      </c>
      <c r="L418" s="13" t="s">
        <v>3829</v>
      </c>
      <c r="M418" s="13">
        <v>37</v>
      </c>
      <c r="N418" s="13"/>
      <c r="O418" s="15"/>
      <c r="P418" s="13"/>
      <c r="Q418" s="13">
        <v>52.08</v>
      </c>
      <c r="R418" s="13">
        <v>11.56</v>
      </c>
      <c r="S418" s="13"/>
      <c r="T418" s="13"/>
      <c r="U418" s="13"/>
      <c r="V418" s="13">
        <v>20</v>
      </c>
      <c r="W418" s="2">
        <f>V418/M418</f>
        <v>0.54054054054054057</v>
      </c>
      <c r="X418" s="13">
        <v>40.97</v>
      </c>
      <c r="Y418" s="13">
        <v>4.83</v>
      </c>
      <c r="Z418" s="13"/>
      <c r="AA418" s="13"/>
      <c r="AB418" s="13"/>
      <c r="AC418" s="13">
        <v>29</v>
      </c>
      <c r="AD418" s="13">
        <f t="shared" si="44"/>
        <v>0.78378378378378377</v>
      </c>
      <c r="AE418" s="13">
        <v>10.71</v>
      </c>
      <c r="AF418" s="13">
        <v>6.53</v>
      </c>
      <c r="AG418" s="13"/>
      <c r="AH418" s="13"/>
      <c r="AI418" s="13"/>
      <c r="AJ418" s="13"/>
      <c r="AK418" s="13"/>
      <c r="AL418" s="13"/>
      <c r="AM418" s="13"/>
      <c r="AN418" s="13"/>
      <c r="AO418" s="13"/>
      <c r="AP418" s="13"/>
      <c r="AQ418" s="13"/>
      <c r="AR418" s="13"/>
      <c r="AS418" s="13"/>
      <c r="AT418" s="13"/>
      <c r="AU418" s="14" t="s">
        <v>3832</v>
      </c>
      <c r="AV418" s="13" t="s">
        <v>2490</v>
      </c>
      <c r="AW418" s="13"/>
      <c r="AX418" s="13">
        <v>1.1399999999999999</v>
      </c>
      <c r="AY418" s="13">
        <v>0.88</v>
      </c>
      <c r="AZ418" s="13">
        <v>1.48</v>
      </c>
      <c r="BA418" s="16"/>
      <c r="BB418" s="13"/>
      <c r="BC418" s="13"/>
      <c r="BD418" s="13"/>
      <c r="BE418" s="16"/>
      <c r="BF418" s="13"/>
      <c r="BG418" s="13"/>
      <c r="BH418" s="13"/>
      <c r="BI418" s="13"/>
      <c r="BJ418" s="16"/>
      <c r="BK418" s="13"/>
      <c r="BL418" s="13"/>
      <c r="BM418" s="13"/>
      <c r="BN418" s="16" t="s">
        <v>2231</v>
      </c>
      <c r="BO418" s="13" t="s">
        <v>2490</v>
      </c>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t="s">
        <v>3833</v>
      </c>
      <c r="CW418" s="13" t="s">
        <v>3532</v>
      </c>
      <c r="CX418" s="13" t="s">
        <v>3533</v>
      </c>
      <c r="CY418" s="13">
        <v>2024</v>
      </c>
      <c r="CZ418" s="21">
        <v>45897</v>
      </c>
      <c r="DA418" s="13" t="s">
        <v>1080</v>
      </c>
      <c r="DB418" s="13">
        <v>14</v>
      </c>
      <c r="DC418" s="13">
        <v>9</v>
      </c>
      <c r="DD418" s="13"/>
      <c r="DE418" s="13" t="s">
        <v>3251</v>
      </c>
    </row>
    <row r="419" spans="1:109" ht="20">
      <c r="A419" s="13" t="s">
        <v>3396</v>
      </c>
      <c r="B419" s="13"/>
      <c r="C419" s="13" t="s">
        <v>3325</v>
      </c>
      <c r="D419" s="14" t="s">
        <v>3816</v>
      </c>
      <c r="E419" s="13" t="s">
        <v>725</v>
      </c>
      <c r="F419" s="13" t="s">
        <v>2595</v>
      </c>
      <c r="G419" s="13"/>
      <c r="H419" s="14" t="s">
        <v>703</v>
      </c>
      <c r="I419" s="13" t="s">
        <v>3146</v>
      </c>
      <c r="J419" s="13" t="s">
        <v>3831</v>
      </c>
      <c r="K419" s="13" t="s">
        <v>3818</v>
      </c>
      <c r="L419" s="13"/>
      <c r="M419" s="13">
        <v>33</v>
      </c>
      <c r="N419" s="13"/>
      <c r="O419" s="15"/>
      <c r="P419" s="13"/>
      <c r="Q419" s="13">
        <v>52.08</v>
      </c>
      <c r="R419" s="13">
        <v>11.56</v>
      </c>
      <c r="S419" s="13"/>
      <c r="T419" s="13"/>
      <c r="U419" s="13"/>
      <c r="V419" s="13"/>
      <c r="W419" s="2">
        <v>0.54100000000000004</v>
      </c>
      <c r="X419" s="13">
        <v>40.97</v>
      </c>
      <c r="Y419" s="13">
        <v>4.83</v>
      </c>
      <c r="Z419" s="13"/>
      <c r="AA419" s="13"/>
      <c r="AB419" s="13"/>
      <c r="AC419" s="13">
        <v>29</v>
      </c>
      <c r="AD419" s="13">
        <f t="shared" si="44"/>
        <v>0.87878787878787878</v>
      </c>
      <c r="AE419" s="13">
        <v>10.71</v>
      </c>
      <c r="AF419" s="13">
        <v>6.53</v>
      </c>
      <c r="AG419" s="13"/>
      <c r="AH419" s="13"/>
      <c r="AI419" s="13"/>
      <c r="AJ419" s="13"/>
      <c r="AK419" s="13"/>
      <c r="AL419" s="13"/>
      <c r="AM419" s="13"/>
      <c r="AN419" s="13"/>
      <c r="AO419" s="13"/>
      <c r="AP419" s="13"/>
      <c r="AQ419" s="13"/>
      <c r="AR419" s="13"/>
      <c r="AS419" s="13"/>
      <c r="AT419" s="13"/>
      <c r="AU419" s="14" t="s">
        <v>3832</v>
      </c>
      <c r="AV419" s="13" t="s">
        <v>2490</v>
      </c>
      <c r="AW419" s="13"/>
      <c r="AX419" s="13">
        <v>0.04</v>
      </c>
      <c r="AY419" s="13">
        <v>0</v>
      </c>
      <c r="AZ419" s="13">
        <v>0.46</v>
      </c>
      <c r="BA419" s="16"/>
      <c r="BB419" s="13"/>
      <c r="BC419" s="13"/>
      <c r="BD419" s="13"/>
      <c r="BE419" s="16" t="s">
        <v>3835</v>
      </c>
      <c r="BF419" s="13"/>
      <c r="BG419" s="13">
        <v>1.41</v>
      </c>
      <c r="BH419" s="13">
        <v>1.1100000000000001</v>
      </c>
      <c r="BI419" s="13">
        <v>1.8</v>
      </c>
      <c r="BJ419" s="16"/>
      <c r="BK419" s="13"/>
      <c r="BL419" s="13"/>
      <c r="BM419" s="13"/>
      <c r="BN419" s="16" t="s">
        <v>2231</v>
      </c>
      <c r="BO419" s="13" t="s">
        <v>2490</v>
      </c>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t="s">
        <v>3833</v>
      </c>
      <c r="CW419" s="13" t="s">
        <v>3532</v>
      </c>
      <c r="CX419" s="13" t="s">
        <v>3533</v>
      </c>
      <c r="CY419" s="13">
        <v>2024</v>
      </c>
      <c r="CZ419" s="21">
        <v>45897</v>
      </c>
      <c r="DA419" s="13" t="s">
        <v>1080</v>
      </c>
      <c r="DB419" s="13">
        <v>14</v>
      </c>
      <c r="DC419" s="13">
        <v>9</v>
      </c>
      <c r="DD419" s="13"/>
      <c r="DE419" s="13" t="s">
        <v>3251</v>
      </c>
    </row>
    <row r="420" spans="1:109" ht="20">
      <c r="A420" s="13" t="s">
        <v>3396</v>
      </c>
      <c r="B420" s="13"/>
      <c r="C420" s="13" t="s">
        <v>3325</v>
      </c>
      <c r="D420" s="14" t="s">
        <v>3816</v>
      </c>
      <c r="E420" s="13" t="s">
        <v>725</v>
      </c>
      <c r="F420" s="13" t="s">
        <v>3828</v>
      </c>
      <c r="G420" s="13"/>
      <c r="H420" s="14" t="s">
        <v>703</v>
      </c>
      <c r="I420" s="13" t="s">
        <v>3146</v>
      </c>
      <c r="J420" s="13" t="s">
        <v>3831</v>
      </c>
      <c r="K420" s="13" t="s">
        <v>3818</v>
      </c>
      <c r="L420" s="13" t="s">
        <v>3829</v>
      </c>
      <c r="M420" s="13">
        <v>33</v>
      </c>
      <c r="N420" s="13"/>
      <c r="O420" s="15"/>
      <c r="P420" s="13"/>
      <c r="Q420" s="13">
        <v>52.08</v>
      </c>
      <c r="R420" s="13">
        <v>11.56</v>
      </c>
      <c r="S420" s="13"/>
      <c r="T420" s="13"/>
      <c r="U420" s="13"/>
      <c r="V420" s="13"/>
      <c r="W420" s="2">
        <v>0.54100000000000004</v>
      </c>
      <c r="X420" s="13">
        <v>40.97</v>
      </c>
      <c r="Y420" s="13">
        <v>4.83</v>
      </c>
      <c r="Z420" s="13"/>
      <c r="AA420" s="13"/>
      <c r="AB420" s="13"/>
      <c r="AC420" s="13">
        <v>29</v>
      </c>
      <c r="AD420" s="13">
        <f t="shared" si="44"/>
        <v>0.87878787878787878</v>
      </c>
      <c r="AE420" s="13">
        <v>10.71</v>
      </c>
      <c r="AF420" s="13">
        <v>6.53</v>
      </c>
      <c r="AG420" s="13"/>
      <c r="AH420" s="13"/>
      <c r="AI420" s="13"/>
      <c r="AJ420" s="13"/>
      <c r="AK420" s="13"/>
      <c r="AL420" s="13"/>
      <c r="AM420" s="13"/>
      <c r="AN420" s="13"/>
      <c r="AO420" s="13"/>
      <c r="AP420" s="13"/>
      <c r="AQ420" s="13"/>
      <c r="AR420" s="13"/>
      <c r="AS420" s="13"/>
      <c r="AT420" s="13"/>
      <c r="AU420" s="14" t="s">
        <v>3832</v>
      </c>
      <c r="AV420" s="13" t="s">
        <v>2490</v>
      </c>
      <c r="AW420" s="13"/>
      <c r="AX420" s="13">
        <v>0.95</v>
      </c>
      <c r="AY420" s="13">
        <v>0.03</v>
      </c>
      <c r="AZ420" s="13">
        <v>28.07</v>
      </c>
      <c r="BA420" s="16"/>
      <c r="BB420" s="13"/>
      <c r="BC420" s="13"/>
      <c r="BD420" s="13"/>
      <c r="BE420" s="16"/>
      <c r="BF420" s="13"/>
      <c r="BG420" s="13"/>
      <c r="BH420" s="13"/>
      <c r="BI420" s="13"/>
      <c r="BJ420" s="16"/>
      <c r="BK420" s="13"/>
      <c r="BL420" s="13"/>
      <c r="BM420" s="13"/>
      <c r="BN420" s="16" t="s">
        <v>2231</v>
      </c>
      <c r="BO420" s="13" t="s">
        <v>2490</v>
      </c>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t="s">
        <v>3833</v>
      </c>
      <c r="CW420" s="13" t="s">
        <v>3532</v>
      </c>
      <c r="CX420" s="13" t="s">
        <v>3533</v>
      </c>
      <c r="CY420" s="13">
        <v>2024</v>
      </c>
      <c r="CZ420" s="21">
        <v>45897</v>
      </c>
      <c r="DA420" s="13" t="s">
        <v>1080</v>
      </c>
      <c r="DB420" s="13">
        <v>14</v>
      </c>
      <c r="DC420" s="13">
        <v>9</v>
      </c>
      <c r="DD420" s="13"/>
      <c r="DE420" s="13" t="s">
        <v>3251</v>
      </c>
    </row>
    <row r="421" spans="1:109" ht="20">
      <c r="A421" s="13" t="s">
        <v>3396</v>
      </c>
      <c r="B421" s="13"/>
      <c r="C421" s="13" t="s">
        <v>3325</v>
      </c>
      <c r="D421" s="14" t="s">
        <v>3816</v>
      </c>
      <c r="E421" s="13" t="s">
        <v>725</v>
      </c>
      <c r="F421" s="13" t="s">
        <v>2273</v>
      </c>
      <c r="G421" s="13"/>
      <c r="H421" s="14" t="s">
        <v>703</v>
      </c>
      <c r="I421" s="13" t="s">
        <v>3146</v>
      </c>
      <c r="J421" s="13" t="s">
        <v>3831</v>
      </c>
      <c r="K421" s="13" t="s">
        <v>3818</v>
      </c>
      <c r="L421" s="13" t="s">
        <v>2455</v>
      </c>
      <c r="M421" s="13">
        <v>33</v>
      </c>
      <c r="N421" s="13"/>
      <c r="O421" s="15"/>
      <c r="P421" s="13"/>
      <c r="Q421" s="13">
        <v>52.08</v>
      </c>
      <c r="R421" s="13">
        <v>11.56</v>
      </c>
      <c r="S421" s="13"/>
      <c r="T421" s="13"/>
      <c r="U421" s="13"/>
      <c r="V421" s="13"/>
      <c r="W421" s="2">
        <v>0.54100000000000004</v>
      </c>
      <c r="X421" s="13">
        <v>40.97</v>
      </c>
      <c r="Y421" s="13">
        <v>4.83</v>
      </c>
      <c r="Z421" s="13"/>
      <c r="AA421" s="13"/>
      <c r="AB421" s="13"/>
      <c r="AC421" s="13">
        <v>29</v>
      </c>
      <c r="AD421" s="13">
        <f t="shared" si="44"/>
        <v>0.87878787878787878</v>
      </c>
      <c r="AE421" s="13">
        <v>10.71</v>
      </c>
      <c r="AF421" s="13">
        <v>6.53</v>
      </c>
      <c r="AG421" s="13"/>
      <c r="AH421" s="13"/>
      <c r="AI421" s="13"/>
      <c r="AJ421" s="13"/>
      <c r="AK421" s="13"/>
      <c r="AL421" s="13"/>
      <c r="AM421" s="13"/>
      <c r="AN421" s="13"/>
      <c r="AO421" s="13"/>
      <c r="AP421" s="13"/>
      <c r="AQ421" s="13"/>
      <c r="AR421" s="13"/>
      <c r="AS421" s="13"/>
      <c r="AT421" s="13"/>
      <c r="AU421" s="14" t="s">
        <v>3832</v>
      </c>
      <c r="AV421" s="13" t="s">
        <v>2490</v>
      </c>
      <c r="AW421" s="13"/>
      <c r="AX421" s="13">
        <v>1.31</v>
      </c>
      <c r="AY421" s="13">
        <v>0.39</v>
      </c>
      <c r="AZ421" s="13">
        <v>4.41</v>
      </c>
      <c r="BA421" s="16"/>
      <c r="BB421" s="13"/>
      <c r="BC421" s="13"/>
      <c r="BD421" s="13"/>
      <c r="BE421" s="16"/>
      <c r="BF421" s="13"/>
      <c r="BG421" s="13"/>
      <c r="BH421" s="13"/>
      <c r="BI421" s="13"/>
      <c r="BJ421" s="16"/>
      <c r="BK421" s="13"/>
      <c r="BL421" s="13"/>
      <c r="BM421" s="13"/>
      <c r="BN421" s="16" t="s">
        <v>2231</v>
      </c>
      <c r="BO421" s="13" t="s">
        <v>2490</v>
      </c>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t="s">
        <v>3833</v>
      </c>
      <c r="CW421" s="13" t="s">
        <v>3532</v>
      </c>
      <c r="CX421" s="13" t="s">
        <v>3533</v>
      </c>
      <c r="CY421" s="13">
        <v>2024</v>
      </c>
      <c r="CZ421" s="21">
        <v>45897</v>
      </c>
      <c r="DA421" s="13" t="s">
        <v>1080</v>
      </c>
      <c r="DB421" s="13">
        <v>14</v>
      </c>
      <c r="DC421" s="13">
        <v>9</v>
      </c>
      <c r="DD421" s="13"/>
      <c r="DE421" s="13" t="s">
        <v>3251</v>
      </c>
    </row>
    <row r="422" spans="1:109" ht="20">
      <c r="A422" s="13" t="s">
        <v>1717</v>
      </c>
      <c r="B422" s="13" t="s">
        <v>1717</v>
      </c>
      <c r="C422" s="13" t="s">
        <v>348</v>
      </c>
      <c r="D422" s="13" t="s">
        <v>914</v>
      </c>
      <c r="E422" s="13" t="s">
        <v>672</v>
      </c>
      <c r="F422" s="13" t="s">
        <v>684</v>
      </c>
      <c r="H422" s="13" t="s">
        <v>669</v>
      </c>
      <c r="I422" s="14" t="s">
        <v>3636</v>
      </c>
      <c r="J422" s="13" t="s">
        <v>1971</v>
      </c>
      <c r="K422" s="13" t="s">
        <v>915</v>
      </c>
      <c r="M422" s="13">
        <v>50</v>
      </c>
      <c r="N422" s="13">
        <v>2</v>
      </c>
      <c r="O422" s="15">
        <v>0.04</v>
      </c>
      <c r="P422" s="13">
        <v>4</v>
      </c>
      <c r="Q422" s="13">
        <v>67.5</v>
      </c>
      <c r="R422" s="13">
        <v>10.4</v>
      </c>
      <c r="S422" s="13"/>
      <c r="T422" s="13"/>
      <c r="U422" s="13"/>
      <c r="V422" s="14">
        <v>26</v>
      </c>
      <c r="W422" s="14">
        <f t="shared" ref="W422:W433" si="45">V422/M422</f>
        <v>0.52</v>
      </c>
      <c r="X422" s="14">
        <v>38.9</v>
      </c>
      <c r="Y422" s="14">
        <v>5.86</v>
      </c>
      <c r="AD422" s="34">
        <v>0.64</v>
      </c>
      <c r="AE422" s="35">
        <v>15</v>
      </c>
      <c r="CW422" s="13" t="s">
        <v>344</v>
      </c>
      <c r="CX422" s="13" t="s">
        <v>345</v>
      </c>
      <c r="CY422" s="13">
        <v>2024</v>
      </c>
      <c r="CZ422" s="13"/>
      <c r="DA422" s="13" t="s">
        <v>284</v>
      </c>
      <c r="DB422" s="13">
        <v>19</v>
      </c>
      <c r="DC422" s="13">
        <v>4</v>
      </c>
      <c r="DD422" s="13" t="s">
        <v>346</v>
      </c>
      <c r="DE422" s="13" t="s">
        <v>347</v>
      </c>
    </row>
    <row r="423" spans="1:109">
      <c r="A423" s="14" t="s">
        <v>1858</v>
      </c>
      <c r="C423" s="14" t="s">
        <v>1365</v>
      </c>
      <c r="D423" s="14" t="s">
        <v>831</v>
      </c>
      <c r="E423" s="14" t="s">
        <v>702</v>
      </c>
      <c r="F423" s="14" t="s">
        <v>2627</v>
      </c>
      <c r="H423" s="14" t="s">
        <v>703</v>
      </c>
      <c r="I423" s="14" t="s">
        <v>4074</v>
      </c>
      <c r="J423" s="14" t="s">
        <v>2625</v>
      </c>
      <c r="L423" s="14" t="s">
        <v>2626</v>
      </c>
      <c r="M423" s="14">
        <v>93</v>
      </c>
      <c r="N423" s="14">
        <v>0</v>
      </c>
      <c r="S423" s="14">
        <v>65</v>
      </c>
      <c r="V423" s="14">
        <v>50</v>
      </c>
      <c r="W423" s="14">
        <f t="shared" si="45"/>
        <v>0.5376344086021505</v>
      </c>
      <c r="Z423" s="14">
        <v>25</v>
      </c>
      <c r="AC423" s="14">
        <v>65</v>
      </c>
      <c r="AD423" s="34">
        <f t="shared" ref="AD423:AD433" si="46">AC423/M423</f>
        <v>0.69892473118279574</v>
      </c>
      <c r="AG423" s="35">
        <v>22</v>
      </c>
      <c r="AQ423" s="35">
        <v>14.5</v>
      </c>
      <c r="AU423" s="14" t="s">
        <v>2449</v>
      </c>
      <c r="AX423" s="14">
        <v>0.94</v>
      </c>
      <c r="AY423" s="14">
        <v>0.85</v>
      </c>
      <c r="AZ423" s="14">
        <v>1.03</v>
      </c>
      <c r="BE423" s="29" t="s">
        <v>2638</v>
      </c>
      <c r="BG423" s="14">
        <v>0.92</v>
      </c>
      <c r="BH423" s="14">
        <v>0.83</v>
      </c>
      <c r="BI423" s="14">
        <v>1.01</v>
      </c>
      <c r="BN423" s="14" t="s">
        <v>2552</v>
      </c>
      <c r="BO423" s="14" t="s">
        <v>2490</v>
      </c>
      <c r="BP423" s="14" t="s">
        <v>2490</v>
      </c>
      <c r="BU423" s="14" t="s">
        <v>2639</v>
      </c>
      <c r="CC423" s="14">
        <v>0.23400000000000001</v>
      </c>
      <c r="CG423" s="14">
        <v>0.04</v>
      </c>
      <c r="CV423" s="14" t="s">
        <v>2640</v>
      </c>
      <c r="CW423" s="14" t="s">
        <v>1361</v>
      </c>
      <c r="CX423" s="14" t="s">
        <v>1362</v>
      </c>
      <c r="CY423" s="14">
        <v>2020</v>
      </c>
      <c r="CZ423" s="36" t="s">
        <v>12</v>
      </c>
      <c r="DA423" s="14" t="s">
        <v>1363</v>
      </c>
      <c r="DB423" s="14">
        <v>139</v>
      </c>
      <c r="DD423" s="14" t="s">
        <v>2179</v>
      </c>
      <c r="DE423" s="14" t="s">
        <v>1364</v>
      </c>
    </row>
    <row r="424" spans="1:109">
      <c r="A424" s="14" t="s">
        <v>1858</v>
      </c>
      <c r="C424" s="14" t="s">
        <v>1365</v>
      </c>
      <c r="D424" s="14" t="s">
        <v>831</v>
      </c>
      <c r="E424" s="14" t="s">
        <v>702</v>
      </c>
      <c r="F424" s="14" t="s">
        <v>2628</v>
      </c>
      <c r="H424" s="14" t="s">
        <v>703</v>
      </c>
      <c r="I424" s="14" t="s">
        <v>2927</v>
      </c>
      <c r="J424" s="14" t="s">
        <v>2625</v>
      </c>
      <c r="L424" s="14" t="s">
        <v>2626</v>
      </c>
      <c r="M424" s="14">
        <v>93</v>
      </c>
      <c r="N424" s="14">
        <v>0</v>
      </c>
      <c r="S424" s="14">
        <v>65</v>
      </c>
      <c r="V424" s="14">
        <v>50</v>
      </c>
      <c r="W424" s="14">
        <f t="shared" si="45"/>
        <v>0.5376344086021505</v>
      </c>
      <c r="Z424" s="14">
        <v>25</v>
      </c>
      <c r="AC424" s="14">
        <v>65</v>
      </c>
      <c r="AD424" s="34">
        <f t="shared" si="46"/>
        <v>0.69892473118279574</v>
      </c>
      <c r="AG424" s="35">
        <v>22</v>
      </c>
      <c r="AQ424" s="35">
        <v>14.5</v>
      </c>
      <c r="AU424" s="14" t="s">
        <v>2449</v>
      </c>
      <c r="AX424" s="14">
        <v>1.01</v>
      </c>
      <c r="AY424" s="14">
        <v>0.97</v>
      </c>
      <c r="AZ424" s="14">
        <v>1.04</v>
      </c>
      <c r="BE424" s="29" t="s">
        <v>2638</v>
      </c>
      <c r="BG424" s="14">
        <v>0.99</v>
      </c>
      <c r="BH424" s="14">
        <v>0.96</v>
      </c>
      <c r="BI424" s="14">
        <v>1.03</v>
      </c>
      <c r="BN424" s="14" t="s">
        <v>2552</v>
      </c>
      <c r="BU424" s="14" t="s">
        <v>2639</v>
      </c>
      <c r="CV424" s="14" t="s">
        <v>2640</v>
      </c>
      <c r="CW424" s="14" t="s">
        <v>1361</v>
      </c>
      <c r="CX424" s="14" t="s">
        <v>1362</v>
      </c>
      <c r="CY424" s="14">
        <v>2020</v>
      </c>
      <c r="CZ424" s="36" t="s">
        <v>12</v>
      </c>
      <c r="DA424" s="14" t="s">
        <v>1363</v>
      </c>
      <c r="DB424" s="14">
        <v>139</v>
      </c>
      <c r="DD424" s="14" t="s">
        <v>2179</v>
      </c>
      <c r="DE424" s="14" t="s">
        <v>1364</v>
      </c>
    </row>
    <row r="425" spans="1:109">
      <c r="A425" s="14" t="s">
        <v>1858</v>
      </c>
      <c r="C425" s="14" t="s">
        <v>1365</v>
      </c>
      <c r="D425" s="14" t="s">
        <v>831</v>
      </c>
      <c r="E425" s="14" t="s">
        <v>702</v>
      </c>
      <c r="F425" s="14" t="s">
        <v>2629</v>
      </c>
      <c r="H425" s="14" t="s">
        <v>703</v>
      </c>
      <c r="I425" s="14" t="s">
        <v>2927</v>
      </c>
      <c r="J425" s="14" t="s">
        <v>2625</v>
      </c>
      <c r="L425" s="14" t="s">
        <v>2626</v>
      </c>
      <c r="M425" s="14">
        <v>93</v>
      </c>
      <c r="N425" s="14">
        <v>0</v>
      </c>
      <c r="S425" s="14">
        <v>65</v>
      </c>
      <c r="V425" s="14">
        <v>50</v>
      </c>
      <c r="W425" s="14">
        <f t="shared" si="45"/>
        <v>0.5376344086021505</v>
      </c>
      <c r="Z425" s="14">
        <v>25</v>
      </c>
      <c r="AC425" s="14">
        <v>65</v>
      </c>
      <c r="AD425" s="34">
        <f t="shared" si="46"/>
        <v>0.69892473118279574</v>
      </c>
      <c r="AG425" s="35">
        <v>22</v>
      </c>
      <c r="AQ425" s="35">
        <v>14.5</v>
      </c>
      <c r="AU425" s="14" t="s">
        <v>2449</v>
      </c>
      <c r="AX425" s="14">
        <v>1</v>
      </c>
      <c r="AY425" s="14">
        <v>0.97</v>
      </c>
      <c r="AZ425" s="14">
        <v>1.03</v>
      </c>
      <c r="BE425" s="29" t="s">
        <v>2638</v>
      </c>
      <c r="BG425" s="14">
        <v>0.99</v>
      </c>
      <c r="BH425" s="14">
        <v>0.96</v>
      </c>
      <c r="BI425" s="14">
        <v>1.02</v>
      </c>
      <c r="BN425" s="14" t="s">
        <v>2552</v>
      </c>
      <c r="BU425" s="14" t="s">
        <v>2639</v>
      </c>
      <c r="CV425" s="14" t="s">
        <v>2640</v>
      </c>
      <c r="CW425" s="14" t="s">
        <v>1361</v>
      </c>
      <c r="CX425" s="14" t="s">
        <v>1362</v>
      </c>
      <c r="CY425" s="14">
        <v>2020</v>
      </c>
      <c r="CZ425" s="36" t="s">
        <v>12</v>
      </c>
      <c r="DA425" s="14" t="s">
        <v>1363</v>
      </c>
      <c r="DB425" s="14">
        <v>139</v>
      </c>
      <c r="DD425" s="14" t="s">
        <v>2179</v>
      </c>
      <c r="DE425" s="14" t="s">
        <v>1364</v>
      </c>
    </row>
    <row r="426" spans="1:109">
      <c r="A426" s="14" t="s">
        <v>1858</v>
      </c>
      <c r="C426" s="14" t="s">
        <v>1365</v>
      </c>
      <c r="D426" s="14" t="s">
        <v>831</v>
      </c>
      <c r="E426" s="14" t="s">
        <v>702</v>
      </c>
      <c r="F426" s="14" t="s">
        <v>2630</v>
      </c>
      <c r="H426" s="14" t="s">
        <v>703</v>
      </c>
      <c r="I426" s="14" t="s">
        <v>2927</v>
      </c>
      <c r="J426" s="14" t="s">
        <v>2625</v>
      </c>
      <c r="L426" s="14" t="s">
        <v>2626</v>
      </c>
      <c r="M426" s="14">
        <v>93</v>
      </c>
      <c r="N426" s="14">
        <v>0</v>
      </c>
      <c r="S426" s="14">
        <v>65</v>
      </c>
      <c r="V426" s="14">
        <v>50</v>
      </c>
      <c r="W426" s="14">
        <f t="shared" si="45"/>
        <v>0.5376344086021505</v>
      </c>
      <c r="Z426" s="14">
        <v>25</v>
      </c>
      <c r="AC426" s="14">
        <v>65</v>
      </c>
      <c r="AD426" s="34">
        <f t="shared" si="46"/>
        <v>0.69892473118279574</v>
      </c>
      <c r="AG426" s="35">
        <v>22</v>
      </c>
      <c r="AQ426" s="35">
        <v>14.5</v>
      </c>
      <c r="AU426" s="14" t="s">
        <v>2449</v>
      </c>
      <c r="AX426" s="14">
        <v>1.04</v>
      </c>
      <c r="AY426" s="14">
        <v>0.99</v>
      </c>
      <c r="AZ426" s="14">
        <v>1.0900000000000001</v>
      </c>
      <c r="BE426" s="29" t="s">
        <v>2638</v>
      </c>
      <c r="BG426" s="14">
        <v>1</v>
      </c>
      <c r="BH426" s="14">
        <v>0.99</v>
      </c>
      <c r="BI426" s="14">
        <v>1.01</v>
      </c>
      <c r="BN426" s="14" t="s">
        <v>2552</v>
      </c>
      <c r="BO426" s="14" t="s">
        <v>2490</v>
      </c>
      <c r="BP426" s="14" t="s">
        <v>2490</v>
      </c>
      <c r="CC426" s="14">
        <v>-0.22800000000000001</v>
      </c>
      <c r="CG426" s="14">
        <v>0.04</v>
      </c>
      <c r="CV426" s="14" t="s">
        <v>2640</v>
      </c>
      <c r="CW426" s="14" t="s">
        <v>1361</v>
      </c>
      <c r="CX426" s="14" t="s">
        <v>1362</v>
      </c>
      <c r="CY426" s="14">
        <v>2020</v>
      </c>
      <c r="CZ426" s="36" t="s">
        <v>12</v>
      </c>
      <c r="DA426" s="14" t="s">
        <v>1363</v>
      </c>
      <c r="DB426" s="14">
        <v>139</v>
      </c>
      <c r="DD426" s="14" t="s">
        <v>2179</v>
      </c>
      <c r="DE426" s="14" t="s">
        <v>1364</v>
      </c>
    </row>
    <row r="427" spans="1:109">
      <c r="A427" s="14" t="s">
        <v>1858</v>
      </c>
      <c r="C427" s="14" t="s">
        <v>1365</v>
      </c>
      <c r="D427" s="14" t="s">
        <v>831</v>
      </c>
      <c r="E427" s="14" t="s">
        <v>702</v>
      </c>
      <c r="F427" s="14" t="s">
        <v>2632</v>
      </c>
      <c r="H427" s="14" t="s">
        <v>703</v>
      </c>
      <c r="I427" s="14" t="s">
        <v>2927</v>
      </c>
      <c r="J427" s="14" t="s">
        <v>2625</v>
      </c>
      <c r="L427" s="14" t="s">
        <v>2626</v>
      </c>
      <c r="M427" s="14">
        <v>93</v>
      </c>
      <c r="N427" s="14">
        <v>0</v>
      </c>
      <c r="S427" s="14">
        <v>65</v>
      </c>
      <c r="V427" s="14">
        <v>50</v>
      </c>
      <c r="W427" s="14">
        <f t="shared" si="45"/>
        <v>0.5376344086021505</v>
      </c>
      <c r="Z427" s="14">
        <v>25</v>
      </c>
      <c r="AC427" s="14">
        <v>65</v>
      </c>
      <c r="AD427" s="34">
        <f t="shared" si="46"/>
        <v>0.69892473118279574</v>
      </c>
      <c r="AG427" s="35">
        <v>22</v>
      </c>
      <c r="AQ427" s="35">
        <v>14.5</v>
      </c>
      <c r="AU427" s="14" t="s">
        <v>2449</v>
      </c>
      <c r="AX427" s="14">
        <v>1.01</v>
      </c>
      <c r="AY427" s="14">
        <v>0.99</v>
      </c>
      <c r="AZ427" s="14">
        <v>1.02</v>
      </c>
      <c r="BE427" s="29" t="s">
        <v>2638</v>
      </c>
      <c r="BG427" s="14">
        <v>1</v>
      </c>
      <c r="BH427" s="14">
        <v>0.98</v>
      </c>
      <c r="BI427" s="14">
        <v>1.02</v>
      </c>
      <c r="BN427" s="14" t="s">
        <v>2552</v>
      </c>
      <c r="CV427" s="14" t="s">
        <v>2640</v>
      </c>
      <c r="CW427" s="14" t="s">
        <v>1361</v>
      </c>
      <c r="CX427" s="14" t="s">
        <v>1362</v>
      </c>
      <c r="CY427" s="14">
        <v>2020</v>
      </c>
      <c r="CZ427" s="36" t="s">
        <v>12</v>
      </c>
      <c r="DA427" s="14" t="s">
        <v>1363</v>
      </c>
      <c r="DB427" s="14">
        <v>139</v>
      </c>
      <c r="DD427" s="14" t="s">
        <v>2179</v>
      </c>
      <c r="DE427" s="14" t="s">
        <v>1364</v>
      </c>
    </row>
    <row r="428" spans="1:109">
      <c r="A428" s="14" t="s">
        <v>1858</v>
      </c>
      <c r="C428" s="14" t="s">
        <v>1365</v>
      </c>
      <c r="D428" s="14" t="s">
        <v>831</v>
      </c>
      <c r="E428" s="14" t="s">
        <v>702</v>
      </c>
      <c r="F428" s="14" t="s">
        <v>2631</v>
      </c>
      <c r="H428" s="14" t="s">
        <v>703</v>
      </c>
      <c r="I428" s="14" t="s">
        <v>2927</v>
      </c>
      <c r="J428" s="14" t="s">
        <v>2625</v>
      </c>
      <c r="L428" s="14" t="s">
        <v>2626</v>
      </c>
      <c r="M428" s="14">
        <v>93</v>
      </c>
      <c r="N428" s="14">
        <v>0</v>
      </c>
      <c r="S428" s="14">
        <v>65</v>
      </c>
      <c r="V428" s="14">
        <v>50</v>
      </c>
      <c r="W428" s="14">
        <f t="shared" si="45"/>
        <v>0.5376344086021505</v>
      </c>
      <c r="Z428" s="14">
        <v>25</v>
      </c>
      <c r="AC428" s="14">
        <v>65</v>
      </c>
      <c r="AD428" s="34">
        <f t="shared" si="46"/>
        <v>0.69892473118279574</v>
      </c>
      <c r="AG428" s="35">
        <v>22</v>
      </c>
      <c r="AQ428" s="35">
        <v>14.5</v>
      </c>
      <c r="AU428" s="14" t="s">
        <v>2449</v>
      </c>
      <c r="AX428" s="14">
        <v>1</v>
      </c>
      <c r="AY428" s="14">
        <v>0.93</v>
      </c>
      <c r="AZ428" s="14">
        <v>1.08</v>
      </c>
      <c r="BE428" s="29" t="s">
        <v>2638</v>
      </c>
      <c r="BG428" s="14">
        <v>1.03</v>
      </c>
      <c r="BH428" s="14">
        <v>0.95</v>
      </c>
      <c r="BI428" s="14">
        <v>1.1200000000000001</v>
      </c>
      <c r="BN428" s="14" t="s">
        <v>2552</v>
      </c>
      <c r="BU428" s="14" t="s">
        <v>2639</v>
      </c>
      <c r="CV428" s="14" t="s">
        <v>2640</v>
      </c>
      <c r="CW428" s="14" t="s">
        <v>1361</v>
      </c>
      <c r="CX428" s="14" t="s">
        <v>1362</v>
      </c>
      <c r="CY428" s="14">
        <v>2020</v>
      </c>
      <c r="CZ428" s="36" t="s">
        <v>12</v>
      </c>
      <c r="DA428" s="14" t="s">
        <v>1363</v>
      </c>
      <c r="DB428" s="14">
        <v>139</v>
      </c>
      <c r="DD428" s="14" t="s">
        <v>2179</v>
      </c>
      <c r="DE428" s="14" t="s">
        <v>1364</v>
      </c>
    </row>
    <row r="429" spans="1:109">
      <c r="A429" s="14" t="s">
        <v>1858</v>
      </c>
      <c r="C429" s="14" t="s">
        <v>1365</v>
      </c>
      <c r="D429" s="14" t="s">
        <v>831</v>
      </c>
      <c r="E429" s="14" t="s">
        <v>702</v>
      </c>
      <c r="F429" s="14" t="s">
        <v>2633</v>
      </c>
      <c r="H429" s="14" t="s">
        <v>703</v>
      </c>
      <c r="I429" s="14" t="s">
        <v>2927</v>
      </c>
      <c r="J429" s="14" t="s">
        <v>2625</v>
      </c>
      <c r="L429" s="14" t="s">
        <v>2626</v>
      </c>
      <c r="M429" s="14">
        <v>93</v>
      </c>
      <c r="N429" s="14">
        <v>0</v>
      </c>
      <c r="S429" s="14">
        <v>65</v>
      </c>
      <c r="V429" s="14">
        <v>50</v>
      </c>
      <c r="W429" s="14">
        <f t="shared" si="45"/>
        <v>0.5376344086021505</v>
      </c>
      <c r="Z429" s="14">
        <v>25</v>
      </c>
      <c r="AC429" s="14">
        <v>65</v>
      </c>
      <c r="AD429" s="34">
        <f t="shared" si="46"/>
        <v>0.69892473118279574</v>
      </c>
      <c r="AG429" s="35">
        <v>22</v>
      </c>
      <c r="AQ429" s="35">
        <v>14.5</v>
      </c>
      <c r="AU429" s="14" t="s">
        <v>2449</v>
      </c>
      <c r="AX429" s="14">
        <v>0.96</v>
      </c>
      <c r="AY429" s="14">
        <v>0.87</v>
      </c>
      <c r="AZ429" s="14">
        <v>1.06</v>
      </c>
      <c r="BE429" s="29" t="s">
        <v>2638</v>
      </c>
      <c r="BG429" s="14">
        <v>0.97</v>
      </c>
      <c r="BH429" s="14">
        <v>0.88</v>
      </c>
      <c r="BI429" s="14">
        <v>1.07</v>
      </c>
      <c r="BN429" s="14" t="s">
        <v>2552</v>
      </c>
      <c r="BU429" s="14" t="s">
        <v>2639</v>
      </c>
      <c r="CV429" s="14" t="s">
        <v>2640</v>
      </c>
      <c r="CW429" s="14" t="s">
        <v>1361</v>
      </c>
      <c r="CX429" s="14" t="s">
        <v>1362</v>
      </c>
      <c r="CY429" s="14">
        <v>2020</v>
      </c>
      <c r="CZ429" s="36" t="s">
        <v>12</v>
      </c>
      <c r="DA429" s="14" t="s">
        <v>1363</v>
      </c>
      <c r="DB429" s="14">
        <v>139</v>
      </c>
      <c r="DD429" s="14" t="s">
        <v>2179</v>
      </c>
      <c r="DE429" s="14" t="s">
        <v>1364</v>
      </c>
    </row>
    <row r="430" spans="1:109">
      <c r="A430" s="14" t="s">
        <v>1858</v>
      </c>
      <c r="C430" s="14" t="s">
        <v>1365</v>
      </c>
      <c r="D430" s="14" t="s">
        <v>831</v>
      </c>
      <c r="E430" s="14" t="s">
        <v>702</v>
      </c>
      <c r="F430" s="14" t="s">
        <v>2634</v>
      </c>
      <c r="H430" s="14" t="s">
        <v>703</v>
      </c>
      <c r="I430" s="14" t="s">
        <v>2927</v>
      </c>
      <c r="J430" s="14" t="s">
        <v>2625</v>
      </c>
      <c r="L430" s="14" t="s">
        <v>2626</v>
      </c>
      <c r="M430" s="14">
        <v>93</v>
      </c>
      <c r="N430" s="14">
        <v>0</v>
      </c>
      <c r="S430" s="14">
        <v>65</v>
      </c>
      <c r="V430" s="14">
        <v>50</v>
      </c>
      <c r="W430" s="14">
        <f t="shared" si="45"/>
        <v>0.5376344086021505</v>
      </c>
      <c r="Z430" s="14">
        <v>25</v>
      </c>
      <c r="AC430" s="14">
        <v>65</v>
      </c>
      <c r="AD430" s="34">
        <f t="shared" si="46"/>
        <v>0.69892473118279574</v>
      </c>
      <c r="AG430" s="35">
        <v>22</v>
      </c>
      <c r="AQ430" s="35">
        <v>14.5</v>
      </c>
      <c r="AU430" s="14" t="s">
        <v>2449</v>
      </c>
      <c r="AX430" s="14">
        <v>1.01</v>
      </c>
      <c r="AY430" s="14">
        <v>0.98</v>
      </c>
      <c r="AZ430" s="14">
        <v>1.04</v>
      </c>
      <c r="BE430" s="29" t="s">
        <v>2638</v>
      </c>
      <c r="BG430" s="14">
        <v>1.01</v>
      </c>
      <c r="BH430" s="14">
        <v>0.98</v>
      </c>
      <c r="BI430" s="14">
        <v>1.04</v>
      </c>
      <c r="BN430" s="14" t="s">
        <v>2552</v>
      </c>
      <c r="BU430" s="14" t="s">
        <v>2639</v>
      </c>
      <c r="CV430" s="14" t="s">
        <v>2640</v>
      </c>
      <c r="CW430" s="14" t="s">
        <v>1361</v>
      </c>
      <c r="CX430" s="14" t="s">
        <v>1362</v>
      </c>
      <c r="CY430" s="14">
        <v>2020</v>
      </c>
      <c r="CZ430" s="36" t="s">
        <v>12</v>
      </c>
      <c r="DA430" s="14" t="s">
        <v>1363</v>
      </c>
      <c r="DB430" s="14">
        <v>139</v>
      </c>
      <c r="DD430" s="14" t="s">
        <v>2179</v>
      </c>
      <c r="DE430" s="14" t="s">
        <v>1364</v>
      </c>
    </row>
    <row r="431" spans="1:109">
      <c r="A431" s="14" t="s">
        <v>1858</v>
      </c>
      <c r="C431" s="14" t="s">
        <v>1365</v>
      </c>
      <c r="D431" s="14" t="s">
        <v>831</v>
      </c>
      <c r="E431" s="14" t="s">
        <v>702</v>
      </c>
      <c r="F431" s="14" t="s">
        <v>2635</v>
      </c>
      <c r="H431" s="14" t="s">
        <v>703</v>
      </c>
      <c r="I431" s="14" t="s">
        <v>2927</v>
      </c>
      <c r="J431" s="14" t="s">
        <v>2625</v>
      </c>
      <c r="L431" s="14" t="s">
        <v>2626</v>
      </c>
      <c r="M431" s="14">
        <v>93</v>
      </c>
      <c r="N431" s="14">
        <v>0</v>
      </c>
      <c r="S431" s="14">
        <v>65</v>
      </c>
      <c r="V431" s="14">
        <v>50</v>
      </c>
      <c r="W431" s="14">
        <f t="shared" si="45"/>
        <v>0.5376344086021505</v>
      </c>
      <c r="Z431" s="14">
        <v>25</v>
      </c>
      <c r="AC431" s="14">
        <v>65</v>
      </c>
      <c r="AD431" s="34">
        <f t="shared" si="46"/>
        <v>0.69892473118279574</v>
      </c>
      <c r="AG431" s="35">
        <v>22</v>
      </c>
      <c r="AQ431" s="35">
        <v>14.5</v>
      </c>
      <c r="AU431" s="14" t="s">
        <v>2449</v>
      </c>
      <c r="AX431" s="14">
        <v>1.02</v>
      </c>
      <c r="AY431" s="14">
        <v>1</v>
      </c>
      <c r="AZ431" s="14">
        <v>1.04</v>
      </c>
      <c r="BE431" s="29" t="s">
        <v>2638</v>
      </c>
      <c r="BG431" s="14">
        <v>1.02</v>
      </c>
      <c r="BH431" s="14">
        <v>0.99</v>
      </c>
      <c r="BI431" s="14">
        <v>1.04</v>
      </c>
      <c r="BN431" s="14" t="s">
        <v>2552</v>
      </c>
      <c r="CV431" s="14" t="s">
        <v>2640</v>
      </c>
      <c r="CW431" s="14" t="s">
        <v>1361</v>
      </c>
      <c r="CX431" s="14" t="s">
        <v>1362</v>
      </c>
      <c r="CY431" s="14">
        <v>2020</v>
      </c>
      <c r="CZ431" s="36" t="s">
        <v>12</v>
      </c>
      <c r="DA431" s="14" t="s">
        <v>1363</v>
      </c>
      <c r="DB431" s="14">
        <v>139</v>
      </c>
      <c r="DD431" s="14" t="s">
        <v>2179</v>
      </c>
      <c r="DE431" s="14" t="s">
        <v>1364</v>
      </c>
    </row>
    <row r="432" spans="1:109">
      <c r="A432" s="14" t="s">
        <v>1858</v>
      </c>
      <c r="C432" s="14" t="s">
        <v>1365</v>
      </c>
      <c r="D432" s="14" t="s">
        <v>831</v>
      </c>
      <c r="E432" s="14" t="s">
        <v>702</v>
      </c>
      <c r="F432" s="14" t="s">
        <v>2636</v>
      </c>
      <c r="H432" s="14" t="s">
        <v>703</v>
      </c>
      <c r="I432" s="14" t="s">
        <v>2927</v>
      </c>
      <c r="J432" s="14" t="s">
        <v>2625</v>
      </c>
      <c r="L432" s="14" t="s">
        <v>2626</v>
      </c>
      <c r="M432" s="14">
        <v>93</v>
      </c>
      <c r="N432" s="14">
        <v>0</v>
      </c>
      <c r="S432" s="14">
        <v>65</v>
      </c>
      <c r="V432" s="14">
        <v>50</v>
      </c>
      <c r="W432" s="14">
        <f t="shared" si="45"/>
        <v>0.5376344086021505</v>
      </c>
      <c r="Z432" s="14">
        <v>25</v>
      </c>
      <c r="AC432" s="14">
        <v>65</v>
      </c>
      <c r="AD432" s="34">
        <f t="shared" si="46"/>
        <v>0.69892473118279574</v>
      </c>
      <c r="AG432" s="35">
        <v>22</v>
      </c>
      <c r="AQ432" s="35">
        <v>14.5</v>
      </c>
      <c r="AU432" s="14" t="s">
        <v>2449</v>
      </c>
      <c r="AX432" s="14">
        <v>1.02</v>
      </c>
      <c r="AY432" s="14">
        <v>0.98</v>
      </c>
      <c r="AZ432" s="14">
        <v>1.06</v>
      </c>
      <c r="BE432" s="29" t="s">
        <v>2638</v>
      </c>
      <c r="BG432" s="14">
        <v>1.01</v>
      </c>
      <c r="BH432" s="14">
        <v>0.97</v>
      </c>
      <c r="BI432" s="14">
        <v>1.06</v>
      </c>
      <c r="BN432" s="14" t="s">
        <v>2552</v>
      </c>
      <c r="CV432" s="14" t="s">
        <v>2640</v>
      </c>
      <c r="CW432" s="14" t="s">
        <v>1361</v>
      </c>
      <c r="CX432" s="14" t="s">
        <v>1362</v>
      </c>
      <c r="CY432" s="14">
        <v>2020</v>
      </c>
      <c r="CZ432" s="36" t="s">
        <v>12</v>
      </c>
      <c r="DA432" s="14" t="s">
        <v>1363</v>
      </c>
      <c r="DB432" s="14">
        <v>139</v>
      </c>
      <c r="DD432" s="14" t="s">
        <v>2179</v>
      </c>
      <c r="DE432" s="14" t="s">
        <v>1364</v>
      </c>
    </row>
    <row r="433" spans="1:109">
      <c r="A433" s="14" t="s">
        <v>1858</v>
      </c>
      <c r="C433" s="14" t="s">
        <v>1365</v>
      </c>
      <c r="D433" s="14" t="s">
        <v>831</v>
      </c>
      <c r="E433" s="14" t="s">
        <v>702</v>
      </c>
      <c r="F433" s="14" t="s">
        <v>2637</v>
      </c>
      <c r="H433" s="14" t="s">
        <v>703</v>
      </c>
      <c r="I433" s="14" t="s">
        <v>2927</v>
      </c>
      <c r="J433" s="14" t="s">
        <v>2625</v>
      </c>
      <c r="L433" s="14" t="s">
        <v>2626</v>
      </c>
      <c r="M433" s="14">
        <v>93</v>
      </c>
      <c r="N433" s="14">
        <v>0</v>
      </c>
      <c r="S433" s="14">
        <v>65</v>
      </c>
      <c r="V433" s="14">
        <v>50</v>
      </c>
      <c r="W433" s="14">
        <f t="shared" si="45"/>
        <v>0.5376344086021505</v>
      </c>
      <c r="Z433" s="14">
        <v>25</v>
      </c>
      <c r="AC433" s="14">
        <v>65</v>
      </c>
      <c r="AD433" s="34">
        <f t="shared" si="46"/>
        <v>0.69892473118279574</v>
      </c>
      <c r="AG433" s="35">
        <v>22</v>
      </c>
      <c r="AQ433" s="35">
        <v>14.5</v>
      </c>
      <c r="AU433" s="14" t="s">
        <v>2449</v>
      </c>
      <c r="AX433" s="14">
        <v>0.92</v>
      </c>
      <c r="AY433" s="14">
        <v>0.79</v>
      </c>
      <c r="AZ433" s="14">
        <v>1.08</v>
      </c>
      <c r="BE433" s="29" t="s">
        <v>2638</v>
      </c>
      <c r="BG433" s="14">
        <v>0.96</v>
      </c>
      <c r="BH433" s="14">
        <v>0.82</v>
      </c>
      <c r="BI433" s="14">
        <v>1.1299999999999999</v>
      </c>
      <c r="BN433" s="14" t="s">
        <v>2552</v>
      </c>
      <c r="CV433" s="14" t="s">
        <v>2640</v>
      </c>
      <c r="CW433" s="14" t="s">
        <v>1361</v>
      </c>
      <c r="CX433" s="14" t="s">
        <v>1362</v>
      </c>
      <c r="CY433" s="14">
        <v>2020</v>
      </c>
      <c r="CZ433" s="36" t="s">
        <v>12</v>
      </c>
      <c r="DA433" s="14" t="s">
        <v>1363</v>
      </c>
      <c r="DB433" s="14">
        <v>139</v>
      </c>
      <c r="DD433" s="14" t="s">
        <v>2179</v>
      </c>
      <c r="DE433" s="14" t="s">
        <v>1364</v>
      </c>
    </row>
    <row r="434" spans="1:109" ht="20">
      <c r="A434" s="13" t="s">
        <v>3397</v>
      </c>
      <c r="B434" s="16"/>
      <c r="C434" s="13" t="s">
        <v>3326</v>
      </c>
      <c r="D434" s="23" t="s">
        <v>4178</v>
      </c>
      <c r="E434" s="13" t="s">
        <v>3819</v>
      </c>
      <c r="F434" s="13" t="s">
        <v>777</v>
      </c>
      <c r="G434" s="13"/>
      <c r="I434" s="13"/>
      <c r="J434" s="13"/>
      <c r="K434" s="13"/>
      <c r="L434" s="13"/>
      <c r="M434" s="13"/>
      <c r="N434" s="13"/>
      <c r="O434" s="15"/>
      <c r="P434" s="13"/>
      <c r="Q434" s="13"/>
      <c r="R434" s="13"/>
      <c r="S434" s="13"/>
      <c r="T434" s="13"/>
      <c r="U434" s="13"/>
      <c r="V434" s="13"/>
      <c r="W434" s="2"/>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6"/>
      <c r="BB434" s="13"/>
      <c r="BC434" s="13"/>
      <c r="BD434" s="13"/>
      <c r="BE434" s="16"/>
      <c r="BF434" s="13"/>
      <c r="BG434" s="13"/>
      <c r="BH434" s="13"/>
      <c r="BI434" s="13"/>
      <c r="BJ434" s="16"/>
      <c r="BK434" s="13"/>
      <c r="BL434" s="13"/>
      <c r="BM434" s="13"/>
      <c r="BN434" s="16"/>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t="s">
        <v>3534</v>
      </c>
      <c r="CX434" s="13" t="s">
        <v>3535</v>
      </c>
      <c r="CY434" s="13">
        <v>2024</v>
      </c>
      <c r="CZ434" s="13" t="s">
        <v>3536</v>
      </c>
      <c r="DA434" s="13" t="s">
        <v>331</v>
      </c>
      <c r="DB434" s="13"/>
      <c r="DC434" s="13"/>
      <c r="DD434" s="13"/>
      <c r="DE434" s="13" t="s">
        <v>3252</v>
      </c>
    </row>
    <row r="435" spans="1:109">
      <c r="A435" s="14" t="s">
        <v>1872</v>
      </c>
      <c r="C435" s="14" t="s">
        <v>2691</v>
      </c>
      <c r="D435" s="14" t="s">
        <v>831</v>
      </c>
      <c r="E435" s="14" t="s">
        <v>674</v>
      </c>
      <c r="F435" s="14" t="s">
        <v>737</v>
      </c>
      <c r="H435" s="14" t="s">
        <v>2693</v>
      </c>
      <c r="I435" s="14" t="s">
        <v>4078</v>
      </c>
      <c r="J435" s="14" t="s">
        <v>3199</v>
      </c>
      <c r="K435" s="14" t="s">
        <v>3198</v>
      </c>
      <c r="L435" s="14" t="s">
        <v>2690</v>
      </c>
      <c r="M435" s="14">
        <v>452</v>
      </c>
      <c r="AU435" s="14" t="s">
        <v>2447</v>
      </c>
      <c r="AV435" s="14" t="s">
        <v>2380</v>
      </c>
      <c r="AW435" s="14">
        <v>452</v>
      </c>
      <c r="AX435" s="14">
        <v>1.82</v>
      </c>
      <c r="AY435" s="14">
        <v>1.35</v>
      </c>
      <c r="AZ435" s="14">
        <v>2.4500000000000002</v>
      </c>
      <c r="BE435" s="29" t="s">
        <v>2694</v>
      </c>
      <c r="BF435" s="29">
        <v>452</v>
      </c>
      <c r="BG435" s="14">
        <v>1.82</v>
      </c>
      <c r="BH435" s="14">
        <v>1.41</v>
      </c>
      <c r="BI435" s="14">
        <v>2.37</v>
      </c>
      <c r="CW435" s="14" t="s">
        <v>1417</v>
      </c>
      <c r="CX435" s="14" t="s">
        <v>1418</v>
      </c>
      <c r="CY435" s="14">
        <v>2021</v>
      </c>
      <c r="CZ435" s="36" t="s">
        <v>188</v>
      </c>
      <c r="DA435" s="14" t="s">
        <v>254</v>
      </c>
      <c r="DB435" s="14">
        <v>27</v>
      </c>
      <c r="DC435" s="14">
        <v>4</v>
      </c>
      <c r="DD435" s="14" t="s">
        <v>1419</v>
      </c>
      <c r="DE435" s="14" t="s">
        <v>1420</v>
      </c>
    </row>
    <row r="436" spans="1:109">
      <c r="A436" s="14" t="s">
        <v>1872</v>
      </c>
      <c r="C436" s="14" t="s">
        <v>2692</v>
      </c>
      <c r="D436" s="14" t="s">
        <v>831</v>
      </c>
      <c r="E436" s="14" t="s">
        <v>674</v>
      </c>
      <c r="F436" s="14" t="s">
        <v>737</v>
      </c>
      <c r="H436" s="14" t="s">
        <v>868</v>
      </c>
      <c r="I436" s="14" t="s">
        <v>3152</v>
      </c>
      <c r="J436" s="14" t="s">
        <v>3199</v>
      </c>
      <c r="K436" s="14" t="s">
        <v>3198</v>
      </c>
      <c r="L436" s="14" t="s">
        <v>2690</v>
      </c>
      <c r="M436" s="14">
        <v>122</v>
      </c>
      <c r="AU436" s="14" t="s">
        <v>2447</v>
      </c>
      <c r="AV436" s="14" t="s">
        <v>2380</v>
      </c>
      <c r="AW436" s="14">
        <v>122</v>
      </c>
      <c r="AX436" s="14">
        <v>3.27</v>
      </c>
      <c r="AY436" s="14">
        <v>1.63</v>
      </c>
      <c r="AZ436" s="14">
        <v>6.56</v>
      </c>
      <c r="BE436" s="29" t="s">
        <v>2695</v>
      </c>
      <c r="BF436" s="29">
        <v>93</v>
      </c>
      <c r="BG436" s="14">
        <v>3.56</v>
      </c>
      <c r="BH436" s="14">
        <v>1.37</v>
      </c>
      <c r="BI436" s="14">
        <v>9.17</v>
      </c>
      <c r="CW436" s="14" t="s">
        <v>1417</v>
      </c>
      <c r="CX436" s="14" t="s">
        <v>1418</v>
      </c>
      <c r="CY436" s="14">
        <v>2021</v>
      </c>
      <c r="CZ436" s="36" t="s">
        <v>188</v>
      </c>
      <c r="DA436" s="14" t="s">
        <v>254</v>
      </c>
      <c r="DB436" s="14">
        <v>27</v>
      </c>
      <c r="DC436" s="14">
        <v>4</v>
      </c>
      <c r="DD436" s="14" t="s">
        <v>1419</v>
      </c>
      <c r="DE436" s="14" t="s">
        <v>1420</v>
      </c>
    </row>
    <row r="437" spans="1:109">
      <c r="A437" s="14" t="s">
        <v>1872</v>
      </c>
      <c r="C437" s="14" t="s">
        <v>2692</v>
      </c>
      <c r="D437" s="14" t="s">
        <v>831</v>
      </c>
      <c r="E437" s="14" t="s">
        <v>672</v>
      </c>
      <c r="F437" s="14" t="s">
        <v>675</v>
      </c>
      <c r="H437" s="14" t="s">
        <v>868</v>
      </c>
      <c r="I437" s="14" t="s">
        <v>3152</v>
      </c>
      <c r="J437" s="14" t="s">
        <v>3199</v>
      </c>
      <c r="K437" s="14" t="s">
        <v>3198</v>
      </c>
      <c r="L437" s="14" t="s">
        <v>2690</v>
      </c>
      <c r="M437" s="14">
        <v>93</v>
      </c>
      <c r="AU437" s="14" t="s">
        <v>2447</v>
      </c>
      <c r="AV437" s="14" t="s">
        <v>2380</v>
      </c>
      <c r="AW437" s="14">
        <v>93</v>
      </c>
      <c r="AX437" s="14">
        <v>1.61</v>
      </c>
      <c r="AY437" s="14">
        <v>1.19</v>
      </c>
      <c r="AZ437" s="14">
        <v>2.1800000000000002</v>
      </c>
      <c r="BE437" s="29" t="s">
        <v>2696</v>
      </c>
      <c r="BF437" s="29">
        <v>93</v>
      </c>
      <c r="BG437" s="14">
        <v>1.5</v>
      </c>
      <c r="BH437" s="14">
        <v>1.07</v>
      </c>
      <c r="BI437" s="14">
        <v>2.12</v>
      </c>
      <c r="CW437" s="14" t="s">
        <v>1417</v>
      </c>
      <c r="CX437" s="14" t="s">
        <v>1418</v>
      </c>
      <c r="CY437" s="14">
        <v>2021</v>
      </c>
      <c r="CZ437" s="36" t="s">
        <v>188</v>
      </c>
      <c r="DA437" s="14" t="s">
        <v>254</v>
      </c>
      <c r="DB437" s="14">
        <v>27</v>
      </c>
      <c r="DC437" s="14">
        <v>4</v>
      </c>
      <c r="DD437" s="14" t="s">
        <v>1419</v>
      </c>
      <c r="DE437" s="14" t="s">
        <v>1420</v>
      </c>
    </row>
    <row r="438" spans="1:109">
      <c r="A438" s="14" t="s">
        <v>1859</v>
      </c>
      <c r="C438" s="14" t="s">
        <v>1369</v>
      </c>
      <c r="D438" s="14" t="s">
        <v>831</v>
      </c>
      <c r="E438" s="14" t="s">
        <v>673</v>
      </c>
      <c r="F438" s="14" t="s">
        <v>2643</v>
      </c>
      <c r="H438" s="14" t="s">
        <v>703</v>
      </c>
      <c r="I438" s="14" t="s">
        <v>3088</v>
      </c>
      <c r="J438" s="14" t="s">
        <v>902</v>
      </c>
      <c r="L438" s="14" t="s">
        <v>2542</v>
      </c>
      <c r="M438" s="14">
        <v>760</v>
      </c>
      <c r="S438" s="14">
        <v>67.599999999999994</v>
      </c>
      <c r="T438" s="14">
        <v>60.1</v>
      </c>
      <c r="U438" s="14">
        <v>74.5</v>
      </c>
      <c r="V438" s="14">
        <v>416</v>
      </c>
      <c r="W438" s="14">
        <f>V438/M438</f>
        <v>0.54736842105263162</v>
      </c>
      <c r="Z438" s="14">
        <v>43</v>
      </c>
      <c r="AA438" s="14">
        <v>39</v>
      </c>
      <c r="AB438" s="14">
        <v>45</v>
      </c>
      <c r="AC438" s="14">
        <v>492</v>
      </c>
      <c r="AD438" s="34">
        <f>AC438/M438</f>
        <v>0.64736842105263159</v>
      </c>
      <c r="AG438" s="35">
        <v>8</v>
      </c>
      <c r="AH438" s="35">
        <v>5</v>
      </c>
      <c r="AI438" s="35">
        <v>13</v>
      </c>
      <c r="AQ438" s="35">
        <v>22.4</v>
      </c>
      <c r="AR438" s="35">
        <v>11.9</v>
      </c>
      <c r="AS438" s="35">
        <v>43</v>
      </c>
      <c r="AU438" s="14" t="s">
        <v>2447</v>
      </c>
      <c r="AV438" s="14" t="s">
        <v>2490</v>
      </c>
      <c r="AX438" s="14">
        <v>0.96199999999999997</v>
      </c>
      <c r="AY438" s="14">
        <v>0.94599999999999995</v>
      </c>
      <c r="AZ438" s="14">
        <v>0.97199999999999998</v>
      </c>
      <c r="BA438" s="29" t="s">
        <v>4111</v>
      </c>
      <c r="BB438" s="14">
        <v>0.755</v>
      </c>
      <c r="BC438" s="14">
        <v>0.61199999999999999</v>
      </c>
      <c r="BD438" s="14">
        <v>0.93200000000000005</v>
      </c>
      <c r="BE438" s="29" t="s">
        <v>2644</v>
      </c>
      <c r="BG438" s="14">
        <v>0.97499999999999998</v>
      </c>
      <c r="BH438" s="14">
        <v>0.95699999999999996</v>
      </c>
      <c r="BI438" s="14">
        <v>0.99299999999999999</v>
      </c>
      <c r="BJ438" s="29" t="s">
        <v>2674</v>
      </c>
      <c r="BK438" s="14">
        <v>0.84</v>
      </c>
      <c r="BL438" s="14">
        <v>0.71299999999999997</v>
      </c>
      <c r="BM438" s="14">
        <v>0.98799999999999999</v>
      </c>
      <c r="BN438" s="14" t="s">
        <v>2552</v>
      </c>
      <c r="CC438" s="14">
        <v>0.14699999999999999</v>
      </c>
      <c r="CG438" s="14" t="s">
        <v>635</v>
      </c>
      <c r="CH438" s="14">
        <v>0.153</v>
      </c>
      <c r="CI438" s="14" t="s">
        <v>635</v>
      </c>
      <c r="CW438" s="14" t="s">
        <v>1366</v>
      </c>
      <c r="CX438" s="14" t="s">
        <v>1367</v>
      </c>
      <c r="CY438" s="14">
        <v>2023</v>
      </c>
      <c r="DA438" s="14" t="s">
        <v>509</v>
      </c>
      <c r="DB438" s="14">
        <v>15</v>
      </c>
      <c r="DD438" s="14" t="s">
        <v>2178</v>
      </c>
      <c r="DE438" s="14" t="s">
        <v>1368</v>
      </c>
    </row>
    <row r="439" spans="1:109" ht="20">
      <c r="A439" s="13" t="s">
        <v>3398</v>
      </c>
      <c r="B439" s="16"/>
      <c r="C439" s="13" t="s">
        <v>3327</v>
      </c>
      <c r="E439" s="13"/>
      <c r="F439" s="13"/>
      <c r="G439" s="13"/>
      <c r="I439" s="13"/>
      <c r="J439" s="13"/>
      <c r="K439" s="13"/>
      <c r="L439" s="13"/>
      <c r="M439" s="13"/>
      <c r="N439" s="13"/>
      <c r="O439" s="15"/>
      <c r="P439" s="13"/>
      <c r="Q439" s="13"/>
      <c r="R439" s="13"/>
      <c r="S439" s="13"/>
      <c r="T439" s="13"/>
      <c r="U439" s="13"/>
      <c r="V439" s="13"/>
      <c r="W439" s="2"/>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6"/>
      <c r="BB439" s="13"/>
      <c r="BC439" s="13"/>
      <c r="BD439" s="13"/>
      <c r="BE439" s="16"/>
      <c r="BF439" s="13"/>
      <c r="BG439" s="13"/>
      <c r="BH439" s="13"/>
      <c r="BI439" s="13"/>
      <c r="BJ439" s="16"/>
      <c r="BK439" s="13"/>
      <c r="BL439" s="13"/>
      <c r="BM439" s="13"/>
      <c r="BN439" s="16"/>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t="s">
        <v>3537</v>
      </c>
      <c r="CX439" s="13" t="s">
        <v>3538</v>
      </c>
      <c r="CY439" s="13">
        <v>2024</v>
      </c>
      <c r="CZ439" s="13" t="s">
        <v>253</v>
      </c>
      <c r="DA439" s="13" t="s">
        <v>421</v>
      </c>
      <c r="DB439" s="13">
        <v>14</v>
      </c>
      <c r="DC439" s="13">
        <v>2</v>
      </c>
      <c r="DD439" s="13"/>
      <c r="DE439" s="13" t="s">
        <v>3253</v>
      </c>
    </row>
    <row r="440" spans="1:109" ht="20">
      <c r="A440" s="14" t="s">
        <v>1860</v>
      </c>
      <c r="C440" s="14" t="s">
        <v>1374</v>
      </c>
      <c r="D440" s="14" t="s">
        <v>818</v>
      </c>
      <c r="E440" s="14" t="s">
        <v>672</v>
      </c>
      <c r="F440" s="14" t="s">
        <v>676</v>
      </c>
      <c r="H440" s="14" t="s">
        <v>703</v>
      </c>
      <c r="I440" s="14" t="s">
        <v>2927</v>
      </c>
      <c r="J440" s="14" t="s">
        <v>2207</v>
      </c>
      <c r="K440" s="14" t="s">
        <v>2645</v>
      </c>
      <c r="M440" s="14">
        <v>105</v>
      </c>
      <c r="N440" s="14">
        <v>14</v>
      </c>
      <c r="P440" s="14">
        <v>6</v>
      </c>
      <c r="Q440" s="14">
        <v>62.8</v>
      </c>
      <c r="R440" s="14">
        <v>10.6</v>
      </c>
      <c r="V440" s="14">
        <v>70</v>
      </c>
      <c r="W440" s="14">
        <f>V440/M440</f>
        <v>0.66666666666666663</v>
      </c>
      <c r="X440" s="14">
        <v>39.5</v>
      </c>
      <c r="Y440" s="14">
        <v>6.5</v>
      </c>
      <c r="AC440" s="14">
        <v>80</v>
      </c>
      <c r="AD440" s="34">
        <f>AC440/M440</f>
        <v>0.76190476190476186</v>
      </c>
      <c r="AE440" s="35">
        <v>14.1</v>
      </c>
      <c r="AF440" s="35">
        <v>10.6</v>
      </c>
      <c r="AL440" s="35">
        <v>49.3</v>
      </c>
      <c r="AM440" s="35">
        <v>41.1</v>
      </c>
      <c r="AN440" s="35">
        <v>57.4</v>
      </c>
      <c r="BV440" s="14" t="s">
        <v>2646</v>
      </c>
      <c r="BX440" s="14" t="s">
        <v>2380</v>
      </c>
      <c r="BY440" s="14">
        <v>0.28000000000000003</v>
      </c>
      <c r="CB440" s="14">
        <v>1.6E-2</v>
      </c>
      <c r="CW440" s="13" t="s">
        <v>1370</v>
      </c>
      <c r="CX440" s="13" t="s">
        <v>1371</v>
      </c>
      <c r="CY440" s="13">
        <v>2024</v>
      </c>
      <c r="CZ440" s="13" t="s">
        <v>1372</v>
      </c>
      <c r="DA440" s="13" t="s">
        <v>349</v>
      </c>
      <c r="DB440" s="13"/>
      <c r="DC440" s="13"/>
      <c r="DD440" s="13"/>
      <c r="DE440" s="13" t="s">
        <v>1373</v>
      </c>
    </row>
    <row r="441" spans="1:109" ht="20">
      <c r="A441" s="14" t="s">
        <v>1860</v>
      </c>
      <c r="C441" s="14" t="s">
        <v>1374</v>
      </c>
      <c r="D441" s="14" t="s">
        <v>818</v>
      </c>
      <c r="E441" s="14" t="s">
        <v>672</v>
      </c>
      <c r="F441" s="14" t="s">
        <v>823</v>
      </c>
      <c r="H441" s="14" t="s">
        <v>703</v>
      </c>
      <c r="I441" s="14" t="s">
        <v>2927</v>
      </c>
      <c r="J441" s="14" t="s">
        <v>2207</v>
      </c>
      <c r="K441" s="14" t="s">
        <v>2645</v>
      </c>
      <c r="M441" s="14">
        <v>105</v>
      </c>
      <c r="N441" s="14">
        <v>14</v>
      </c>
      <c r="P441" s="14">
        <v>6</v>
      </c>
      <c r="Q441" s="14">
        <v>62.8</v>
      </c>
      <c r="R441" s="14">
        <v>10.6</v>
      </c>
      <c r="V441" s="14">
        <v>70</v>
      </c>
      <c r="W441" s="14">
        <f>V441/M441</f>
        <v>0.66666666666666663</v>
      </c>
      <c r="X441" s="14">
        <v>39.5</v>
      </c>
      <c r="Y441" s="14">
        <v>6.5</v>
      </c>
      <c r="AC441" s="14">
        <v>80</v>
      </c>
      <c r="AD441" s="34">
        <f>AC441/M441</f>
        <v>0.76190476190476186</v>
      </c>
      <c r="AE441" s="35">
        <v>14.1</v>
      </c>
      <c r="AF441" s="35">
        <v>10.6</v>
      </c>
      <c r="AL441" s="35">
        <v>49.3</v>
      </c>
      <c r="AM441" s="35">
        <v>41.1</v>
      </c>
      <c r="AN441" s="35">
        <v>57.4</v>
      </c>
      <c r="CW441" s="13" t="s">
        <v>1370</v>
      </c>
      <c r="CX441" s="13" t="s">
        <v>1371</v>
      </c>
      <c r="CY441" s="13">
        <v>2024</v>
      </c>
      <c r="CZ441" s="13" t="s">
        <v>1372</v>
      </c>
      <c r="DA441" s="13" t="s">
        <v>349</v>
      </c>
      <c r="DB441" s="13"/>
      <c r="DC441" s="13"/>
      <c r="DD441" s="13"/>
      <c r="DE441" s="13" t="s">
        <v>1373</v>
      </c>
    </row>
    <row r="442" spans="1:109" ht="20">
      <c r="A442" s="14" t="s">
        <v>1860</v>
      </c>
      <c r="C442" s="14" t="s">
        <v>1374</v>
      </c>
      <c r="D442" s="14" t="s">
        <v>818</v>
      </c>
      <c r="E442" s="14" t="s">
        <v>672</v>
      </c>
      <c r="F442" s="14" t="s">
        <v>721</v>
      </c>
      <c r="H442" s="14" t="s">
        <v>703</v>
      </c>
      <c r="I442" s="14" t="s">
        <v>2927</v>
      </c>
      <c r="J442" s="14" t="s">
        <v>2207</v>
      </c>
      <c r="K442" s="14" t="s">
        <v>4183</v>
      </c>
      <c r="M442" s="14">
        <v>105</v>
      </c>
      <c r="N442" s="14">
        <v>14</v>
      </c>
      <c r="P442" s="14">
        <v>6</v>
      </c>
      <c r="Q442" s="14">
        <v>62.8</v>
      </c>
      <c r="R442" s="14">
        <v>10.6</v>
      </c>
      <c r="V442" s="14">
        <v>70</v>
      </c>
      <c r="W442" s="14">
        <f>V442/M442</f>
        <v>0.66666666666666663</v>
      </c>
      <c r="X442" s="14">
        <v>39.5</v>
      </c>
      <c r="Y442" s="14">
        <v>6.5</v>
      </c>
      <c r="AC442" s="14">
        <v>80</v>
      </c>
      <c r="AD442" s="34">
        <f>AC442/M442</f>
        <v>0.76190476190476186</v>
      </c>
      <c r="AE442" s="35">
        <v>14.1</v>
      </c>
      <c r="AF442" s="35">
        <v>10.6</v>
      </c>
      <c r="AL442" s="35">
        <v>49.3</v>
      </c>
      <c r="AM442" s="35">
        <v>41.1</v>
      </c>
      <c r="AN442" s="35">
        <v>57.4</v>
      </c>
      <c r="CW442" s="13" t="s">
        <v>1370</v>
      </c>
      <c r="CX442" s="13" t="s">
        <v>1371</v>
      </c>
      <c r="CY442" s="13">
        <v>2024</v>
      </c>
      <c r="CZ442" s="13" t="s">
        <v>1372</v>
      </c>
      <c r="DA442" s="13" t="s">
        <v>349</v>
      </c>
      <c r="DB442" s="13"/>
      <c r="DC442" s="13"/>
      <c r="DD442" s="13"/>
      <c r="DE442" s="13" t="s">
        <v>1373</v>
      </c>
    </row>
    <row r="443" spans="1:109">
      <c r="A443" s="14" t="s">
        <v>1861</v>
      </c>
      <c r="B443" s="14" t="s">
        <v>1718</v>
      </c>
      <c r="C443" s="14" t="s">
        <v>354</v>
      </c>
      <c r="D443" s="14" t="s">
        <v>827</v>
      </c>
      <c r="E443" s="14" t="s">
        <v>673</v>
      </c>
      <c r="F443" s="14" t="s">
        <v>917</v>
      </c>
      <c r="H443" s="14" t="s">
        <v>703</v>
      </c>
      <c r="I443" s="14" t="s">
        <v>4080</v>
      </c>
      <c r="J443" s="14" t="s">
        <v>808</v>
      </c>
      <c r="L443" s="14" t="s">
        <v>918</v>
      </c>
      <c r="M443" s="14">
        <v>110</v>
      </c>
      <c r="P443" s="14">
        <v>11</v>
      </c>
      <c r="Q443" s="14">
        <v>57.25</v>
      </c>
      <c r="R443" s="14">
        <v>11.25</v>
      </c>
      <c r="V443" s="14">
        <v>68</v>
      </c>
      <c r="W443" s="14">
        <f>V443/M443</f>
        <v>0.61818181818181817</v>
      </c>
      <c r="X443" s="14">
        <v>39.99</v>
      </c>
      <c r="Y443" s="14">
        <v>6.77</v>
      </c>
      <c r="AC443" s="14">
        <v>81</v>
      </c>
      <c r="AD443" s="34">
        <f>AC443/M443</f>
        <v>0.73636363636363633</v>
      </c>
      <c r="AE443" s="35">
        <v>9.89</v>
      </c>
      <c r="AF443" s="35">
        <v>9.06</v>
      </c>
      <c r="AJ443" s="35">
        <v>46.51</v>
      </c>
      <c r="AK443" s="35">
        <v>40.229999999999997</v>
      </c>
      <c r="AU443" s="14" t="s">
        <v>2449</v>
      </c>
      <c r="AV443" s="14" t="s">
        <v>2490</v>
      </c>
      <c r="AW443" s="14">
        <v>107</v>
      </c>
      <c r="AX443" s="14">
        <v>1</v>
      </c>
      <c r="AY443" s="14">
        <v>0.99</v>
      </c>
      <c r="AZ443" s="14">
        <v>1.02</v>
      </c>
      <c r="BN443" s="14" t="s">
        <v>2231</v>
      </c>
      <c r="BQ443" s="14">
        <v>-0.09</v>
      </c>
      <c r="BU443" s="14">
        <v>0.37</v>
      </c>
      <c r="CC443" s="14">
        <v>-0.04</v>
      </c>
      <c r="CG443" s="14">
        <v>0.96</v>
      </c>
      <c r="CJ443" s="14" t="s">
        <v>2651</v>
      </c>
      <c r="CK443" s="14">
        <v>-0.09</v>
      </c>
      <c r="CN443" s="14">
        <v>0.37</v>
      </c>
      <c r="CW443" s="14" t="s">
        <v>350</v>
      </c>
      <c r="CX443" s="14" t="s">
        <v>351</v>
      </c>
      <c r="CY443" s="14">
        <v>2024</v>
      </c>
      <c r="CZ443" s="36" t="s">
        <v>73</v>
      </c>
      <c r="DA443" s="14" t="s">
        <v>19</v>
      </c>
      <c r="DB443" s="14">
        <v>31</v>
      </c>
      <c r="DC443" s="14">
        <v>1</v>
      </c>
      <c r="DD443" s="14" t="s">
        <v>352</v>
      </c>
      <c r="DE443" s="14" t="s">
        <v>353</v>
      </c>
    </row>
    <row r="444" spans="1:109">
      <c r="A444" s="14" t="s">
        <v>1861</v>
      </c>
      <c r="B444" s="14" t="s">
        <v>1718</v>
      </c>
      <c r="C444" s="14" t="s">
        <v>354</v>
      </c>
      <c r="D444" s="14" t="s">
        <v>827</v>
      </c>
      <c r="E444" s="14" t="s">
        <v>672</v>
      </c>
      <c r="F444" s="14" t="s">
        <v>917</v>
      </c>
      <c r="H444" s="14" t="s">
        <v>703</v>
      </c>
      <c r="I444" s="14" t="s">
        <v>3146</v>
      </c>
      <c r="J444" s="14" t="s">
        <v>808</v>
      </c>
      <c r="L444" s="14" t="s">
        <v>918</v>
      </c>
      <c r="M444" s="14">
        <v>95</v>
      </c>
      <c r="X444" s="14">
        <v>39.99</v>
      </c>
      <c r="Y444" s="14">
        <v>6.77</v>
      </c>
      <c r="AE444" s="35">
        <v>9.89</v>
      </c>
      <c r="AF444" s="35">
        <v>9.06</v>
      </c>
      <c r="AJ444" s="35">
        <v>46.51</v>
      </c>
      <c r="AK444" s="35">
        <v>40.229999999999997</v>
      </c>
      <c r="AU444" s="14" t="s">
        <v>2449</v>
      </c>
      <c r="AV444" s="14" t="s">
        <v>2490</v>
      </c>
      <c r="AW444" s="14">
        <v>94</v>
      </c>
      <c r="AX444" s="14">
        <v>1.05</v>
      </c>
      <c r="AY444" s="14">
        <v>1.02</v>
      </c>
      <c r="AZ444" s="14">
        <v>1.0900000000000001</v>
      </c>
      <c r="BN444" s="14" t="s">
        <v>2231</v>
      </c>
      <c r="BQ444" s="14">
        <v>0.1</v>
      </c>
      <c r="BU444" s="14">
        <v>0.31</v>
      </c>
      <c r="CC444" s="14">
        <v>-0.12</v>
      </c>
      <c r="CG444" s="14">
        <v>0.25</v>
      </c>
      <c r="CJ444" s="14" t="s">
        <v>2651</v>
      </c>
      <c r="CK444" s="14">
        <v>-0.11</v>
      </c>
      <c r="CN444" s="14">
        <v>0.3</v>
      </c>
      <c r="CW444" s="14" t="s">
        <v>350</v>
      </c>
      <c r="CX444" s="14" t="s">
        <v>351</v>
      </c>
      <c r="CY444" s="14">
        <v>2024</v>
      </c>
      <c r="CZ444" s="36" t="s">
        <v>73</v>
      </c>
      <c r="DA444" s="14" t="s">
        <v>19</v>
      </c>
      <c r="DB444" s="14">
        <v>31</v>
      </c>
      <c r="DC444" s="14">
        <v>1</v>
      </c>
      <c r="DD444" s="14" t="s">
        <v>352</v>
      </c>
      <c r="DE444" s="14" t="s">
        <v>353</v>
      </c>
    </row>
    <row r="445" spans="1:109">
      <c r="A445" s="14" t="s">
        <v>1861</v>
      </c>
      <c r="B445" s="14" t="s">
        <v>1718</v>
      </c>
      <c r="C445" s="14" t="s">
        <v>354</v>
      </c>
      <c r="D445" s="14" t="s">
        <v>827</v>
      </c>
      <c r="E445" s="14" t="s">
        <v>672</v>
      </c>
      <c r="F445" s="14" t="s">
        <v>2648</v>
      </c>
      <c r="H445" s="14" t="s">
        <v>703</v>
      </c>
      <c r="I445" s="14" t="s">
        <v>3146</v>
      </c>
      <c r="J445" s="14" t="s">
        <v>808</v>
      </c>
      <c r="L445" s="14" t="s">
        <v>918</v>
      </c>
      <c r="M445" s="14">
        <v>95</v>
      </c>
      <c r="X445" s="14">
        <v>39.99</v>
      </c>
      <c r="Y445" s="14">
        <v>6.77</v>
      </c>
      <c r="AE445" s="35">
        <v>9.89</v>
      </c>
      <c r="AF445" s="35">
        <v>9.06</v>
      </c>
      <c r="AJ445" s="35">
        <v>46.51</v>
      </c>
      <c r="AK445" s="35">
        <v>40.229999999999997</v>
      </c>
      <c r="AU445" s="14" t="s">
        <v>2449</v>
      </c>
      <c r="AV445" s="14" t="s">
        <v>2490</v>
      </c>
      <c r="AW445" s="14">
        <v>92</v>
      </c>
      <c r="AX445" s="14">
        <v>3.68</v>
      </c>
      <c r="AY445" s="14">
        <v>1.73</v>
      </c>
      <c r="AZ445" s="14">
        <v>7.83</v>
      </c>
      <c r="BE445" s="29" t="s">
        <v>2649</v>
      </c>
      <c r="BF445" s="29">
        <v>71</v>
      </c>
      <c r="BG445" s="14">
        <v>5.16</v>
      </c>
      <c r="BH445" s="14">
        <v>2.34</v>
      </c>
      <c r="BI445" s="14">
        <v>11.36</v>
      </c>
      <c r="BN445" s="14" t="s">
        <v>2231</v>
      </c>
      <c r="BQ445" s="14">
        <v>0.14000000000000001</v>
      </c>
      <c r="BU445" s="14">
        <v>0.17</v>
      </c>
      <c r="CC445" s="14">
        <v>-0.18</v>
      </c>
      <c r="CG445" s="14">
        <v>0.09</v>
      </c>
      <c r="CJ445" s="14" t="s">
        <v>2651</v>
      </c>
      <c r="CK445" s="14">
        <v>0.1</v>
      </c>
      <c r="CN445" s="14">
        <v>0.54</v>
      </c>
      <c r="CW445" s="14" t="s">
        <v>350</v>
      </c>
      <c r="CX445" s="14" t="s">
        <v>351</v>
      </c>
      <c r="CY445" s="14">
        <v>2024</v>
      </c>
      <c r="CZ445" s="36" t="s">
        <v>73</v>
      </c>
      <c r="DA445" s="14" t="s">
        <v>19</v>
      </c>
      <c r="DB445" s="14">
        <v>31</v>
      </c>
      <c r="DC445" s="14">
        <v>1</v>
      </c>
      <c r="DD445" s="14" t="s">
        <v>352</v>
      </c>
      <c r="DE445" s="14" t="s">
        <v>353</v>
      </c>
    </row>
    <row r="446" spans="1:109">
      <c r="A446" s="14" t="s">
        <v>1861</v>
      </c>
      <c r="B446" s="14" t="s">
        <v>1718</v>
      </c>
      <c r="C446" s="14" t="s">
        <v>354</v>
      </c>
      <c r="D446" s="14" t="s">
        <v>827</v>
      </c>
      <c r="E446" s="14" t="s">
        <v>672</v>
      </c>
      <c r="F446" s="14" t="s">
        <v>675</v>
      </c>
      <c r="H446" s="14" t="s">
        <v>703</v>
      </c>
      <c r="I446" s="14" t="s">
        <v>3146</v>
      </c>
      <c r="J446" s="14" t="s">
        <v>808</v>
      </c>
      <c r="L446" s="14" t="s">
        <v>918</v>
      </c>
      <c r="M446" s="14">
        <v>73</v>
      </c>
      <c r="X446" s="14">
        <v>39.99</v>
      </c>
      <c r="Y446" s="14">
        <v>6.77</v>
      </c>
      <c r="AE446" s="35">
        <v>9.89</v>
      </c>
      <c r="AF446" s="35">
        <v>9.06</v>
      </c>
      <c r="AJ446" s="35">
        <v>46.51</v>
      </c>
      <c r="AK446" s="35">
        <v>40.229999999999997</v>
      </c>
      <c r="AU446" s="14" t="s">
        <v>2449</v>
      </c>
      <c r="AV446" s="14" t="s">
        <v>2490</v>
      </c>
      <c r="AW446" s="14">
        <v>72</v>
      </c>
      <c r="AX446" s="14">
        <v>1</v>
      </c>
      <c r="AY446" s="14">
        <v>1</v>
      </c>
      <c r="AZ446" s="14">
        <v>1.00004</v>
      </c>
      <c r="BN446" s="14" t="s">
        <v>2231</v>
      </c>
      <c r="BQ446" s="14">
        <v>0.38</v>
      </c>
      <c r="BU446" s="14" t="s">
        <v>635</v>
      </c>
      <c r="CC446" s="14">
        <v>-0.28999999999999998</v>
      </c>
      <c r="CG446" s="14">
        <v>0.01</v>
      </c>
      <c r="CJ446" s="14" t="s">
        <v>2651</v>
      </c>
      <c r="CK446" s="14">
        <v>0.61</v>
      </c>
      <c r="CN446" s="14" t="s">
        <v>635</v>
      </c>
      <c r="CW446" s="14" t="s">
        <v>350</v>
      </c>
      <c r="CX446" s="14" t="s">
        <v>351</v>
      </c>
      <c r="CY446" s="14">
        <v>2024</v>
      </c>
      <c r="CZ446" s="36" t="s">
        <v>73</v>
      </c>
      <c r="DA446" s="14" t="s">
        <v>19</v>
      </c>
      <c r="DB446" s="14">
        <v>31</v>
      </c>
      <c r="DC446" s="14">
        <v>1</v>
      </c>
      <c r="DD446" s="14" t="s">
        <v>352</v>
      </c>
      <c r="DE446" s="14" t="s">
        <v>353</v>
      </c>
    </row>
    <row r="447" spans="1:109">
      <c r="A447" s="14" t="s">
        <v>1861</v>
      </c>
      <c r="B447" s="14" t="s">
        <v>1718</v>
      </c>
      <c r="C447" s="14" t="s">
        <v>354</v>
      </c>
      <c r="D447" s="14" t="s">
        <v>827</v>
      </c>
      <c r="E447" s="14" t="s">
        <v>673</v>
      </c>
      <c r="F447" s="14" t="s">
        <v>675</v>
      </c>
      <c r="H447" s="14" t="s">
        <v>703</v>
      </c>
      <c r="I447" s="14" t="s">
        <v>3146</v>
      </c>
      <c r="J447" s="14" t="s">
        <v>808</v>
      </c>
      <c r="L447" s="14" t="s">
        <v>918</v>
      </c>
      <c r="M447" s="14">
        <v>77</v>
      </c>
      <c r="X447" s="14">
        <v>39.99</v>
      </c>
      <c r="Y447" s="14">
        <v>6.77</v>
      </c>
      <c r="AE447" s="35">
        <v>9.89</v>
      </c>
      <c r="AF447" s="35">
        <v>9.06</v>
      </c>
      <c r="AJ447" s="35">
        <v>46.51</v>
      </c>
      <c r="AK447" s="35">
        <v>40.229999999999997</v>
      </c>
      <c r="AU447" s="14" t="s">
        <v>2449</v>
      </c>
      <c r="AV447" s="14" t="s">
        <v>2490</v>
      </c>
      <c r="AW447" s="14">
        <v>76</v>
      </c>
      <c r="AX447" s="14">
        <v>1.004</v>
      </c>
      <c r="AY447" s="14">
        <v>1.002</v>
      </c>
      <c r="AZ447" s="14">
        <v>1.01</v>
      </c>
      <c r="BN447" s="14" t="s">
        <v>2231</v>
      </c>
      <c r="BQ447" s="14">
        <v>0.47</v>
      </c>
      <c r="BU447" s="14" t="s">
        <v>635</v>
      </c>
      <c r="CC447" s="14">
        <v>-0.42</v>
      </c>
      <c r="CG447" s="14" t="s">
        <v>635</v>
      </c>
      <c r="CJ447" s="14" t="s">
        <v>2651</v>
      </c>
      <c r="CK447" s="14">
        <v>0.6</v>
      </c>
      <c r="CN447" s="14" t="s">
        <v>635</v>
      </c>
      <c r="CW447" s="14" t="s">
        <v>350</v>
      </c>
      <c r="CX447" s="14" t="s">
        <v>351</v>
      </c>
      <c r="CY447" s="14">
        <v>2024</v>
      </c>
      <c r="CZ447" s="36" t="s">
        <v>73</v>
      </c>
      <c r="DA447" s="14" t="s">
        <v>19</v>
      </c>
      <c r="DB447" s="14">
        <v>31</v>
      </c>
      <c r="DC447" s="14">
        <v>1</v>
      </c>
      <c r="DD447" s="14" t="s">
        <v>352</v>
      </c>
      <c r="DE447" s="14" t="s">
        <v>353</v>
      </c>
    </row>
    <row r="448" spans="1:109">
      <c r="A448" s="14" t="s">
        <v>1861</v>
      </c>
      <c r="B448" s="14" t="s">
        <v>1718</v>
      </c>
      <c r="C448" s="14" t="s">
        <v>354</v>
      </c>
      <c r="D448" s="14" t="s">
        <v>827</v>
      </c>
      <c r="E448" s="14" t="s">
        <v>672</v>
      </c>
      <c r="F448" s="14" t="s">
        <v>807</v>
      </c>
      <c r="H448" s="14" t="s">
        <v>703</v>
      </c>
      <c r="I448" s="14" t="s">
        <v>3146</v>
      </c>
      <c r="J448" s="14" t="s">
        <v>808</v>
      </c>
      <c r="L448" s="14" t="s">
        <v>918</v>
      </c>
      <c r="M448" s="14">
        <v>110</v>
      </c>
      <c r="P448" s="14">
        <v>11</v>
      </c>
      <c r="Q448" s="14">
        <v>57.25</v>
      </c>
      <c r="R448" s="14">
        <v>11.25</v>
      </c>
      <c r="V448" s="14">
        <v>68</v>
      </c>
      <c r="W448" s="14">
        <f>V448/M448</f>
        <v>0.61818181818181817</v>
      </c>
      <c r="X448" s="14">
        <v>39.99</v>
      </c>
      <c r="Y448" s="14">
        <v>6.77</v>
      </c>
      <c r="AC448" s="14">
        <v>81</v>
      </c>
      <c r="AD448" s="34">
        <f>AC448/M448</f>
        <v>0.73636363636363633</v>
      </c>
      <c r="AE448" s="35">
        <v>9.89</v>
      </c>
      <c r="AF448" s="35">
        <v>9.06</v>
      </c>
      <c r="AJ448" s="35">
        <v>46.51</v>
      </c>
      <c r="AK448" s="35">
        <v>40.229999999999997</v>
      </c>
      <c r="AU448" s="14" t="s">
        <v>2449</v>
      </c>
      <c r="AV448" s="14" t="s">
        <v>2490</v>
      </c>
      <c r="AW448" s="14">
        <v>93</v>
      </c>
      <c r="AX448" s="14">
        <v>1</v>
      </c>
      <c r="AY448" s="14">
        <v>1</v>
      </c>
      <c r="AZ448" s="14">
        <v>1.0002</v>
      </c>
      <c r="BE448" s="29" t="s">
        <v>2650</v>
      </c>
      <c r="BF448" s="29">
        <v>71</v>
      </c>
      <c r="BG448" s="14">
        <v>1</v>
      </c>
      <c r="BH448" s="14">
        <v>1</v>
      </c>
      <c r="BI448" s="14">
        <v>1</v>
      </c>
      <c r="BN448" s="14" t="s">
        <v>2231</v>
      </c>
      <c r="BQ448" s="14">
        <v>0.41</v>
      </c>
      <c r="BU448" s="14" t="s">
        <v>635</v>
      </c>
      <c r="CC448" s="14">
        <v>-0.32</v>
      </c>
      <c r="CG448" s="14">
        <v>2E-3</v>
      </c>
      <c r="CJ448" s="14" t="s">
        <v>2651</v>
      </c>
      <c r="CK448" s="14">
        <v>0.52</v>
      </c>
      <c r="CN448" s="14" t="s">
        <v>635</v>
      </c>
      <c r="CW448" s="14" t="s">
        <v>350</v>
      </c>
      <c r="CX448" s="14" t="s">
        <v>351</v>
      </c>
      <c r="CY448" s="14">
        <v>2024</v>
      </c>
      <c r="CZ448" s="36" t="s">
        <v>73</v>
      </c>
      <c r="DA448" s="14" t="s">
        <v>19</v>
      </c>
      <c r="DB448" s="14">
        <v>31</v>
      </c>
      <c r="DC448" s="14">
        <v>1</v>
      </c>
      <c r="DD448" s="14" t="s">
        <v>352</v>
      </c>
      <c r="DE448" s="14" t="s">
        <v>353</v>
      </c>
    </row>
    <row r="449" spans="1:109">
      <c r="A449" s="14" t="s">
        <v>1861</v>
      </c>
      <c r="B449" s="14" t="s">
        <v>1718</v>
      </c>
      <c r="C449" s="14" t="s">
        <v>354</v>
      </c>
      <c r="D449" s="14" t="s">
        <v>827</v>
      </c>
      <c r="E449" s="14" t="s">
        <v>673</v>
      </c>
      <c r="F449" s="14" t="s">
        <v>807</v>
      </c>
      <c r="H449" s="14" t="s">
        <v>703</v>
      </c>
      <c r="I449" s="14" t="s">
        <v>3146</v>
      </c>
      <c r="J449" s="14" t="s">
        <v>808</v>
      </c>
      <c r="L449" s="14" t="s">
        <v>918</v>
      </c>
      <c r="M449" s="14">
        <v>108</v>
      </c>
      <c r="X449" s="14">
        <v>39.99</v>
      </c>
      <c r="Y449" s="14">
        <v>6.77</v>
      </c>
      <c r="AD449" s="14"/>
      <c r="AE449" s="35">
        <v>9.89</v>
      </c>
      <c r="AF449" s="35">
        <v>9.06</v>
      </c>
      <c r="AJ449" s="35">
        <v>46.51</v>
      </c>
      <c r="AK449" s="35">
        <v>40.229999999999997</v>
      </c>
      <c r="AU449" s="14" t="s">
        <v>2449</v>
      </c>
      <c r="AV449" s="14" t="s">
        <v>2490</v>
      </c>
      <c r="AW449" s="14">
        <v>107</v>
      </c>
      <c r="AX449" s="14">
        <v>1</v>
      </c>
      <c r="AY449" s="14">
        <v>1</v>
      </c>
      <c r="AZ449" s="14">
        <v>1.0002</v>
      </c>
      <c r="BN449" s="14" t="s">
        <v>2231</v>
      </c>
      <c r="BQ449" s="14">
        <v>0.15</v>
      </c>
      <c r="BU449" s="14">
        <v>0.11</v>
      </c>
      <c r="CC449" s="14">
        <v>-0.1</v>
      </c>
      <c r="CG449" s="14">
        <v>0.32</v>
      </c>
      <c r="CJ449" s="14" t="s">
        <v>2651</v>
      </c>
      <c r="CK449" s="14">
        <v>0.37</v>
      </c>
      <c r="CN449" s="14" t="s">
        <v>635</v>
      </c>
      <c r="CW449" s="14" t="s">
        <v>350</v>
      </c>
      <c r="CX449" s="14" t="s">
        <v>351</v>
      </c>
      <c r="CY449" s="14">
        <v>2024</v>
      </c>
      <c r="CZ449" s="36" t="s">
        <v>73</v>
      </c>
      <c r="DA449" s="14" t="s">
        <v>19</v>
      </c>
      <c r="DB449" s="14">
        <v>31</v>
      </c>
      <c r="DC449" s="14">
        <v>1</v>
      </c>
      <c r="DD449" s="14" t="s">
        <v>352</v>
      </c>
      <c r="DE449" s="14" t="s">
        <v>353</v>
      </c>
    </row>
    <row r="450" spans="1:109">
      <c r="A450" s="14" t="s">
        <v>1861</v>
      </c>
      <c r="B450" s="14" t="s">
        <v>1718</v>
      </c>
      <c r="C450" s="14" t="s">
        <v>354</v>
      </c>
      <c r="D450" s="14" t="s">
        <v>827</v>
      </c>
      <c r="E450" s="14" t="s">
        <v>672</v>
      </c>
      <c r="F450" s="14" t="s">
        <v>679</v>
      </c>
      <c r="H450" s="14" t="s">
        <v>703</v>
      </c>
      <c r="I450" s="14" t="s">
        <v>3146</v>
      </c>
      <c r="J450" s="14" t="s">
        <v>808</v>
      </c>
      <c r="L450" s="14" t="s">
        <v>918</v>
      </c>
      <c r="M450" s="14">
        <v>95</v>
      </c>
      <c r="X450" s="14">
        <v>39.99</v>
      </c>
      <c r="Y450" s="14">
        <v>6.77</v>
      </c>
      <c r="AD450" s="14"/>
      <c r="AE450" s="35">
        <v>9.89</v>
      </c>
      <c r="AF450" s="35">
        <v>9.06</v>
      </c>
      <c r="AJ450" s="35">
        <v>46.51</v>
      </c>
      <c r="AK450" s="35">
        <v>40.229999999999997</v>
      </c>
      <c r="AU450" s="14" t="s">
        <v>2449</v>
      </c>
      <c r="AV450" s="14" t="s">
        <v>2490</v>
      </c>
      <c r="AW450" s="14">
        <v>94</v>
      </c>
      <c r="AX450" s="14">
        <v>1.0009999999999999</v>
      </c>
      <c r="AY450" s="14">
        <v>1</v>
      </c>
      <c r="AZ450" s="14">
        <v>1.008</v>
      </c>
      <c r="BN450" s="14" t="s">
        <v>2231</v>
      </c>
      <c r="BQ450" s="14">
        <v>0.11</v>
      </c>
      <c r="BU450" s="14">
        <v>0.27</v>
      </c>
      <c r="CC450" s="14">
        <v>-0.15</v>
      </c>
      <c r="CG450" s="14">
        <v>0.16</v>
      </c>
      <c r="CJ450" s="14" t="s">
        <v>2651</v>
      </c>
      <c r="CK450" s="14">
        <v>0.26</v>
      </c>
      <c r="CN450" s="14">
        <v>0.01</v>
      </c>
      <c r="CW450" s="14" t="s">
        <v>350</v>
      </c>
      <c r="CX450" s="14" t="s">
        <v>351</v>
      </c>
      <c r="CY450" s="14">
        <v>2024</v>
      </c>
      <c r="CZ450" s="36" t="s">
        <v>73</v>
      </c>
      <c r="DA450" s="14" t="s">
        <v>19</v>
      </c>
      <c r="DB450" s="14">
        <v>31</v>
      </c>
      <c r="DC450" s="14">
        <v>1</v>
      </c>
      <c r="DD450" s="14" t="s">
        <v>352</v>
      </c>
      <c r="DE450" s="14" t="s">
        <v>353</v>
      </c>
    </row>
    <row r="451" spans="1:109">
      <c r="A451" s="14" t="s">
        <v>1861</v>
      </c>
      <c r="B451" s="14" t="s">
        <v>1718</v>
      </c>
      <c r="C451" s="14" t="s">
        <v>354</v>
      </c>
      <c r="D451" s="14" t="s">
        <v>827</v>
      </c>
      <c r="E451" s="14" t="s">
        <v>673</v>
      </c>
      <c r="F451" s="14" t="s">
        <v>679</v>
      </c>
      <c r="H451" s="14" t="s">
        <v>703</v>
      </c>
      <c r="I451" s="14" t="s">
        <v>3146</v>
      </c>
      <c r="J451" s="14" t="s">
        <v>808</v>
      </c>
      <c r="L451" s="14" t="s">
        <v>918</v>
      </c>
      <c r="M451" s="14">
        <v>108</v>
      </c>
      <c r="X451" s="14">
        <v>39.99</v>
      </c>
      <c r="Y451" s="14">
        <v>6.77</v>
      </c>
      <c r="AD451" s="14"/>
      <c r="AE451" s="35">
        <v>9.89</v>
      </c>
      <c r="AF451" s="35">
        <v>9.06</v>
      </c>
      <c r="AJ451" s="35">
        <v>46.51</v>
      </c>
      <c r="AK451" s="35">
        <v>40.229999999999997</v>
      </c>
      <c r="AU451" s="14" t="s">
        <v>2449</v>
      </c>
      <c r="AV451" s="14" t="s">
        <v>2490</v>
      </c>
      <c r="AW451" s="14">
        <v>107</v>
      </c>
      <c r="AX451" s="14">
        <v>1</v>
      </c>
      <c r="AY451" s="14">
        <v>0.996</v>
      </c>
      <c r="AZ451" s="14">
        <v>1.004</v>
      </c>
      <c r="BN451" s="14" t="s">
        <v>2231</v>
      </c>
      <c r="BQ451" s="14">
        <v>-0.09</v>
      </c>
      <c r="BU451" s="14">
        <v>0.37</v>
      </c>
      <c r="CC451" s="14">
        <v>-0.02</v>
      </c>
      <c r="CG451" s="14">
        <v>0.8</v>
      </c>
      <c r="CJ451" s="14" t="s">
        <v>2651</v>
      </c>
      <c r="CK451" s="14">
        <v>-0.1</v>
      </c>
      <c r="CN451" s="14">
        <v>0.28000000000000003</v>
      </c>
      <c r="CW451" s="14" t="s">
        <v>350</v>
      </c>
      <c r="CX451" s="14" t="s">
        <v>351</v>
      </c>
      <c r="CY451" s="14">
        <v>2024</v>
      </c>
      <c r="CZ451" s="36" t="s">
        <v>73</v>
      </c>
      <c r="DA451" s="14" t="s">
        <v>19</v>
      </c>
      <c r="DB451" s="14">
        <v>31</v>
      </c>
      <c r="DC451" s="14">
        <v>1</v>
      </c>
      <c r="DD451" s="14" t="s">
        <v>352</v>
      </c>
      <c r="DE451" s="14" t="s">
        <v>353</v>
      </c>
    </row>
    <row r="452" spans="1:109">
      <c r="A452" s="14" t="s">
        <v>1862</v>
      </c>
      <c r="B452" s="14" t="s">
        <v>1719</v>
      </c>
      <c r="C452" s="14" t="s">
        <v>359</v>
      </c>
      <c r="D452" s="14" t="s">
        <v>898</v>
      </c>
      <c r="E452" s="14" t="s">
        <v>674</v>
      </c>
      <c r="F452" s="14" t="s">
        <v>758</v>
      </c>
      <c r="H452" s="14" t="s">
        <v>703</v>
      </c>
      <c r="I452" s="14" t="s">
        <v>4089</v>
      </c>
      <c r="J452" s="14" t="s">
        <v>652</v>
      </c>
      <c r="L452" s="14" t="s">
        <v>639</v>
      </c>
      <c r="M452" s="14">
        <v>156</v>
      </c>
      <c r="N452" s="14">
        <v>19</v>
      </c>
      <c r="P452" s="14">
        <v>19</v>
      </c>
      <c r="S452" s="14">
        <v>66</v>
      </c>
      <c r="T452" s="14">
        <v>56</v>
      </c>
      <c r="U452" s="14">
        <v>72</v>
      </c>
      <c r="V452" s="14">
        <v>105</v>
      </c>
      <c r="W452" s="14">
        <f t="shared" ref="W452:W459" si="47">V452/M452</f>
        <v>0.67307692307692313</v>
      </c>
      <c r="Z452" s="14">
        <v>41</v>
      </c>
      <c r="AA452" s="14">
        <v>38</v>
      </c>
      <c r="AB452" s="14">
        <v>44</v>
      </c>
      <c r="AD452" s="34">
        <v>0.67300000000000004</v>
      </c>
      <c r="AG452" s="35">
        <v>13</v>
      </c>
      <c r="AH452" s="35">
        <v>8</v>
      </c>
      <c r="AI452" s="35">
        <v>24</v>
      </c>
      <c r="AU452" s="14" t="s">
        <v>2449</v>
      </c>
      <c r="AV452" s="14" t="s">
        <v>2380</v>
      </c>
      <c r="AX452" s="14">
        <v>2.46</v>
      </c>
      <c r="AY452" s="14">
        <v>1.91</v>
      </c>
      <c r="AZ452" s="14">
        <v>3.01</v>
      </c>
      <c r="BA452" s="29" t="s">
        <v>4107</v>
      </c>
      <c r="BB452" s="14">
        <v>2.8</v>
      </c>
      <c r="BC452" s="14">
        <v>1.59</v>
      </c>
      <c r="BD452" s="14">
        <v>4.92</v>
      </c>
      <c r="BE452" s="29" t="s">
        <v>2653</v>
      </c>
      <c r="BG452" s="14">
        <v>1.73</v>
      </c>
      <c r="BH452" s="14">
        <v>1.05</v>
      </c>
      <c r="BI452" s="14">
        <v>2.87</v>
      </c>
      <c r="BJ452" s="29" t="s">
        <v>4107</v>
      </c>
      <c r="BK452" s="14">
        <v>0.96</v>
      </c>
      <c r="BL452" s="14">
        <v>0.44</v>
      </c>
      <c r="BM452" s="14">
        <v>2.08</v>
      </c>
      <c r="BV452" s="14" t="s">
        <v>2646</v>
      </c>
      <c r="BX452" s="14" t="s">
        <v>2380</v>
      </c>
      <c r="BY452" s="14">
        <v>-3.1E-2</v>
      </c>
      <c r="BZ452" s="14">
        <v>-4.5999999999999999E-2</v>
      </c>
      <c r="CA452" s="14">
        <v>-1.7000000000000001E-2</v>
      </c>
      <c r="CB452" s="14" t="s">
        <v>701</v>
      </c>
      <c r="CW452" s="14" t="s">
        <v>355</v>
      </c>
      <c r="CX452" s="14" t="s">
        <v>356</v>
      </c>
      <c r="CY452" s="14">
        <v>2023</v>
      </c>
      <c r="CZ452" s="36">
        <v>45547</v>
      </c>
      <c r="DA452" s="14" t="s">
        <v>316</v>
      </c>
      <c r="DB452" s="14">
        <v>24</v>
      </c>
      <c r="DC452" s="14">
        <v>18</v>
      </c>
      <c r="DE452" s="14" t="s">
        <v>358</v>
      </c>
    </row>
    <row r="453" spans="1:109">
      <c r="A453" s="14" t="s">
        <v>1862</v>
      </c>
      <c r="B453" s="14" t="s">
        <v>1719</v>
      </c>
      <c r="C453" s="14" t="s">
        <v>359</v>
      </c>
      <c r="D453" s="14" t="s">
        <v>898</v>
      </c>
      <c r="E453" s="14" t="s">
        <v>674</v>
      </c>
      <c r="F453" s="14" t="s">
        <v>721</v>
      </c>
      <c r="H453" s="14" t="s">
        <v>703</v>
      </c>
      <c r="I453" s="14" t="s">
        <v>2921</v>
      </c>
      <c r="J453" s="14" t="s">
        <v>2207</v>
      </c>
      <c r="L453" s="14" t="s">
        <v>639</v>
      </c>
      <c r="M453" s="14">
        <v>156</v>
      </c>
      <c r="N453" s="14">
        <v>19</v>
      </c>
      <c r="P453" s="14">
        <v>19</v>
      </c>
      <c r="S453" s="14">
        <v>66</v>
      </c>
      <c r="T453" s="14">
        <v>56</v>
      </c>
      <c r="U453" s="14">
        <v>72</v>
      </c>
      <c r="V453" s="14">
        <v>105</v>
      </c>
      <c r="W453" s="14">
        <f t="shared" si="47"/>
        <v>0.67307692307692313</v>
      </c>
      <c r="Z453" s="14">
        <v>41</v>
      </c>
      <c r="AA453" s="14">
        <v>38</v>
      </c>
      <c r="AB453" s="14">
        <v>44</v>
      </c>
      <c r="AD453" s="34">
        <v>0.67300000000000004</v>
      </c>
      <c r="AG453" s="35">
        <v>13</v>
      </c>
      <c r="AH453" s="35">
        <v>8</v>
      </c>
      <c r="AI453" s="35">
        <v>24</v>
      </c>
      <c r="AU453" s="14" t="s">
        <v>2449</v>
      </c>
      <c r="AX453" s="14">
        <v>1.1100000000000001</v>
      </c>
      <c r="AY453" s="14">
        <v>1.02</v>
      </c>
      <c r="AZ453" s="14">
        <v>1.2</v>
      </c>
      <c r="BE453" s="29" t="s">
        <v>2653</v>
      </c>
      <c r="BG453" s="14">
        <v>1.0900000000000001</v>
      </c>
      <c r="BH453" s="14">
        <v>1.1100000000000001</v>
      </c>
      <c r="BI453" s="14">
        <v>1.19</v>
      </c>
      <c r="CW453" s="14" t="s">
        <v>355</v>
      </c>
      <c r="CX453" s="14" t="s">
        <v>356</v>
      </c>
      <c r="CY453" s="14">
        <v>2023</v>
      </c>
      <c r="CZ453" s="36">
        <v>45547</v>
      </c>
      <c r="DA453" s="14" t="s">
        <v>316</v>
      </c>
      <c r="DB453" s="14">
        <v>24</v>
      </c>
      <c r="DC453" s="14">
        <v>18</v>
      </c>
      <c r="DE453" s="14" t="s">
        <v>358</v>
      </c>
    </row>
    <row r="454" spans="1:109">
      <c r="A454" s="14" t="s">
        <v>1862</v>
      </c>
      <c r="B454" s="14" t="s">
        <v>1719</v>
      </c>
      <c r="C454" s="14" t="s">
        <v>359</v>
      </c>
      <c r="D454" s="14" t="s">
        <v>898</v>
      </c>
      <c r="E454" s="14" t="s">
        <v>674</v>
      </c>
      <c r="F454" s="14" t="s">
        <v>675</v>
      </c>
      <c r="H454" s="14" t="s">
        <v>703</v>
      </c>
      <c r="I454" s="14" t="s">
        <v>2921</v>
      </c>
      <c r="J454" s="14" t="s">
        <v>652</v>
      </c>
      <c r="L454" s="14" t="s">
        <v>639</v>
      </c>
      <c r="M454" s="14">
        <v>156</v>
      </c>
      <c r="N454" s="14">
        <v>19</v>
      </c>
      <c r="P454" s="14">
        <v>19</v>
      </c>
      <c r="S454" s="14">
        <v>66</v>
      </c>
      <c r="T454" s="14">
        <v>56</v>
      </c>
      <c r="U454" s="14">
        <v>72</v>
      </c>
      <c r="V454" s="14">
        <v>105</v>
      </c>
      <c r="W454" s="14">
        <f t="shared" si="47"/>
        <v>0.67307692307692313</v>
      </c>
      <c r="Z454" s="14">
        <v>41</v>
      </c>
      <c r="AA454" s="14">
        <v>38</v>
      </c>
      <c r="AB454" s="14">
        <v>44</v>
      </c>
      <c r="AD454" s="34">
        <v>0.67300000000000004</v>
      </c>
      <c r="AG454" s="35">
        <v>13</v>
      </c>
      <c r="AH454" s="35">
        <v>8</v>
      </c>
      <c r="AI454" s="35">
        <v>24</v>
      </c>
      <c r="AU454" s="14" t="s">
        <v>2449</v>
      </c>
      <c r="AX454" s="14">
        <v>1.01</v>
      </c>
      <c r="AY454" s="14">
        <v>1.006</v>
      </c>
      <c r="AZ454" s="14">
        <v>1.01</v>
      </c>
      <c r="BE454" s="29" t="s">
        <v>2653</v>
      </c>
      <c r="BG454" s="14">
        <v>1.01</v>
      </c>
      <c r="BH454" s="14">
        <v>1</v>
      </c>
      <c r="BI454" s="14">
        <v>1.01</v>
      </c>
      <c r="CW454" s="14" t="s">
        <v>355</v>
      </c>
      <c r="CX454" s="14" t="s">
        <v>356</v>
      </c>
      <c r="CY454" s="14">
        <v>2023</v>
      </c>
      <c r="CZ454" s="36">
        <v>45547</v>
      </c>
      <c r="DA454" s="14" t="s">
        <v>316</v>
      </c>
      <c r="DB454" s="14">
        <v>24</v>
      </c>
      <c r="DC454" s="14">
        <v>18</v>
      </c>
      <c r="DE454" s="14" t="s">
        <v>358</v>
      </c>
    </row>
    <row r="455" spans="1:109">
      <c r="A455" s="14" t="s">
        <v>1862</v>
      </c>
      <c r="B455" s="14" t="s">
        <v>1719</v>
      </c>
      <c r="C455" s="14" t="s">
        <v>359</v>
      </c>
      <c r="D455" s="14" t="s">
        <v>898</v>
      </c>
      <c r="E455" s="14" t="s">
        <v>673</v>
      </c>
      <c r="F455" s="14" t="s">
        <v>2198</v>
      </c>
      <c r="H455" s="14" t="s">
        <v>703</v>
      </c>
      <c r="I455" s="14" t="s">
        <v>2921</v>
      </c>
      <c r="J455" s="14" t="s">
        <v>3210</v>
      </c>
      <c r="L455" s="14" t="s">
        <v>639</v>
      </c>
      <c r="M455" s="14">
        <v>156</v>
      </c>
      <c r="N455" s="14">
        <v>19</v>
      </c>
      <c r="P455" s="14">
        <v>19</v>
      </c>
      <c r="S455" s="14">
        <v>66</v>
      </c>
      <c r="T455" s="14">
        <v>56</v>
      </c>
      <c r="U455" s="14">
        <v>72</v>
      </c>
      <c r="V455" s="14">
        <v>105</v>
      </c>
      <c r="W455" s="14">
        <f t="shared" si="47"/>
        <v>0.67307692307692313</v>
      </c>
      <c r="Z455" s="14">
        <v>41</v>
      </c>
      <c r="AA455" s="14">
        <v>38</v>
      </c>
      <c r="AB455" s="14">
        <v>44</v>
      </c>
      <c r="AD455" s="34">
        <v>0.67300000000000004</v>
      </c>
      <c r="AG455" s="35">
        <v>13</v>
      </c>
      <c r="AH455" s="35">
        <v>8</v>
      </c>
      <c r="AI455" s="35">
        <v>24</v>
      </c>
      <c r="AU455" s="14" t="s">
        <v>2449</v>
      </c>
      <c r="AX455" s="14">
        <v>0.99</v>
      </c>
      <c r="AY455" s="14">
        <v>0.99</v>
      </c>
      <c r="AZ455" s="14">
        <v>1</v>
      </c>
      <c r="BE455" s="29" t="s">
        <v>2653</v>
      </c>
      <c r="CW455" s="14" t="s">
        <v>355</v>
      </c>
      <c r="CX455" s="14" t="s">
        <v>356</v>
      </c>
      <c r="CY455" s="14">
        <v>2023</v>
      </c>
      <c r="CZ455" s="36">
        <v>45547</v>
      </c>
      <c r="DA455" s="14" t="s">
        <v>316</v>
      </c>
      <c r="DB455" s="14">
        <v>24</v>
      </c>
      <c r="DC455" s="14">
        <v>18</v>
      </c>
      <c r="DE455" s="14" t="s">
        <v>358</v>
      </c>
    </row>
    <row r="456" spans="1:109" ht="20">
      <c r="A456" s="13" t="s">
        <v>1766</v>
      </c>
      <c r="B456" s="13" t="s">
        <v>1766</v>
      </c>
      <c r="C456" s="13" t="s">
        <v>365</v>
      </c>
      <c r="D456" s="13" t="s">
        <v>2039</v>
      </c>
      <c r="E456" s="13" t="s">
        <v>674</v>
      </c>
      <c r="F456" s="13" t="s">
        <v>858</v>
      </c>
      <c r="H456" s="13" t="s">
        <v>855</v>
      </c>
      <c r="I456" s="13" t="s">
        <v>3650</v>
      </c>
      <c r="J456" s="13" t="s">
        <v>652</v>
      </c>
      <c r="K456" s="13"/>
      <c r="M456" s="13">
        <v>10</v>
      </c>
      <c r="N456" s="13"/>
      <c r="O456" s="15"/>
      <c r="P456" s="13"/>
      <c r="Q456" s="13">
        <v>62.5</v>
      </c>
      <c r="R456" s="13"/>
      <c r="S456" s="13"/>
      <c r="T456" s="13"/>
      <c r="U456" s="13"/>
      <c r="V456" s="14">
        <v>6</v>
      </c>
      <c r="W456" s="14">
        <f t="shared" si="47"/>
        <v>0.6</v>
      </c>
      <c r="CW456" s="13" t="s">
        <v>360</v>
      </c>
      <c r="CX456" s="13" t="s">
        <v>361</v>
      </c>
      <c r="CY456" s="13">
        <v>2024</v>
      </c>
      <c r="CZ456" s="13" t="s">
        <v>2214</v>
      </c>
      <c r="DA456" s="13" t="s">
        <v>362</v>
      </c>
      <c r="DB456" s="13">
        <v>10</v>
      </c>
      <c r="DC456" s="13">
        <v>2</v>
      </c>
      <c r="DD456" s="13" t="s">
        <v>363</v>
      </c>
      <c r="DE456" s="13" t="s">
        <v>364</v>
      </c>
    </row>
    <row r="457" spans="1:109" ht="20">
      <c r="A457" s="14" t="s">
        <v>1863</v>
      </c>
      <c r="B457" s="14" t="s">
        <v>1720</v>
      </c>
      <c r="C457" s="14" t="s">
        <v>370</v>
      </c>
      <c r="D457" s="13" t="s">
        <v>818</v>
      </c>
      <c r="E457" s="14" t="s">
        <v>673</v>
      </c>
      <c r="F457" s="14" t="s">
        <v>675</v>
      </c>
      <c r="H457" s="14" t="s">
        <v>586</v>
      </c>
      <c r="I457" s="14" t="s">
        <v>4090</v>
      </c>
      <c r="J457" s="14" t="s">
        <v>1016</v>
      </c>
      <c r="K457" s="14" t="s">
        <v>921</v>
      </c>
      <c r="L457" s="14" t="s">
        <v>639</v>
      </c>
      <c r="M457" s="14">
        <v>34</v>
      </c>
      <c r="N457" s="14">
        <v>8</v>
      </c>
      <c r="O457" s="34">
        <v>0.23499999999999999</v>
      </c>
      <c r="S457" s="14">
        <v>64</v>
      </c>
      <c r="T457" s="14">
        <v>56.8</v>
      </c>
      <c r="U457" s="14">
        <v>75.3</v>
      </c>
      <c r="V457" s="14">
        <v>28</v>
      </c>
      <c r="W457" s="14">
        <f t="shared" si="47"/>
        <v>0.82352941176470584</v>
      </c>
      <c r="Z457" s="14">
        <v>37</v>
      </c>
      <c r="AA457" s="14">
        <v>28.8</v>
      </c>
      <c r="AB457" s="14">
        <v>40.299999999999997</v>
      </c>
      <c r="AC457" s="14">
        <v>26</v>
      </c>
      <c r="AD457" s="34">
        <f>AC457/M457</f>
        <v>0.76470588235294112</v>
      </c>
      <c r="AG457" s="35">
        <v>26.5</v>
      </c>
      <c r="AH457" s="35">
        <v>18.8</v>
      </c>
      <c r="AI457" s="35">
        <v>45</v>
      </c>
      <c r="BN457" s="14" t="s">
        <v>2231</v>
      </c>
      <c r="BQ457" s="14">
        <v>0.75800000000000001</v>
      </c>
      <c r="BU457" s="14" t="s">
        <v>635</v>
      </c>
      <c r="CC457" s="14">
        <v>-0.33500000000000002</v>
      </c>
      <c r="CG457" s="14">
        <v>2.1000000000000001E-2</v>
      </c>
      <c r="CW457" s="14" t="s">
        <v>366</v>
      </c>
      <c r="CX457" s="14" t="s">
        <v>367</v>
      </c>
      <c r="CY457" s="14">
        <v>2023</v>
      </c>
      <c r="CZ457" s="36">
        <v>45443</v>
      </c>
      <c r="DA457" s="14" t="s">
        <v>368</v>
      </c>
      <c r="DB457" s="14">
        <v>13</v>
      </c>
      <c r="DC457" s="14">
        <v>6</v>
      </c>
      <c r="DE457" s="14" t="s">
        <v>369</v>
      </c>
    </row>
    <row r="458" spans="1:109" ht="20">
      <c r="A458" s="14" t="s">
        <v>1863</v>
      </c>
      <c r="B458" s="14" t="s">
        <v>1720</v>
      </c>
      <c r="C458" s="14" t="s">
        <v>370</v>
      </c>
      <c r="D458" s="13" t="s">
        <v>818</v>
      </c>
      <c r="E458" s="14" t="s">
        <v>673</v>
      </c>
      <c r="F458" s="14" t="s">
        <v>807</v>
      </c>
      <c r="H458" s="14" t="s">
        <v>586</v>
      </c>
      <c r="I458" s="14" t="s">
        <v>3147</v>
      </c>
      <c r="J458" s="14" t="s">
        <v>1016</v>
      </c>
      <c r="K458" s="14" t="s">
        <v>921</v>
      </c>
      <c r="L458" s="14" t="s">
        <v>639</v>
      </c>
      <c r="M458" s="14">
        <v>34</v>
      </c>
      <c r="N458" s="14">
        <v>8</v>
      </c>
      <c r="O458" s="34">
        <v>0.23499999999999999</v>
      </c>
      <c r="S458" s="14">
        <v>64</v>
      </c>
      <c r="T458" s="14">
        <v>56.8</v>
      </c>
      <c r="U458" s="14">
        <v>75.3</v>
      </c>
      <c r="V458" s="14">
        <v>28</v>
      </c>
      <c r="W458" s="14">
        <f t="shared" si="47"/>
        <v>0.82352941176470584</v>
      </c>
      <c r="Z458" s="14">
        <v>37</v>
      </c>
      <c r="AA458" s="14">
        <v>28.8</v>
      </c>
      <c r="AB458" s="14">
        <v>40.299999999999997</v>
      </c>
      <c r="AC458" s="14">
        <v>26</v>
      </c>
      <c r="AD458" s="34">
        <f>AC458/M458</f>
        <v>0.76470588235294112</v>
      </c>
      <c r="AG458" s="35">
        <v>26.5</v>
      </c>
      <c r="AH458" s="35">
        <v>18.8</v>
      </c>
      <c r="AI458" s="35">
        <v>45</v>
      </c>
      <c r="BN458" s="14" t="s">
        <v>2231</v>
      </c>
      <c r="BQ458" s="14">
        <v>0.371</v>
      </c>
      <c r="BU458" s="14" t="s">
        <v>635</v>
      </c>
      <c r="CC458" s="14">
        <v>0.187</v>
      </c>
      <c r="CG458" s="14">
        <v>0.187</v>
      </c>
      <c r="CW458" s="14" t="s">
        <v>366</v>
      </c>
      <c r="CX458" s="14" t="s">
        <v>367</v>
      </c>
      <c r="CY458" s="14">
        <v>2023</v>
      </c>
      <c r="CZ458" s="36">
        <v>45443</v>
      </c>
      <c r="DA458" s="14" t="s">
        <v>368</v>
      </c>
      <c r="DB458" s="14">
        <v>13</v>
      </c>
      <c r="DC458" s="14">
        <v>6</v>
      </c>
      <c r="DE458" s="14" t="s">
        <v>369</v>
      </c>
    </row>
    <row r="459" spans="1:109">
      <c r="A459" s="14" t="s">
        <v>1865</v>
      </c>
      <c r="C459" s="14" t="s">
        <v>1383</v>
      </c>
      <c r="D459" s="14" t="s">
        <v>818</v>
      </c>
      <c r="E459" s="14" t="s">
        <v>673</v>
      </c>
      <c r="F459" s="14" t="s">
        <v>675</v>
      </c>
      <c r="H459" s="14" t="s">
        <v>669</v>
      </c>
      <c r="I459" s="14" t="s">
        <v>3148</v>
      </c>
      <c r="J459" s="14" t="s">
        <v>652</v>
      </c>
      <c r="K459" s="14" t="s">
        <v>2655</v>
      </c>
      <c r="L459" s="14" t="s">
        <v>639</v>
      </c>
      <c r="M459" s="14">
        <v>1378</v>
      </c>
      <c r="S459" s="14">
        <v>65</v>
      </c>
      <c r="T459" s="14">
        <v>57</v>
      </c>
      <c r="U459" s="14">
        <v>72</v>
      </c>
      <c r="V459" s="14">
        <v>823</v>
      </c>
      <c r="W459" s="14">
        <f t="shared" si="47"/>
        <v>0.59724238026124821</v>
      </c>
      <c r="Z459" s="14">
        <v>36</v>
      </c>
      <c r="AA459" s="14">
        <v>28</v>
      </c>
      <c r="AB459" s="14">
        <v>42</v>
      </c>
      <c r="AD459" s="34">
        <v>0.7</v>
      </c>
      <c r="AG459" s="35">
        <v>21</v>
      </c>
      <c r="AH459" s="35">
        <v>11</v>
      </c>
      <c r="AI459" s="35">
        <v>49</v>
      </c>
      <c r="BN459" s="14" t="s">
        <v>2231</v>
      </c>
      <c r="BO459" s="14" t="s">
        <v>2656</v>
      </c>
      <c r="BP459" s="14" t="s">
        <v>2656</v>
      </c>
      <c r="BQ459" s="14">
        <v>0.56399999999999995</v>
      </c>
      <c r="BU459" s="14" t="s">
        <v>760</v>
      </c>
      <c r="CV459" s="14" t="s">
        <v>2657</v>
      </c>
      <c r="CW459" s="14" t="s">
        <v>1379</v>
      </c>
      <c r="CX459" s="14" t="s">
        <v>1380</v>
      </c>
      <c r="CY459" s="14">
        <v>2023</v>
      </c>
      <c r="CZ459" s="36" t="s">
        <v>12</v>
      </c>
      <c r="DA459" s="14" t="s">
        <v>19</v>
      </c>
      <c r="DB459" s="14">
        <v>30</v>
      </c>
      <c r="DC459" s="14">
        <v>6</v>
      </c>
      <c r="DD459" s="14" t="s">
        <v>1381</v>
      </c>
      <c r="DE459" s="14" t="s">
        <v>1382</v>
      </c>
    </row>
    <row r="460" spans="1:109">
      <c r="A460" s="14" t="s">
        <v>1864</v>
      </c>
      <c r="C460" s="14" t="s">
        <v>1378</v>
      </c>
      <c r="D460" s="14" t="s">
        <v>829</v>
      </c>
      <c r="E460" s="14" t="s">
        <v>673</v>
      </c>
      <c r="F460" s="14" t="s">
        <v>675</v>
      </c>
      <c r="H460" s="14" t="s">
        <v>2654</v>
      </c>
      <c r="I460" s="14" t="s">
        <v>3148</v>
      </c>
      <c r="J460" s="14" t="s">
        <v>652</v>
      </c>
      <c r="K460" s="14" t="s">
        <v>2655</v>
      </c>
      <c r="L460" s="14" t="s">
        <v>639</v>
      </c>
      <c r="M460" s="14">
        <v>2949</v>
      </c>
      <c r="S460" s="14">
        <v>64</v>
      </c>
      <c r="T460" s="14">
        <v>57</v>
      </c>
      <c r="U460" s="14">
        <v>72</v>
      </c>
      <c r="W460" s="14">
        <v>0.57999999999999996</v>
      </c>
      <c r="Z460" s="14">
        <v>36</v>
      </c>
      <c r="AA460" s="14">
        <v>29</v>
      </c>
      <c r="AB460" s="14">
        <v>41</v>
      </c>
      <c r="AD460" s="34">
        <v>0.52</v>
      </c>
      <c r="AG460" s="35">
        <v>18</v>
      </c>
      <c r="AH460" s="35">
        <v>10</v>
      </c>
      <c r="AI460" s="35">
        <v>39</v>
      </c>
      <c r="AQ460" s="35">
        <v>36</v>
      </c>
      <c r="AR460" s="35">
        <v>23</v>
      </c>
      <c r="AS460" s="35">
        <v>61</v>
      </c>
      <c r="CW460" s="14" t="s">
        <v>1375</v>
      </c>
      <c r="CX460" s="14" t="s">
        <v>1376</v>
      </c>
      <c r="CY460" s="14">
        <v>2024</v>
      </c>
      <c r="CZ460" s="36" t="s">
        <v>1372</v>
      </c>
      <c r="DA460" s="14" t="s">
        <v>349</v>
      </c>
      <c r="DE460" s="14" t="s">
        <v>1377</v>
      </c>
    </row>
    <row r="461" spans="1:109">
      <c r="A461" s="14" t="s">
        <v>1866</v>
      </c>
      <c r="C461" s="14" t="s">
        <v>1385</v>
      </c>
      <c r="D461" s="14" t="s">
        <v>2660</v>
      </c>
      <c r="F461" s="14" t="s">
        <v>2659</v>
      </c>
      <c r="H461" s="14" t="s">
        <v>2658</v>
      </c>
      <c r="I461" s="29" t="s">
        <v>3158</v>
      </c>
      <c r="CW461" s="14" t="s">
        <v>1387</v>
      </c>
      <c r="CX461" s="14" t="s">
        <v>1388</v>
      </c>
      <c r="CY461" s="14">
        <v>2022</v>
      </c>
      <c r="CZ461" s="36">
        <v>45557</v>
      </c>
      <c r="DA461" s="14" t="s">
        <v>1389</v>
      </c>
      <c r="DB461" s="14">
        <v>387</v>
      </c>
      <c r="DC461" s="14">
        <v>12</v>
      </c>
      <c r="DD461" s="14" t="s">
        <v>1390</v>
      </c>
      <c r="DE461" s="14" t="s">
        <v>1391</v>
      </c>
    </row>
    <row r="462" spans="1:109">
      <c r="A462" s="14" t="s">
        <v>1867</v>
      </c>
      <c r="C462" s="14" t="s">
        <v>1396</v>
      </c>
      <c r="D462" s="14" t="s">
        <v>818</v>
      </c>
      <c r="E462" s="14" t="s">
        <v>674</v>
      </c>
      <c r="F462" s="14" t="s">
        <v>2337</v>
      </c>
      <c r="H462" s="14" t="s">
        <v>584</v>
      </c>
      <c r="I462" s="14" t="s">
        <v>3149</v>
      </c>
      <c r="J462" s="14" t="s">
        <v>4115</v>
      </c>
      <c r="K462" s="14" t="s">
        <v>2661</v>
      </c>
      <c r="M462" s="14">
        <v>355</v>
      </c>
      <c r="Q462" s="14">
        <v>61</v>
      </c>
      <c r="R462" s="14">
        <v>10.3</v>
      </c>
      <c r="V462" s="14">
        <v>213</v>
      </c>
      <c r="W462" s="14">
        <f t="shared" ref="W462:W495" si="48">V462/M462</f>
        <v>0.6</v>
      </c>
      <c r="X462" s="14">
        <v>36.1</v>
      </c>
      <c r="Y462" s="14">
        <v>6.7</v>
      </c>
      <c r="AD462" s="34">
        <v>0.69199999999999995</v>
      </c>
      <c r="AE462" s="35">
        <v>12.7</v>
      </c>
      <c r="AF462" s="35">
        <v>4.5</v>
      </c>
      <c r="AU462" s="14" t="s">
        <v>2447</v>
      </c>
      <c r="AV462" s="14" t="s">
        <v>2663</v>
      </c>
      <c r="BE462" s="29" t="s">
        <v>2662</v>
      </c>
      <c r="BF462" s="29">
        <v>340</v>
      </c>
      <c r="BG462" s="14">
        <v>0.88</v>
      </c>
      <c r="BH462" s="14">
        <v>0.82</v>
      </c>
      <c r="BI462" s="14">
        <v>0.95</v>
      </c>
      <c r="BN462" s="14" t="s">
        <v>2231</v>
      </c>
      <c r="CC462" s="14">
        <v>0.3</v>
      </c>
      <c r="CG462" s="14" t="s">
        <v>701</v>
      </c>
      <c r="CW462" s="14" t="s">
        <v>1392</v>
      </c>
      <c r="CX462" s="14" t="s">
        <v>1393</v>
      </c>
      <c r="CY462" s="14">
        <v>2020</v>
      </c>
      <c r="CZ462" s="36" t="s">
        <v>330</v>
      </c>
      <c r="DA462" s="14" t="s">
        <v>64</v>
      </c>
      <c r="DB462" s="14">
        <v>21</v>
      </c>
      <c r="DC462" s="14">
        <v>45355</v>
      </c>
      <c r="DD462" s="14" t="s">
        <v>1394</v>
      </c>
      <c r="DE462" s="14" t="s">
        <v>1395</v>
      </c>
    </row>
    <row r="463" spans="1:109">
      <c r="A463" s="14" t="s">
        <v>1867</v>
      </c>
      <c r="C463" s="14" t="s">
        <v>1396</v>
      </c>
      <c r="D463" s="14" t="s">
        <v>818</v>
      </c>
      <c r="E463" s="14" t="s">
        <v>674</v>
      </c>
      <c r="F463" s="14" t="s">
        <v>2377</v>
      </c>
      <c r="H463" s="14" t="s">
        <v>584</v>
      </c>
      <c r="I463" s="14" t="s">
        <v>3149</v>
      </c>
      <c r="J463" s="14" t="s">
        <v>4115</v>
      </c>
      <c r="K463" s="14" t="s">
        <v>2661</v>
      </c>
      <c r="M463" s="14">
        <v>355</v>
      </c>
      <c r="Q463" s="14">
        <v>61</v>
      </c>
      <c r="R463" s="14">
        <v>10.3</v>
      </c>
      <c r="V463" s="14">
        <v>213</v>
      </c>
      <c r="W463" s="14">
        <f t="shared" si="48"/>
        <v>0.6</v>
      </c>
      <c r="X463" s="14">
        <v>36.1</v>
      </c>
      <c r="Y463" s="14">
        <v>6.7</v>
      </c>
      <c r="AD463" s="34">
        <v>0.69199999999999995</v>
      </c>
      <c r="AE463" s="35">
        <v>12.7</v>
      </c>
      <c r="AF463" s="35">
        <v>4.5</v>
      </c>
      <c r="AU463" s="14" t="s">
        <v>2447</v>
      </c>
      <c r="AV463" s="14" t="s">
        <v>2663</v>
      </c>
      <c r="BE463" s="29" t="s">
        <v>2662</v>
      </c>
      <c r="BF463" s="29">
        <v>340</v>
      </c>
      <c r="BG463" s="14">
        <v>0.99</v>
      </c>
      <c r="BH463" s="14">
        <v>0.98</v>
      </c>
      <c r="BI463" s="14">
        <v>1.01</v>
      </c>
      <c r="BN463" s="14" t="s">
        <v>2231</v>
      </c>
      <c r="CW463" s="14" t="s">
        <v>1392</v>
      </c>
      <c r="CX463" s="14" t="s">
        <v>1393</v>
      </c>
      <c r="CY463" s="14">
        <v>2020</v>
      </c>
      <c r="CZ463" s="36" t="s">
        <v>330</v>
      </c>
      <c r="DA463" s="14" t="s">
        <v>64</v>
      </c>
      <c r="DB463" s="14">
        <v>21</v>
      </c>
      <c r="DC463" s="14">
        <v>45355</v>
      </c>
      <c r="DD463" s="14" t="s">
        <v>1394</v>
      </c>
      <c r="DE463" s="14" t="s">
        <v>1395</v>
      </c>
    </row>
    <row r="464" spans="1:109" ht="20">
      <c r="A464" s="13" t="s">
        <v>3399</v>
      </c>
      <c r="B464" s="13"/>
      <c r="C464" s="13" t="s">
        <v>3328</v>
      </c>
      <c r="D464" s="14" t="s">
        <v>830</v>
      </c>
      <c r="E464" s="13" t="s">
        <v>672</v>
      </c>
      <c r="F464" s="13" t="s">
        <v>3840</v>
      </c>
      <c r="G464" s="13"/>
      <c r="H464" s="14" t="s">
        <v>855</v>
      </c>
      <c r="I464" s="13" t="s">
        <v>3837</v>
      </c>
      <c r="J464" s="13" t="s">
        <v>3842</v>
      </c>
      <c r="K464" s="13" t="s">
        <v>3841</v>
      </c>
      <c r="L464" s="13" t="s">
        <v>3843</v>
      </c>
      <c r="M464" s="13">
        <v>61</v>
      </c>
      <c r="N464" s="13"/>
      <c r="O464" s="15"/>
      <c r="P464" s="13"/>
      <c r="Q464" s="13">
        <v>67.95</v>
      </c>
      <c r="R464" s="13">
        <v>9.85</v>
      </c>
      <c r="S464" s="13"/>
      <c r="T464" s="13"/>
      <c r="U464" s="13"/>
      <c r="V464" s="13">
        <v>33</v>
      </c>
      <c r="W464" s="2">
        <f t="shared" si="48"/>
        <v>0.54098360655737709</v>
      </c>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V464" s="13"/>
      <c r="AW464" s="13"/>
      <c r="AX464" s="13"/>
      <c r="AY464" s="13"/>
      <c r="AZ464" s="13"/>
      <c r="BA464" s="16"/>
      <c r="BB464" s="13"/>
      <c r="BC464" s="13"/>
      <c r="BD464" s="13"/>
      <c r="BE464" s="16"/>
      <c r="BF464" s="13"/>
      <c r="BG464" s="13"/>
      <c r="BH464" s="13"/>
      <c r="BI464" s="13"/>
      <c r="BJ464" s="16"/>
      <c r="BK464" s="13"/>
      <c r="BL464" s="13"/>
      <c r="BM464" s="13"/>
      <c r="BN464" s="16"/>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t="s">
        <v>3539</v>
      </c>
      <c r="CX464" s="13" t="s">
        <v>3540</v>
      </c>
      <c r="CY464" s="13">
        <v>2024</v>
      </c>
      <c r="CZ464" s="21">
        <v>45872</v>
      </c>
      <c r="DA464" s="13" t="s">
        <v>210</v>
      </c>
      <c r="DB464" s="13">
        <v>13</v>
      </c>
      <c r="DC464" s="13">
        <v>15</v>
      </c>
      <c r="DD464" s="13"/>
      <c r="DE464" s="13" t="s">
        <v>3254</v>
      </c>
    </row>
    <row r="465" spans="1:109">
      <c r="A465" s="14" t="s">
        <v>2037</v>
      </c>
      <c r="C465" s="14" t="s">
        <v>2083</v>
      </c>
      <c r="D465" s="14" t="s">
        <v>898</v>
      </c>
      <c r="E465" s="14" t="s">
        <v>674</v>
      </c>
      <c r="F465" s="14" t="s">
        <v>2664</v>
      </c>
      <c r="H465" s="14" t="s">
        <v>865</v>
      </c>
      <c r="I465" s="14" t="s">
        <v>4075</v>
      </c>
      <c r="J465" s="14" t="s">
        <v>585</v>
      </c>
      <c r="M465" s="14">
        <v>89</v>
      </c>
      <c r="N465" s="14">
        <v>0</v>
      </c>
      <c r="Q465" s="14">
        <v>48.43</v>
      </c>
      <c r="V465" s="14">
        <v>67</v>
      </c>
      <c r="W465" s="14">
        <f t="shared" si="48"/>
        <v>0.7528089887640449</v>
      </c>
      <c r="X465" s="14">
        <v>35.49</v>
      </c>
      <c r="CW465" s="14" t="s">
        <v>2078</v>
      </c>
      <c r="CX465" s="14" t="s">
        <v>2079</v>
      </c>
      <c r="CY465" s="14">
        <v>2020</v>
      </c>
      <c r="CZ465" s="36" t="s">
        <v>32</v>
      </c>
      <c r="DA465" s="14" t="s">
        <v>2080</v>
      </c>
      <c r="DB465" s="14">
        <v>11</v>
      </c>
      <c r="DC465" s="14">
        <v>4</v>
      </c>
      <c r="DD465" s="14" t="s">
        <v>2081</v>
      </c>
      <c r="DE465" s="14" t="s">
        <v>2082</v>
      </c>
    </row>
    <row r="466" spans="1:109">
      <c r="A466" s="14" t="s">
        <v>1868</v>
      </c>
      <c r="C466" s="14" t="s">
        <v>1401</v>
      </c>
      <c r="D466" s="14" t="s">
        <v>818</v>
      </c>
      <c r="E466" s="14" t="s">
        <v>674</v>
      </c>
      <c r="F466" s="14" t="s">
        <v>884</v>
      </c>
      <c r="H466" s="14" t="s">
        <v>629</v>
      </c>
      <c r="I466" s="14" t="s">
        <v>4076</v>
      </c>
      <c r="J466" s="14" t="s">
        <v>585</v>
      </c>
      <c r="L466" s="14" t="s">
        <v>641</v>
      </c>
      <c r="M466" s="14">
        <v>37</v>
      </c>
      <c r="Q466" s="14">
        <v>61.4</v>
      </c>
      <c r="R466" s="14">
        <v>9.1999999999999993</v>
      </c>
      <c r="V466" s="14">
        <v>27</v>
      </c>
      <c r="W466" s="14">
        <f t="shared" si="48"/>
        <v>0.72972972972972971</v>
      </c>
      <c r="X466" s="14">
        <v>36.799999999999997</v>
      </c>
      <c r="Y466" s="14">
        <v>5.4</v>
      </c>
      <c r="AC466" s="14">
        <v>22</v>
      </c>
      <c r="AD466" s="34">
        <f t="shared" ref="AD466:AD487" si="49">AC466/M466</f>
        <v>0.59459459459459463</v>
      </c>
      <c r="AG466" s="35">
        <f>739.9/30</f>
        <v>24.663333333333334</v>
      </c>
      <c r="AH466" s="35">
        <f>592/30</f>
        <v>19.733333333333334</v>
      </c>
      <c r="AI466" s="35">
        <f>2165/30</f>
        <v>72.166666666666671</v>
      </c>
      <c r="BN466" s="14" t="s">
        <v>2231</v>
      </c>
      <c r="CC466" s="14">
        <v>9.9900000000000003E-2</v>
      </c>
      <c r="CG466" s="14">
        <v>0.55600000000000005</v>
      </c>
      <c r="CH466" s="14">
        <v>-4.5499999999999999E-2</v>
      </c>
      <c r="CI466" s="14">
        <v>0.84470000000000001</v>
      </c>
      <c r="CW466" s="14" t="s">
        <v>1397</v>
      </c>
      <c r="CX466" s="14" t="s">
        <v>1398</v>
      </c>
      <c r="CY466" s="14">
        <v>2020</v>
      </c>
      <c r="CZ466" s="36" t="s">
        <v>44</v>
      </c>
      <c r="DA466" s="14" t="s">
        <v>64</v>
      </c>
      <c r="DB466" s="14">
        <v>21</v>
      </c>
      <c r="DC466" s="14">
        <v>45481</v>
      </c>
      <c r="DD466" s="14" t="s">
        <v>1399</v>
      </c>
      <c r="DE466" s="14" t="s">
        <v>1400</v>
      </c>
    </row>
    <row r="467" spans="1:109">
      <c r="A467" s="14" t="s">
        <v>1868</v>
      </c>
      <c r="C467" s="14" t="s">
        <v>1401</v>
      </c>
      <c r="D467" s="14" t="s">
        <v>818</v>
      </c>
      <c r="E467" s="14" t="s">
        <v>674</v>
      </c>
      <c r="F467" s="14" t="s">
        <v>2669</v>
      </c>
      <c r="H467" s="14" t="s">
        <v>629</v>
      </c>
      <c r="I467" s="14" t="s">
        <v>3122</v>
      </c>
      <c r="J467" s="14" t="s">
        <v>585</v>
      </c>
      <c r="L467" s="14" t="s">
        <v>2672</v>
      </c>
      <c r="M467" s="14">
        <v>37</v>
      </c>
      <c r="Q467" s="14">
        <v>61.4</v>
      </c>
      <c r="R467" s="14">
        <v>9.1999999999999993</v>
      </c>
      <c r="V467" s="14">
        <v>27</v>
      </c>
      <c r="W467" s="14">
        <f t="shared" si="48"/>
        <v>0.72972972972972971</v>
      </c>
      <c r="X467" s="14">
        <v>36.799999999999997</v>
      </c>
      <c r="Y467" s="14">
        <v>5.4</v>
      </c>
      <c r="AC467" s="14">
        <v>22</v>
      </c>
      <c r="AD467" s="34">
        <f t="shared" si="49"/>
        <v>0.59459459459459463</v>
      </c>
      <c r="AG467" s="35">
        <f>739.9/30</f>
        <v>24.663333333333334</v>
      </c>
      <c r="AH467" s="35">
        <f>592/30</f>
        <v>19.733333333333334</v>
      </c>
      <c r="AI467" s="35">
        <f>2165/30</f>
        <v>72.166666666666671</v>
      </c>
      <c r="BN467" s="14" t="s">
        <v>2231</v>
      </c>
      <c r="CC467" s="14">
        <v>1.4E-3</v>
      </c>
      <c r="CG467" s="14">
        <v>0.99299999999999999</v>
      </c>
      <c r="CH467" s="14">
        <v>3.5099999999999999E-2</v>
      </c>
      <c r="CI467" s="14">
        <v>0.88009999999999999</v>
      </c>
      <c r="CW467" s="14" t="s">
        <v>1397</v>
      </c>
      <c r="CX467" s="14" t="s">
        <v>1398</v>
      </c>
      <c r="CY467" s="14">
        <v>2020</v>
      </c>
      <c r="CZ467" s="36" t="s">
        <v>44</v>
      </c>
      <c r="DA467" s="14" t="s">
        <v>64</v>
      </c>
      <c r="DB467" s="14">
        <v>21</v>
      </c>
      <c r="DC467" s="14">
        <v>45481</v>
      </c>
      <c r="DD467" s="14" t="s">
        <v>1399</v>
      </c>
      <c r="DE467" s="14" t="s">
        <v>1400</v>
      </c>
    </row>
    <row r="468" spans="1:109">
      <c r="A468" s="14" t="s">
        <v>1868</v>
      </c>
      <c r="C468" s="14" t="s">
        <v>1401</v>
      </c>
      <c r="D468" s="14" t="s">
        <v>818</v>
      </c>
      <c r="E468" s="14" t="s">
        <v>674</v>
      </c>
      <c r="F468" s="14" t="s">
        <v>2670</v>
      </c>
      <c r="H468" s="14" t="s">
        <v>629</v>
      </c>
      <c r="I468" s="14" t="s">
        <v>3122</v>
      </c>
      <c r="J468" s="14" t="s">
        <v>585</v>
      </c>
      <c r="L468" s="14" t="s">
        <v>639</v>
      </c>
      <c r="M468" s="14">
        <v>37</v>
      </c>
      <c r="Q468" s="14">
        <v>61.4</v>
      </c>
      <c r="R468" s="14">
        <v>9.1999999999999993</v>
      </c>
      <c r="V468" s="14">
        <v>27</v>
      </c>
      <c r="W468" s="14">
        <f t="shared" si="48"/>
        <v>0.72972972972972971</v>
      </c>
      <c r="X468" s="14">
        <v>36.799999999999997</v>
      </c>
      <c r="Y468" s="14">
        <v>5.4</v>
      </c>
      <c r="AC468" s="14">
        <v>22</v>
      </c>
      <c r="AD468" s="34">
        <f t="shared" si="49"/>
        <v>0.59459459459459463</v>
      </c>
      <c r="AG468" s="35">
        <f>739.9/30</f>
        <v>24.663333333333334</v>
      </c>
      <c r="AH468" s="35">
        <f>592/30</f>
        <v>19.733333333333334</v>
      </c>
      <c r="AI468" s="35">
        <f>2165/30</f>
        <v>72.166666666666671</v>
      </c>
      <c r="BN468" s="14" t="s">
        <v>2231</v>
      </c>
      <c r="CC468" s="14">
        <v>-0.2127</v>
      </c>
      <c r="CG468" s="14">
        <v>0.20630000000000001</v>
      </c>
      <c r="CH468" s="14">
        <v>0.46839999999999998</v>
      </c>
      <c r="CI468" s="14">
        <v>4.3099999999999999E-2</v>
      </c>
      <c r="CW468" s="14" t="s">
        <v>1397</v>
      </c>
      <c r="CX468" s="14" t="s">
        <v>1398</v>
      </c>
      <c r="CY468" s="14">
        <v>2020</v>
      </c>
      <c r="CZ468" s="36" t="s">
        <v>44</v>
      </c>
      <c r="DA468" s="14" t="s">
        <v>64</v>
      </c>
      <c r="DB468" s="14">
        <v>21</v>
      </c>
      <c r="DC468" s="14">
        <v>45481</v>
      </c>
      <c r="DD468" s="14" t="s">
        <v>1399</v>
      </c>
      <c r="DE468" s="14" t="s">
        <v>1400</v>
      </c>
    </row>
    <row r="469" spans="1:109">
      <c r="A469" s="14" t="s">
        <v>1868</v>
      </c>
      <c r="C469" s="14" t="s">
        <v>1401</v>
      </c>
      <c r="D469" s="14" t="s">
        <v>818</v>
      </c>
      <c r="E469" s="14" t="s">
        <v>674</v>
      </c>
      <c r="F469" s="14" t="s">
        <v>2671</v>
      </c>
      <c r="H469" s="14" t="s">
        <v>629</v>
      </c>
      <c r="I469" s="14" t="s">
        <v>3122</v>
      </c>
      <c r="J469" s="14" t="s">
        <v>585</v>
      </c>
      <c r="L469" s="14" t="s">
        <v>641</v>
      </c>
      <c r="M469" s="14">
        <v>37</v>
      </c>
      <c r="Q469" s="14">
        <v>61.4</v>
      </c>
      <c r="R469" s="14">
        <v>9.1999999999999993</v>
      </c>
      <c r="V469" s="14">
        <v>27</v>
      </c>
      <c r="W469" s="14">
        <f t="shared" si="48"/>
        <v>0.72972972972972971</v>
      </c>
      <c r="X469" s="14">
        <v>36.799999999999997</v>
      </c>
      <c r="Y469" s="14">
        <v>5.4</v>
      </c>
      <c r="AC469" s="14">
        <v>22</v>
      </c>
      <c r="AD469" s="34">
        <f t="shared" si="49"/>
        <v>0.59459459459459463</v>
      </c>
      <c r="AG469" s="35">
        <f>739.9/30</f>
        <v>24.663333333333334</v>
      </c>
      <c r="AH469" s="35">
        <f>592/30</f>
        <v>19.733333333333334</v>
      </c>
      <c r="AI469" s="35">
        <f>2165/30</f>
        <v>72.166666666666671</v>
      </c>
      <c r="BN469" s="14" t="s">
        <v>2231</v>
      </c>
      <c r="CC469" s="14">
        <v>0.13389999999999999</v>
      </c>
      <c r="CG469" s="14">
        <v>0.42930000000000001</v>
      </c>
      <c r="CH469" s="14">
        <v>7.5300000000000006E-2</v>
      </c>
      <c r="CI469" s="14">
        <v>0.74560000000000004</v>
      </c>
      <c r="CW469" s="14" t="s">
        <v>1397</v>
      </c>
      <c r="CX469" s="14" t="s">
        <v>1398</v>
      </c>
      <c r="CY469" s="14">
        <v>2020</v>
      </c>
      <c r="CZ469" s="36" t="s">
        <v>44</v>
      </c>
      <c r="DA469" s="14" t="s">
        <v>64</v>
      </c>
      <c r="DB469" s="14">
        <v>21</v>
      </c>
      <c r="DC469" s="14">
        <v>45481</v>
      </c>
      <c r="DD469" s="14" t="s">
        <v>1399</v>
      </c>
      <c r="DE469" s="14" t="s">
        <v>1400</v>
      </c>
    </row>
    <row r="470" spans="1:109" ht="20">
      <c r="A470" s="13" t="s">
        <v>3400</v>
      </c>
      <c r="B470" s="13"/>
      <c r="C470" s="13" t="s">
        <v>3329</v>
      </c>
      <c r="D470" s="14" t="s">
        <v>829</v>
      </c>
      <c r="E470" s="13" t="s">
        <v>673</v>
      </c>
      <c r="F470" s="13" t="s">
        <v>675</v>
      </c>
      <c r="G470" s="13"/>
      <c r="H470" s="14" t="s">
        <v>637</v>
      </c>
      <c r="I470" s="13" t="s">
        <v>4112</v>
      </c>
      <c r="J470" s="13" t="s">
        <v>652</v>
      </c>
      <c r="K470" s="13"/>
      <c r="L470" s="13" t="s">
        <v>639</v>
      </c>
      <c r="M470" s="13">
        <v>139</v>
      </c>
      <c r="N470" s="13"/>
      <c r="O470" s="15"/>
      <c r="P470" s="13"/>
      <c r="Q470" s="13">
        <v>67.3</v>
      </c>
      <c r="R470" s="13">
        <v>10.1</v>
      </c>
      <c r="S470" s="13"/>
      <c r="T470" s="13"/>
      <c r="U470" s="13"/>
      <c r="V470" s="13">
        <v>69</v>
      </c>
      <c r="W470" s="2">
        <f t="shared" si="48"/>
        <v>0.49640287769784175</v>
      </c>
      <c r="X470" s="13">
        <v>40.5</v>
      </c>
      <c r="Y470" s="13">
        <v>4.9000000000000004</v>
      </c>
      <c r="Z470" s="13"/>
      <c r="AA470" s="13"/>
      <c r="AB470" s="13"/>
      <c r="AC470" s="13">
        <v>94</v>
      </c>
      <c r="AD470" s="13">
        <f t="shared" si="49"/>
        <v>0.67625899280575541</v>
      </c>
      <c r="AE470" s="13"/>
      <c r="AF470" s="13"/>
      <c r="AG470" s="13"/>
      <c r="AH470" s="13"/>
      <c r="AI470" s="13"/>
      <c r="AJ470" s="13"/>
      <c r="AK470" s="13"/>
      <c r="AL470" s="13">
        <v>29.7</v>
      </c>
      <c r="AM470" s="13"/>
      <c r="AN470" s="13"/>
      <c r="AO470" s="13">
        <v>42</v>
      </c>
      <c r="AP470" s="13">
        <v>26.3</v>
      </c>
      <c r="AQ470" s="13"/>
      <c r="AR470" s="13"/>
      <c r="AS470" s="13"/>
      <c r="AT470" s="13">
        <v>119</v>
      </c>
      <c r="AU470" s="14" t="s">
        <v>2447</v>
      </c>
      <c r="AV470" s="13"/>
      <c r="AW470" s="13">
        <v>138</v>
      </c>
      <c r="AX470" s="13"/>
      <c r="AY470" s="13"/>
      <c r="AZ470" s="13"/>
      <c r="BA470" s="16" t="s">
        <v>3846</v>
      </c>
      <c r="BB470" s="13">
        <v>5.9</v>
      </c>
      <c r="BC470" s="13">
        <v>3.7</v>
      </c>
      <c r="BD470" s="13">
        <v>9.5</v>
      </c>
      <c r="BE470" s="16"/>
      <c r="BF470" s="13"/>
      <c r="BG470" s="13"/>
      <c r="BH470" s="13"/>
      <c r="BI470" s="13"/>
      <c r="BJ470" s="16"/>
      <c r="BK470" s="13"/>
      <c r="BL470" s="13"/>
      <c r="BM470" s="13"/>
      <c r="BN470" s="16" t="s">
        <v>2552</v>
      </c>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t="s">
        <v>3541</v>
      </c>
      <c r="CX470" s="13" t="s">
        <v>3542</v>
      </c>
      <c r="CY470" s="13">
        <v>2025</v>
      </c>
      <c r="CZ470" s="21">
        <v>45741</v>
      </c>
      <c r="DA470" s="13" t="s">
        <v>1096</v>
      </c>
      <c r="DB470" s="13">
        <v>104</v>
      </c>
      <c r="DC470" s="13">
        <v>6</v>
      </c>
      <c r="DD470" s="13" t="s">
        <v>3543</v>
      </c>
      <c r="DE470" s="13" t="s">
        <v>3255</v>
      </c>
    </row>
    <row r="471" spans="1:109" ht="20">
      <c r="A471" s="13" t="s">
        <v>3400</v>
      </c>
      <c r="B471" s="13"/>
      <c r="C471" s="13" t="s">
        <v>3329</v>
      </c>
      <c r="D471" s="14" t="s">
        <v>829</v>
      </c>
      <c r="E471" s="13" t="s">
        <v>673</v>
      </c>
      <c r="F471" s="13" t="s">
        <v>675</v>
      </c>
      <c r="G471" s="13"/>
      <c r="H471" s="14" t="s">
        <v>637</v>
      </c>
      <c r="I471" s="13" t="s">
        <v>3845</v>
      </c>
      <c r="J471" s="13" t="s">
        <v>808</v>
      </c>
      <c r="K471" s="13"/>
      <c r="L471" s="13" t="s">
        <v>639</v>
      </c>
      <c r="M471" s="13">
        <v>139</v>
      </c>
      <c r="N471" s="13"/>
      <c r="O471" s="15"/>
      <c r="P471" s="13"/>
      <c r="Q471" s="13">
        <v>67.3</v>
      </c>
      <c r="R471" s="13">
        <v>10.1</v>
      </c>
      <c r="S471" s="13"/>
      <c r="T471" s="13"/>
      <c r="U471" s="13"/>
      <c r="V471" s="13">
        <v>69</v>
      </c>
      <c r="W471" s="2">
        <f t="shared" si="48"/>
        <v>0.49640287769784175</v>
      </c>
      <c r="X471" s="13">
        <v>40.5</v>
      </c>
      <c r="Y471" s="13">
        <v>4.9000000000000004</v>
      </c>
      <c r="Z471" s="13"/>
      <c r="AA471" s="13"/>
      <c r="AB471" s="13"/>
      <c r="AC471" s="13">
        <v>94</v>
      </c>
      <c r="AD471" s="13">
        <f t="shared" si="49"/>
        <v>0.67625899280575541</v>
      </c>
      <c r="AE471" s="13"/>
      <c r="AF471" s="13"/>
      <c r="AG471" s="13"/>
      <c r="AH471" s="13"/>
      <c r="AI471" s="13"/>
      <c r="AJ471" s="13"/>
      <c r="AK471" s="13"/>
      <c r="AL471" s="13">
        <v>29.7</v>
      </c>
      <c r="AM471" s="13"/>
      <c r="AN471" s="13"/>
      <c r="AO471" s="13">
        <v>42</v>
      </c>
      <c r="AP471" s="13">
        <v>26.3</v>
      </c>
      <c r="AQ471" s="13"/>
      <c r="AR471" s="13"/>
      <c r="AS471" s="13"/>
      <c r="AT471" s="13">
        <v>119</v>
      </c>
      <c r="AU471" s="14" t="s">
        <v>2447</v>
      </c>
      <c r="AV471" s="13"/>
      <c r="AW471" s="13">
        <v>138</v>
      </c>
      <c r="AX471" s="13"/>
      <c r="AY471" s="13"/>
      <c r="AZ471" s="13"/>
      <c r="BA471" s="16" t="s">
        <v>3846</v>
      </c>
      <c r="BB471" s="13">
        <v>5.2</v>
      </c>
      <c r="BC471" s="13">
        <v>3.3</v>
      </c>
      <c r="BD471" s="13">
        <v>8.1</v>
      </c>
      <c r="BE471" s="16"/>
      <c r="BF471" s="13"/>
      <c r="BG471" s="13"/>
      <c r="BH471" s="13"/>
      <c r="BI471" s="13"/>
      <c r="BJ471" s="16"/>
      <c r="BK471" s="13"/>
      <c r="BL471" s="13"/>
      <c r="BM471" s="13"/>
      <c r="BN471" s="16" t="s">
        <v>2552</v>
      </c>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t="s">
        <v>3541</v>
      </c>
      <c r="CX471" s="13" t="s">
        <v>3542</v>
      </c>
      <c r="CY471" s="13">
        <v>2025</v>
      </c>
      <c r="CZ471" s="21">
        <v>45741</v>
      </c>
      <c r="DA471" s="13" t="s">
        <v>1096</v>
      </c>
      <c r="DB471" s="13">
        <v>104</v>
      </c>
      <c r="DC471" s="13">
        <v>6</v>
      </c>
      <c r="DD471" s="13" t="s">
        <v>3543</v>
      </c>
      <c r="DE471" s="13" t="s">
        <v>3255</v>
      </c>
    </row>
    <row r="472" spans="1:109" ht="20">
      <c r="A472" s="13" t="s">
        <v>3400</v>
      </c>
      <c r="B472" s="13"/>
      <c r="C472" s="13" t="s">
        <v>3329</v>
      </c>
      <c r="D472" s="14" t="s">
        <v>829</v>
      </c>
      <c r="E472" s="13" t="s">
        <v>673</v>
      </c>
      <c r="F472" s="13" t="s">
        <v>675</v>
      </c>
      <c r="G472" s="13"/>
      <c r="H472" s="14" t="s">
        <v>637</v>
      </c>
      <c r="I472" s="13" t="s">
        <v>3845</v>
      </c>
      <c r="J472" s="13" t="s">
        <v>3680</v>
      </c>
      <c r="K472" s="13"/>
      <c r="L472" s="13" t="s">
        <v>639</v>
      </c>
      <c r="M472" s="13">
        <v>139</v>
      </c>
      <c r="N472" s="13"/>
      <c r="O472" s="15"/>
      <c r="P472" s="13"/>
      <c r="Q472" s="13">
        <v>67.3</v>
      </c>
      <c r="R472" s="13">
        <v>10.1</v>
      </c>
      <c r="S472" s="13"/>
      <c r="T472" s="13"/>
      <c r="U472" s="13"/>
      <c r="V472" s="13">
        <v>69</v>
      </c>
      <c r="W472" s="2">
        <f t="shared" si="48"/>
        <v>0.49640287769784175</v>
      </c>
      <c r="X472" s="13">
        <v>40.5</v>
      </c>
      <c r="Y472" s="13">
        <v>4.9000000000000004</v>
      </c>
      <c r="Z472" s="13"/>
      <c r="AA472" s="13"/>
      <c r="AB472" s="13"/>
      <c r="AC472" s="13">
        <v>94</v>
      </c>
      <c r="AD472" s="13">
        <f t="shared" si="49"/>
        <v>0.67625899280575541</v>
      </c>
      <c r="AE472" s="13"/>
      <c r="AF472" s="13"/>
      <c r="AG472" s="13"/>
      <c r="AH472" s="13"/>
      <c r="AI472" s="13"/>
      <c r="AJ472" s="13"/>
      <c r="AK472" s="13"/>
      <c r="AL472" s="13">
        <v>29.7</v>
      </c>
      <c r="AM472" s="13"/>
      <c r="AN472" s="13"/>
      <c r="AO472" s="13">
        <v>42</v>
      </c>
      <c r="AP472" s="13">
        <v>26.3</v>
      </c>
      <c r="AQ472" s="13"/>
      <c r="AR472" s="13"/>
      <c r="AS472" s="13"/>
      <c r="AT472" s="13">
        <v>119</v>
      </c>
      <c r="AU472" s="14" t="s">
        <v>2447</v>
      </c>
      <c r="AV472" s="13"/>
      <c r="AW472" s="13">
        <v>138</v>
      </c>
      <c r="AX472" s="13"/>
      <c r="AY472" s="13"/>
      <c r="AZ472" s="13"/>
      <c r="BA472" s="16" t="s">
        <v>3846</v>
      </c>
      <c r="BB472" s="13">
        <v>6.7</v>
      </c>
      <c r="BC472" s="13">
        <v>4.2</v>
      </c>
      <c r="BD472" s="13">
        <v>10.9</v>
      </c>
      <c r="BE472" s="16"/>
      <c r="BF472" s="13"/>
      <c r="BG472" s="13"/>
      <c r="BH472" s="13"/>
      <c r="BI472" s="13"/>
      <c r="BJ472" s="16"/>
      <c r="BK472" s="13"/>
      <c r="BL472" s="13"/>
      <c r="BM472" s="13"/>
      <c r="BN472" s="16" t="s">
        <v>2552</v>
      </c>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t="s">
        <v>3541</v>
      </c>
      <c r="CX472" s="13" t="s">
        <v>3542</v>
      </c>
      <c r="CY472" s="13">
        <v>2025</v>
      </c>
      <c r="CZ472" s="21">
        <v>45741</v>
      </c>
      <c r="DA472" s="13" t="s">
        <v>1096</v>
      </c>
      <c r="DB472" s="13">
        <v>104</v>
      </c>
      <c r="DC472" s="13">
        <v>6</v>
      </c>
      <c r="DD472" s="13" t="s">
        <v>3543</v>
      </c>
      <c r="DE472" s="13" t="s">
        <v>3255</v>
      </c>
    </row>
    <row r="473" spans="1:109" ht="20">
      <c r="A473" s="13" t="s">
        <v>3400</v>
      </c>
      <c r="B473" s="13"/>
      <c r="C473" s="13" t="s">
        <v>3329</v>
      </c>
      <c r="D473" s="14" t="s">
        <v>829</v>
      </c>
      <c r="E473" s="13" t="s">
        <v>673</v>
      </c>
      <c r="F473" s="13" t="s">
        <v>675</v>
      </c>
      <c r="G473" s="13"/>
      <c r="H473" s="14" t="s">
        <v>637</v>
      </c>
      <c r="I473" s="13" t="s">
        <v>3845</v>
      </c>
      <c r="J473" s="13" t="s">
        <v>3678</v>
      </c>
      <c r="K473" s="13"/>
      <c r="L473" s="13" t="s">
        <v>639</v>
      </c>
      <c r="M473" s="13">
        <v>139</v>
      </c>
      <c r="N473" s="13"/>
      <c r="O473" s="15"/>
      <c r="P473" s="13"/>
      <c r="Q473" s="13">
        <v>67.3</v>
      </c>
      <c r="R473" s="13">
        <v>10.1</v>
      </c>
      <c r="S473" s="13"/>
      <c r="T473" s="13"/>
      <c r="U473" s="13"/>
      <c r="V473" s="13">
        <v>69</v>
      </c>
      <c r="W473" s="2">
        <f t="shared" si="48"/>
        <v>0.49640287769784175</v>
      </c>
      <c r="X473" s="13">
        <v>40.5</v>
      </c>
      <c r="Y473" s="13">
        <v>4.9000000000000004</v>
      </c>
      <c r="Z473" s="13"/>
      <c r="AA473" s="13"/>
      <c r="AB473" s="13"/>
      <c r="AC473" s="13">
        <v>94</v>
      </c>
      <c r="AD473" s="13">
        <f t="shared" si="49"/>
        <v>0.67625899280575541</v>
      </c>
      <c r="AE473" s="13"/>
      <c r="AF473" s="13"/>
      <c r="AG473" s="13"/>
      <c r="AH473" s="13"/>
      <c r="AI473" s="13"/>
      <c r="AJ473" s="13"/>
      <c r="AK473" s="13"/>
      <c r="AL473" s="13">
        <v>29.7</v>
      </c>
      <c r="AM473" s="13"/>
      <c r="AN473" s="13"/>
      <c r="AO473" s="13">
        <v>42</v>
      </c>
      <c r="AP473" s="13">
        <v>26.3</v>
      </c>
      <c r="AQ473" s="13"/>
      <c r="AR473" s="13"/>
      <c r="AS473" s="13"/>
      <c r="AT473" s="13">
        <v>119</v>
      </c>
      <c r="AU473" s="14" t="s">
        <v>2447</v>
      </c>
      <c r="AV473" s="13"/>
      <c r="AW473" s="13">
        <v>138</v>
      </c>
      <c r="AX473" s="13"/>
      <c r="AY473" s="13"/>
      <c r="AZ473" s="13"/>
      <c r="BA473" s="16" t="s">
        <v>3846</v>
      </c>
      <c r="BB473" s="13">
        <v>6.2</v>
      </c>
      <c r="BC473" s="13">
        <v>3.8</v>
      </c>
      <c r="BD473" s="13">
        <v>10.1</v>
      </c>
      <c r="BE473" s="16"/>
      <c r="BF473" s="13"/>
      <c r="BG473" s="13"/>
      <c r="BH473" s="13"/>
      <c r="BI473" s="13"/>
      <c r="BJ473" s="16"/>
      <c r="BK473" s="13"/>
      <c r="BL473" s="13"/>
      <c r="BM473" s="13"/>
      <c r="BN473" s="16" t="s">
        <v>2552</v>
      </c>
      <c r="BO473" s="13"/>
      <c r="BP473" s="13"/>
      <c r="BQ473" s="13"/>
      <c r="BR473" s="13"/>
      <c r="BS473" s="13"/>
      <c r="BT473" s="13"/>
      <c r="BU473" s="13"/>
      <c r="BV473" s="13"/>
      <c r="BW473" s="13"/>
      <c r="BX473" s="13"/>
      <c r="BY473" s="13"/>
      <c r="BZ473" s="13"/>
      <c r="CA473" s="13"/>
      <c r="CB473" s="13"/>
      <c r="CC473" s="13">
        <v>-0.13100000000000001</v>
      </c>
      <c r="CD473" s="13"/>
      <c r="CE473" s="13"/>
      <c r="CF473" s="13"/>
      <c r="CG473" s="13">
        <v>0.12180000000000001</v>
      </c>
      <c r="CH473" s="13"/>
      <c r="CI473" s="13"/>
      <c r="CJ473" s="13"/>
      <c r="CK473" s="13"/>
      <c r="CL473" s="13"/>
      <c r="CM473" s="13"/>
      <c r="CN473" s="13"/>
      <c r="CO473" s="13"/>
      <c r="CP473" s="13"/>
      <c r="CQ473" s="13"/>
      <c r="CR473" s="13"/>
      <c r="CS473" s="13"/>
      <c r="CT473" s="13"/>
      <c r="CU473" s="13"/>
      <c r="CV473" s="13"/>
      <c r="CW473" s="13" t="s">
        <v>3541</v>
      </c>
      <c r="CX473" s="13" t="s">
        <v>3542</v>
      </c>
      <c r="CY473" s="13">
        <v>2025</v>
      </c>
      <c r="CZ473" s="21">
        <v>45741</v>
      </c>
      <c r="DA473" s="13" t="s">
        <v>1096</v>
      </c>
      <c r="DB473" s="13">
        <v>104</v>
      </c>
      <c r="DC473" s="13">
        <v>6</v>
      </c>
      <c r="DD473" s="13" t="s">
        <v>3543</v>
      </c>
      <c r="DE473" s="13" t="s">
        <v>3255</v>
      </c>
    </row>
    <row r="474" spans="1:109" ht="20">
      <c r="A474" s="13" t="s">
        <v>3400</v>
      </c>
      <c r="B474" s="13"/>
      <c r="C474" s="13" t="s">
        <v>3329</v>
      </c>
      <c r="D474" s="14" t="s">
        <v>829</v>
      </c>
      <c r="E474" s="13" t="s">
        <v>673</v>
      </c>
      <c r="F474" s="13" t="s">
        <v>721</v>
      </c>
      <c r="G474" s="13"/>
      <c r="H474" s="14" t="s">
        <v>637</v>
      </c>
      <c r="I474" s="13" t="s">
        <v>3845</v>
      </c>
      <c r="J474" s="13" t="s">
        <v>3678</v>
      </c>
      <c r="K474" s="14" t="s">
        <v>4158</v>
      </c>
      <c r="L474" s="13" t="s">
        <v>639</v>
      </c>
      <c r="M474" s="13">
        <v>139</v>
      </c>
      <c r="N474" s="13"/>
      <c r="O474" s="15"/>
      <c r="P474" s="13"/>
      <c r="Q474" s="13">
        <v>67.3</v>
      </c>
      <c r="R474" s="13">
        <v>10.1</v>
      </c>
      <c r="S474" s="13"/>
      <c r="T474" s="13"/>
      <c r="U474" s="13"/>
      <c r="V474" s="13">
        <v>69</v>
      </c>
      <c r="W474" s="2">
        <f t="shared" si="48"/>
        <v>0.49640287769784175</v>
      </c>
      <c r="X474" s="13">
        <v>40.5</v>
      </c>
      <c r="Y474" s="13">
        <v>4.9000000000000004</v>
      </c>
      <c r="Z474" s="13"/>
      <c r="AA474" s="13"/>
      <c r="AB474" s="13"/>
      <c r="AC474" s="13">
        <v>94</v>
      </c>
      <c r="AD474" s="13">
        <f t="shared" si="49"/>
        <v>0.67625899280575541</v>
      </c>
      <c r="AE474" s="13"/>
      <c r="AF474" s="13"/>
      <c r="AG474" s="13"/>
      <c r="AH474" s="13"/>
      <c r="AI474" s="13"/>
      <c r="AJ474" s="13"/>
      <c r="AK474" s="13"/>
      <c r="AL474" s="13">
        <v>29.7</v>
      </c>
      <c r="AM474" s="13"/>
      <c r="AN474" s="13"/>
      <c r="AO474" s="13">
        <v>42</v>
      </c>
      <c r="AP474" s="13">
        <v>26.3</v>
      </c>
      <c r="AQ474" s="13"/>
      <c r="AR474" s="13"/>
      <c r="AS474" s="13"/>
      <c r="AT474" s="13">
        <v>119</v>
      </c>
      <c r="AU474" s="14" t="s">
        <v>2447</v>
      </c>
      <c r="AV474" s="13"/>
      <c r="AW474" s="13">
        <v>138</v>
      </c>
      <c r="AX474" s="13"/>
      <c r="AY474" s="13"/>
      <c r="AZ474" s="13"/>
      <c r="BA474" s="16" t="s">
        <v>3846</v>
      </c>
      <c r="BB474" s="13">
        <v>1.5</v>
      </c>
      <c r="BC474" s="13">
        <v>1</v>
      </c>
      <c r="BD474" s="13">
        <v>2.2000000000000002</v>
      </c>
      <c r="BE474" s="16"/>
      <c r="BF474" s="13">
        <v>138</v>
      </c>
      <c r="BG474" s="13"/>
      <c r="BH474" s="13"/>
      <c r="BI474" s="13"/>
      <c r="BJ474" s="16" t="s">
        <v>3847</v>
      </c>
      <c r="BK474" s="13"/>
      <c r="BL474" s="13"/>
      <c r="BM474" s="13"/>
      <c r="BN474" s="16" t="s">
        <v>2552</v>
      </c>
      <c r="BO474" s="13"/>
      <c r="BP474" s="13"/>
      <c r="BQ474" s="13"/>
      <c r="BR474" s="13"/>
      <c r="BS474" s="13"/>
      <c r="BT474" s="13"/>
      <c r="BU474" s="13"/>
      <c r="BV474" s="13"/>
      <c r="BW474" s="13"/>
      <c r="BX474" s="13"/>
      <c r="BY474" s="13"/>
      <c r="BZ474" s="13"/>
      <c r="CA474" s="13"/>
      <c r="CB474" s="13"/>
      <c r="CC474" s="13">
        <v>-0.249</v>
      </c>
      <c r="CD474" s="13"/>
      <c r="CE474" s="13"/>
      <c r="CF474" s="13"/>
      <c r="CG474" s="13">
        <v>3.0999999999999999E-3</v>
      </c>
      <c r="CH474" s="13"/>
      <c r="CI474" s="13"/>
      <c r="CJ474" s="13"/>
      <c r="CK474" s="13"/>
      <c r="CL474" s="13"/>
      <c r="CM474" s="13"/>
      <c r="CN474" s="13"/>
      <c r="CO474" s="13"/>
      <c r="CP474" s="13"/>
      <c r="CQ474" s="13"/>
      <c r="CR474" s="13"/>
      <c r="CS474" s="13"/>
      <c r="CT474" s="13"/>
      <c r="CU474" s="13"/>
      <c r="CV474" s="13"/>
      <c r="CW474" s="13" t="s">
        <v>3541</v>
      </c>
      <c r="CX474" s="13" t="s">
        <v>3542</v>
      </c>
      <c r="CY474" s="13">
        <v>2025</v>
      </c>
      <c r="CZ474" s="21">
        <v>45741</v>
      </c>
      <c r="DA474" s="13" t="s">
        <v>1096</v>
      </c>
      <c r="DB474" s="13">
        <v>104</v>
      </c>
      <c r="DC474" s="13">
        <v>6</v>
      </c>
      <c r="DD474" s="13" t="s">
        <v>3543</v>
      </c>
      <c r="DE474" s="13" t="s">
        <v>3255</v>
      </c>
    </row>
    <row r="475" spans="1:109" ht="20">
      <c r="A475" s="13" t="s">
        <v>3400</v>
      </c>
      <c r="B475" s="13"/>
      <c r="C475" s="13" t="s">
        <v>3329</v>
      </c>
      <c r="D475" s="14" t="s">
        <v>829</v>
      </c>
      <c r="E475" s="13" t="s">
        <v>673</v>
      </c>
      <c r="F475" s="13" t="s">
        <v>758</v>
      </c>
      <c r="G475" s="13"/>
      <c r="H475" s="14" t="s">
        <v>637</v>
      </c>
      <c r="I475" s="13" t="s">
        <v>3845</v>
      </c>
      <c r="J475" s="13" t="s">
        <v>3678</v>
      </c>
      <c r="K475" s="13"/>
      <c r="L475" s="13" t="s">
        <v>639</v>
      </c>
      <c r="M475" s="13">
        <v>139</v>
      </c>
      <c r="N475" s="13"/>
      <c r="O475" s="15"/>
      <c r="P475" s="13"/>
      <c r="Q475" s="13">
        <v>67.3</v>
      </c>
      <c r="R475" s="13">
        <v>10.1</v>
      </c>
      <c r="S475" s="13"/>
      <c r="T475" s="13"/>
      <c r="U475" s="13"/>
      <c r="V475" s="13">
        <v>69</v>
      </c>
      <c r="W475" s="2">
        <f t="shared" si="48"/>
        <v>0.49640287769784175</v>
      </c>
      <c r="X475" s="13">
        <v>40.5</v>
      </c>
      <c r="Y475" s="13">
        <v>4.9000000000000004</v>
      </c>
      <c r="Z475" s="13"/>
      <c r="AA475" s="13"/>
      <c r="AB475" s="13"/>
      <c r="AC475" s="13">
        <v>94</v>
      </c>
      <c r="AD475" s="13">
        <f t="shared" si="49"/>
        <v>0.67625899280575541</v>
      </c>
      <c r="AE475" s="13"/>
      <c r="AF475" s="13"/>
      <c r="AG475" s="13"/>
      <c r="AH475" s="13"/>
      <c r="AI475" s="13"/>
      <c r="AJ475" s="13"/>
      <c r="AK475" s="13"/>
      <c r="AL475" s="13">
        <v>29.7</v>
      </c>
      <c r="AM475" s="13"/>
      <c r="AN475" s="13"/>
      <c r="AO475" s="13">
        <v>42</v>
      </c>
      <c r="AP475" s="13">
        <v>26.3</v>
      </c>
      <c r="AQ475" s="13"/>
      <c r="AR475" s="13"/>
      <c r="AS475" s="13"/>
      <c r="AT475" s="13">
        <v>119</v>
      </c>
      <c r="AU475" s="14" t="s">
        <v>2447</v>
      </c>
      <c r="AV475" s="13"/>
      <c r="AW475" s="13">
        <v>138</v>
      </c>
      <c r="AX475" s="13"/>
      <c r="AY475" s="13"/>
      <c r="AZ475" s="13"/>
      <c r="BA475" s="16" t="s">
        <v>3846</v>
      </c>
      <c r="BB475" s="13">
        <v>1.4</v>
      </c>
      <c r="BC475" s="13">
        <v>0.9</v>
      </c>
      <c r="BD475" s="13">
        <v>2.1</v>
      </c>
      <c r="BE475" s="16"/>
      <c r="BF475" s="13"/>
      <c r="BG475" s="13"/>
      <c r="BH475" s="13"/>
      <c r="BI475" s="13"/>
      <c r="BJ475" s="16"/>
      <c r="BK475" s="13"/>
      <c r="BL475" s="13"/>
      <c r="BM475" s="13"/>
      <c r="BN475" s="16" t="s">
        <v>2552</v>
      </c>
      <c r="BO475" s="13"/>
      <c r="BP475" s="13"/>
      <c r="BQ475" s="13"/>
      <c r="BR475" s="13"/>
      <c r="BS475" s="13"/>
      <c r="BT475" s="13"/>
      <c r="BU475" s="13"/>
      <c r="BV475" s="13"/>
      <c r="BW475" s="13"/>
      <c r="BX475" s="13"/>
      <c r="BY475" s="13"/>
      <c r="BZ475" s="13"/>
      <c r="CA475" s="13"/>
      <c r="CB475" s="13"/>
      <c r="CC475" s="13">
        <v>-0.21099999999999999</v>
      </c>
      <c r="CD475" s="13"/>
      <c r="CE475" s="13"/>
      <c r="CF475" s="13"/>
      <c r="CG475" s="13">
        <v>1.2200000000000001E-2</v>
      </c>
      <c r="CH475" s="13"/>
      <c r="CI475" s="13"/>
      <c r="CJ475" s="13"/>
      <c r="CK475" s="13"/>
      <c r="CL475" s="13"/>
      <c r="CM475" s="13"/>
      <c r="CN475" s="13"/>
      <c r="CO475" s="13"/>
      <c r="CP475" s="13"/>
      <c r="CQ475" s="13"/>
      <c r="CR475" s="13"/>
      <c r="CS475" s="13"/>
      <c r="CT475" s="13"/>
      <c r="CU475" s="13"/>
      <c r="CV475" s="13"/>
      <c r="CW475" s="13" t="s">
        <v>3541</v>
      </c>
      <c r="CX475" s="13" t="s">
        <v>3542</v>
      </c>
      <c r="CY475" s="13">
        <v>2025</v>
      </c>
      <c r="CZ475" s="21">
        <v>45741</v>
      </c>
      <c r="DA475" s="13" t="s">
        <v>1096</v>
      </c>
      <c r="DB475" s="13">
        <v>104</v>
      </c>
      <c r="DC475" s="13">
        <v>6</v>
      </c>
      <c r="DD475" s="13" t="s">
        <v>3543</v>
      </c>
      <c r="DE475" s="13" t="s">
        <v>3255</v>
      </c>
    </row>
    <row r="476" spans="1:109">
      <c r="A476" s="14" t="s">
        <v>1869</v>
      </c>
      <c r="C476" s="14" t="s">
        <v>1407</v>
      </c>
      <c r="D476" s="14" t="s">
        <v>898</v>
      </c>
      <c r="E476" s="14" t="s">
        <v>674</v>
      </c>
      <c r="F476" s="14" t="s">
        <v>2337</v>
      </c>
      <c r="H476" s="14" t="s">
        <v>716</v>
      </c>
      <c r="I476" s="14" t="s">
        <v>3100</v>
      </c>
      <c r="J476" s="14" t="s">
        <v>4124</v>
      </c>
      <c r="K476" s="14" t="s">
        <v>4118</v>
      </c>
      <c r="L476" s="14" t="s">
        <v>2455</v>
      </c>
      <c r="M476" s="14">
        <v>233</v>
      </c>
      <c r="Q476" s="14">
        <v>62.8</v>
      </c>
      <c r="R476" s="14">
        <v>12.2</v>
      </c>
      <c r="V476" s="14">
        <v>131</v>
      </c>
      <c r="W476" s="14">
        <f t="shared" si="48"/>
        <v>0.5622317596566524</v>
      </c>
      <c r="X476" s="14">
        <v>42</v>
      </c>
      <c r="Y476" s="14">
        <v>6.7</v>
      </c>
      <c r="AC476" s="14">
        <v>171</v>
      </c>
      <c r="AD476" s="34">
        <f t="shared" si="49"/>
        <v>0.73390557939914158</v>
      </c>
      <c r="AE476" s="35">
        <v>18.600000000000001</v>
      </c>
      <c r="AF476" s="35">
        <v>21.3</v>
      </c>
      <c r="AQ476" s="35">
        <v>20</v>
      </c>
      <c r="AU476" s="14" t="s">
        <v>2447</v>
      </c>
      <c r="BE476" s="29" t="s">
        <v>2673</v>
      </c>
      <c r="BG476" s="14">
        <v>0.5</v>
      </c>
      <c r="BH476" s="14">
        <v>0.1</v>
      </c>
      <c r="BI476" s="14">
        <v>2.5299999999999998</v>
      </c>
      <c r="BJ476" s="29" t="s">
        <v>2674</v>
      </c>
      <c r="BK476" s="14">
        <v>0.82</v>
      </c>
      <c r="BL476" s="14">
        <v>0.56000000000000005</v>
      </c>
      <c r="BM476" s="14">
        <v>1.22</v>
      </c>
      <c r="BV476" s="29" t="s">
        <v>2673</v>
      </c>
      <c r="CB476" s="14" t="s">
        <v>2677</v>
      </c>
      <c r="CW476" s="14" t="s">
        <v>1402</v>
      </c>
      <c r="CX476" s="14" t="s">
        <v>1403</v>
      </c>
      <c r="CY476" s="14">
        <v>2021</v>
      </c>
      <c r="DA476" s="14" t="s">
        <v>1404</v>
      </c>
      <c r="DB476" s="14">
        <v>8</v>
      </c>
      <c r="DC476" s="14">
        <v>5</v>
      </c>
      <c r="DD476" s="14" t="s">
        <v>1405</v>
      </c>
      <c r="DE476" s="14" t="s">
        <v>1406</v>
      </c>
    </row>
    <row r="477" spans="1:109">
      <c r="A477" s="14" t="s">
        <v>1870</v>
      </c>
      <c r="C477" s="14" t="s">
        <v>1411</v>
      </c>
      <c r="D477" s="14" t="s">
        <v>2264</v>
      </c>
      <c r="E477" s="14" t="s">
        <v>673</v>
      </c>
      <c r="F477" s="14" t="s">
        <v>2683</v>
      </c>
      <c r="H477" s="14" t="s">
        <v>2678</v>
      </c>
      <c r="I477" s="14" t="s">
        <v>4077</v>
      </c>
      <c r="J477" s="14" t="s">
        <v>2679</v>
      </c>
      <c r="L477" s="14" t="s">
        <v>639</v>
      </c>
      <c r="M477" s="14">
        <v>44</v>
      </c>
      <c r="Q477" s="14">
        <v>58.05</v>
      </c>
      <c r="R477" s="14">
        <v>12.14</v>
      </c>
      <c r="V477" s="14">
        <v>28</v>
      </c>
      <c r="W477" s="14">
        <f t="shared" si="48"/>
        <v>0.63636363636363635</v>
      </c>
      <c r="X477" s="14">
        <v>33.950000000000003</v>
      </c>
      <c r="Y477" s="14">
        <v>7.92</v>
      </c>
      <c r="AC477" s="14">
        <v>35</v>
      </c>
      <c r="AD477" s="34">
        <f t="shared" si="49"/>
        <v>0.79545454545454541</v>
      </c>
      <c r="BN477" s="14" t="s">
        <v>2231</v>
      </c>
      <c r="BQ477" s="14">
        <v>-0.30299999999999999</v>
      </c>
      <c r="BU477" s="14">
        <v>1E-3</v>
      </c>
      <c r="CC477" s="14">
        <v>0.39400000000000002</v>
      </c>
      <c r="CG477" s="14" t="s">
        <v>635</v>
      </c>
      <c r="CV477" s="14" t="s">
        <v>2684</v>
      </c>
      <c r="CW477" s="14" t="s">
        <v>1408</v>
      </c>
      <c r="CX477" s="14" t="s">
        <v>1409</v>
      </c>
      <c r="CY477" s="14">
        <v>2024</v>
      </c>
      <c r="CZ477" s="36">
        <v>45419</v>
      </c>
      <c r="DA477" s="14" t="s">
        <v>316</v>
      </c>
      <c r="DB477" s="14">
        <v>25</v>
      </c>
      <c r="DC477" s="14">
        <v>10</v>
      </c>
      <c r="DE477" s="14" t="s">
        <v>1410</v>
      </c>
    </row>
    <row r="478" spans="1:109">
      <c r="A478" s="14" t="s">
        <v>1870</v>
      </c>
      <c r="C478" s="14" t="s">
        <v>1411</v>
      </c>
      <c r="D478" s="14" t="s">
        <v>2264</v>
      </c>
      <c r="E478" s="14" t="s">
        <v>673</v>
      </c>
      <c r="F478" s="14" t="s">
        <v>2681</v>
      </c>
      <c r="H478" s="14" t="s">
        <v>2678</v>
      </c>
      <c r="I478" s="14" t="s">
        <v>3150</v>
      </c>
      <c r="J478" s="14" t="s">
        <v>2679</v>
      </c>
      <c r="L478" s="14" t="s">
        <v>639</v>
      </c>
      <c r="M478" s="14">
        <v>44</v>
      </c>
      <c r="Q478" s="14">
        <v>58.05</v>
      </c>
      <c r="R478" s="14">
        <v>12.14</v>
      </c>
      <c r="V478" s="14">
        <v>28</v>
      </c>
      <c r="W478" s="14">
        <f t="shared" si="48"/>
        <v>0.63636363636363635</v>
      </c>
      <c r="X478" s="14">
        <v>33.950000000000003</v>
      </c>
      <c r="Y478" s="14">
        <v>7.92</v>
      </c>
      <c r="AC478" s="14">
        <v>35</v>
      </c>
      <c r="AD478" s="34">
        <f t="shared" si="49"/>
        <v>0.79545454545454541</v>
      </c>
      <c r="BN478" s="14" t="s">
        <v>2231</v>
      </c>
      <c r="BQ478" s="14">
        <v>-0.23</v>
      </c>
      <c r="BU478" s="14">
        <v>1.6E-2</v>
      </c>
      <c r="CC478" s="14">
        <v>0.34100000000000003</v>
      </c>
      <c r="CG478" s="14" t="s">
        <v>635</v>
      </c>
      <c r="CV478" s="14" t="s">
        <v>2684</v>
      </c>
      <c r="CW478" s="14" t="s">
        <v>1408</v>
      </c>
      <c r="CX478" s="14" t="s">
        <v>1409</v>
      </c>
      <c r="CY478" s="14">
        <v>2024</v>
      </c>
      <c r="CZ478" s="36">
        <v>45419</v>
      </c>
      <c r="DA478" s="14" t="s">
        <v>316</v>
      </c>
      <c r="DB478" s="14">
        <v>25</v>
      </c>
      <c r="DC478" s="14">
        <v>10</v>
      </c>
      <c r="DE478" s="14" t="s">
        <v>1410</v>
      </c>
    </row>
    <row r="479" spans="1:109">
      <c r="A479" s="14" t="s">
        <v>1870</v>
      </c>
      <c r="C479" s="14" t="s">
        <v>1411</v>
      </c>
      <c r="D479" s="14" t="s">
        <v>2264</v>
      </c>
      <c r="E479" s="14" t="s">
        <v>673</v>
      </c>
      <c r="F479" s="14" t="s">
        <v>2610</v>
      </c>
      <c r="H479" s="14" t="s">
        <v>2678</v>
      </c>
      <c r="I479" s="14" t="s">
        <v>3150</v>
      </c>
      <c r="J479" s="14" t="s">
        <v>2679</v>
      </c>
      <c r="L479" s="14" t="s">
        <v>639</v>
      </c>
      <c r="M479" s="14">
        <v>44</v>
      </c>
      <c r="Q479" s="14">
        <v>58.05</v>
      </c>
      <c r="R479" s="14">
        <v>12.14</v>
      </c>
      <c r="V479" s="14">
        <v>28</v>
      </c>
      <c r="W479" s="14">
        <f t="shared" si="48"/>
        <v>0.63636363636363635</v>
      </c>
      <c r="X479" s="14">
        <v>33.950000000000003</v>
      </c>
      <c r="Y479" s="14">
        <v>7.92</v>
      </c>
      <c r="AC479" s="14">
        <v>35</v>
      </c>
      <c r="AD479" s="34">
        <f t="shared" si="49"/>
        <v>0.79545454545454541</v>
      </c>
      <c r="BN479" s="14" t="s">
        <v>2231</v>
      </c>
      <c r="BQ479" s="14">
        <v>-0.255</v>
      </c>
      <c r="BU479" s="14">
        <v>8.0000000000000002E-3</v>
      </c>
      <c r="CC479" s="14">
        <v>4.8000000000000001E-2</v>
      </c>
      <c r="CG479" s="14">
        <v>0.61699999999999999</v>
      </c>
      <c r="CV479" s="14" t="s">
        <v>2684</v>
      </c>
      <c r="CW479" s="14" t="s">
        <v>1408</v>
      </c>
      <c r="CX479" s="14" t="s">
        <v>1409</v>
      </c>
      <c r="CY479" s="14">
        <v>2024</v>
      </c>
      <c r="CZ479" s="36">
        <v>45419</v>
      </c>
      <c r="DA479" s="14" t="s">
        <v>316</v>
      </c>
      <c r="DB479" s="14">
        <v>25</v>
      </c>
      <c r="DC479" s="14">
        <v>10</v>
      </c>
      <c r="DE479" s="14" t="s">
        <v>1410</v>
      </c>
    </row>
    <row r="480" spans="1:109">
      <c r="A480" s="14" t="s">
        <v>1870</v>
      </c>
      <c r="C480" s="14" t="s">
        <v>1411</v>
      </c>
      <c r="D480" s="14" t="s">
        <v>2264</v>
      </c>
      <c r="E480" s="14" t="s">
        <v>673</v>
      </c>
      <c r="F480" s="14" t="s">
        <v>2499</v>
      </c>
      <c r="H480" s="14" t="s">
        <v>2678</v>
      </c>
      <c r="I480" s="14" t="s">
        <v>3150</v>
      </c>
      <c r="J480" s="14" t="s">
        <v>2679</v>
      </c>
      <c r="L480" s="14" t="s">
        <v>639</v>
      </c>
      <c r="M480" s="14">
        <v>44</v>
      </c>
      <c r="Q480" s="14">
        <v>58.05</v>
      </c>
      <c r="R480" s="14">
        <v>12.14</v>
      </c>
      <c r="V480" s="14">
        <v>28</v>
      </c>
      <c r="W480" s="14">
        <f t="shared" si="48"/>
        <v>0.63636363636363635</v>
      </c>
      <c r="X480" s="14">
        <v>33.950000000000003</v>
      </c>
      <c r="Y480" s="14">
        <v>7.92</v>
      </c>
      <c r="AC480" s="14">
        <v>35</v>
      </c>
      <c r="AD480" s="34">
        <f t="shared" si="49"/>
        <v>0.79545454545454541</v>
      </c>
      <c r="BN480" s="14" t="s">
        <v>2231</v>
      </c>
      <c r="BQ480" s="14">
        <v>7.3999999999999996E-2</v>
      </c>
      <c r="BU480" s="14">
        <v>0.44700000000000001</v>
      </c>
      <c r="CC480" s="14">
        <v>3.0000000000000001E-3</v>
      </c>
      <c r="CG480" s="14">
        <v>0.97699999999999998</v>
      </c>
      <c r="CV480" s="14" t="s">
        <v>2684</v>
      </c>
      <c r="CW480" s="14" t="s">
        <v>1408</v>
      </c>
      <c r="CX480" s="14" t="s">
        <v>1409</v>
      </c>
      <c r="CY480" s="14">
        <v>2024</v>
      </c>
      <c r="CZ480" s="36">
        <v>45419</v>
      </c>
      <c r="DA480" s="14" t="s">
        <v>316</v>
      </c>
      <c r="DB480" s="14">
        <v>25</v>
      </c>
      <c r="DC480" s="14">
        <v>10</v>
      </c>
      <c r="DE480" s="14" t="s">
        <v>1410</v>
      </c>
    </row>
    <row r="481" spans="1:109">
      <c r="A481" s="14" t="s">
        <v>1870</v>
      </c>
      <c r="C481" s="14" t="s">
        <v>1411</v>
      </c>
      <c r="D481" s="14" t="s">
        <v>2264</v>
      </c>
      <c r="E481" s="14" t="s">
        <v>673</v>
      </c>
      <c r="F481" s="14" t="s">
        <v>2611</v>
      </c>
      <c r="H481" s="14" t="s">
        <v>2678</v>
      </c>
      <c r="I481" s="14" t="s">
        <v>3150</v>
      </c>
      <c r="J481" s="14" t="s">
        <v>2679</v>
      </c>
      <c r="L481" s="14" t="s">
        <v>639</v>
      </c>
      <c r="M481" s="14">
        <v>44</v>
      </c>
      <c r="Q481" s="14">
        <v>58.05</v>
      </c>
      <c r="R481" s="14">
        <v>12.14</v>
      </c>
      <c r="V481" s="14">
        <v>28</v>
      </c>
      <c r="W481" s="14">
        <f t="shared" si="48"/>
        <v>0.63636363636363635</v>
      </c>
      <c r="X481" s="14">
        <v>33.950000000000003</v>
      </c>
      <c r="Y481" s="14">
        <v>7.92</v>
      </c>
      <c r="AC481" s="14">
        <v>35</v>
      </c>
      <c r="AD481" s="34">
        <f t="shared" si="49"/>
        <v>0.79545454545454541</v>
      </c>
      <c r="BN481" s="14" t="s">
        <v>2231</v>
      </c>
      <c r="BQ481" s="14">
        <v>-4.5999999999999999E-2</v>
      </c>
      <c r="BU481" s="14">
        <v>0.63100000000000001</v>
      </c>
      <c r="CC481" s="14">
        <v>0.13200000000000001</v>
      </c>
      <c r="CG481" s="14">
        <v>0.17</v>
      </c>
      <c r="CV481" s="14" t="s">
        <v>2684</v>
      </c>
      <c r="CW481" s="14" t="s">
        <v>1408</v>
      </c>
      <c r="CX481" s="14" t="s">
        <v>1409</v>
      </c>
      <c r="CY481" s="14">
        <v>2024</v>
      </c>
      <c r="CZ481" s="36">
        <v>45419</v>
      </c>
      <c r="DA481" s="14" t="s">
        <v>316</v>
      </c>
      <c r="DB481" s="14">
        <v>25</v>
      </c>
      <c r="DC481" s="14">
        <v>10</v>
      </c>
      <c r="DE481" s="14" t="s">
        <v>1410</v>
      </c>
    </row>
    <row r="482" spans="1:109">
      <c r="A482" s="14" t="s">
        <v>1870</v>
      </c>
      <c r="C482" s="14" t="s">
        <v>1411</v>
      </c>
      <c r="D482" s="14" t="s">
        <v>2264</v>
      </c>
      <c r="E482" s="14" t="s">
        <v>673</v>
      </c>
      <c r="F482" s="14" t="s">
        <v>2612</v>
      </c>
      <c r="H482" s="14" t="s">
        <v>2678</v>
      </c>
      <c r="I482" s="14" t="s">
        <v>3150</v>
      </c>
      <c r="J482" s="14" t="s">
        <v>2679</v>
      </c>
      <c r="L482" s="14" t="s">
        <v>639</v>
      </c>
      <c r="M482" s="14">
        <v>44</v>
      </c>
      <c r="Q482" s="14">
        <v>58.05</v>
      </c>
      <c r="R482" s="14">
        <v>12.14</v>
      </c>
      <c r="V482" s="14">
        <v>28</v>
      </c>
      <c r="W482" s="14">
        <f t="shared" si="48"/>
        <v>0.63636363636363635</v>
      </c>
      <c r="X482" s="14">
        <v>33.950000000000003</v>
      </c>
      <c r="Y482" s="14">
        <v>7.92</v>
      </c>
      <c r="AC482" s="14">
        <v>35</v>
      </c>
      <c r="AD482" s="34">
        <f t="shared" si="49"/>
        <v>0.79545454545454541</v>
      </c>
      <c r="BN482" s="14" t="s">
        <v>2231</v>
      </c>
      <c r="BQ482" s="14">
        <v>0.13100000000000001</v>
      </c>
      <c r="BU482" s="14">
        <v>0.17299999999999999</v>
      </c>
      <c r="CC482" s="14">
        <v>0.20499999999999999</v>
      </c>
      <c r="CG482" s="14">
        <v>3.2000000000000001E-2</v>
      </c>
      <c r="CV482" s="14" t="s">
        <v>2684</v>
      </c>
      <c r="CW482" s="14" t="s">
        <v>1408</v>
      </c>
      <c r="CX482" s="14" t="s">
        <v>1409</v>
      </c>
      <c r="CY482" s="14">
        <v>2024</v>
      </c>
      <c r="CZ482" s="36">
        <v>45419</v>
      </c>
      <c r="DA482" s="14" t="s">
        <v>316</v>
      </c>
      <c r="DB482" s="14">
        <v>25</v>
      </c>
      <c r="DC482" s="14">
        <v>10</v>
      </c>
      <c r="DE482" s="14" t="s">
        <v>1410</v>
      </c>
    </row>
    <row r="483" spans="1:109">
      <c r="A483" s="14" t="s">
        <v>1870</v>
      </c>
      <c r="C483" s="14" t="s">
        <v>1411</v>
      </c>
      <c r="D483" s="14" t="s">
        <v>2264</v>
      </c>
      <c r="E483" s="14" t="s">
        <v>673</v>
      </c>
      <c r="F483" s="14" t="s">
        <v>2613</v>
      </c>
      <c r="H483" s="14" t="s">
        <v>2678</v>
      </c>
      <c r="I483" s="14" t="s">
        <v>3150</v>
      </c>
      <c r="J483" s="14" t="s">
        <v>2679</v>
      </c>
      <c r="L483" s="14" t="s">
        <v>639</v>
      </c>
      <c r="M483" s="14">
        <v>44</v>
      </c>
      <c r="Q483" s="14">
        <v>58.05</v>
      </c>
      <c r="R483" s="14">
        <v>12.14</v>
      </c>
      <c r="V483" s="14">
        <v>28</v>
      </c>
      <c r="W483" s="14">
        <f t="shared" si="48"/>
        <v>0.63636363636363635</v>
      </c>
      <c r="X483" s="14">
        <v>33.950000000000003</v>
      </c>
      <c r="Y483" s="14">
        <v>7.92</v>
      </c>
      <c r="AC483" s="14">
        <v>35</v>
      </c>
      <c r="AD483" s="34">
        <f t="shared" si="49"/>
        <v>0.79545454545454541</v>
      </c>
      <c r="BN483" s="14" t="s">
        <v>2231</v>
      </c>
      <c r="BQ483" s="14">
        <v>0.14199999999999999</v>
      </c>
      <c r="BU483" s="14">
        <v>0.14099999999999999</v>
      </c>
      <c r="CC483" s="14">
        <v>5.6000000000000001E-2</v>
      </c>
      <c r="CG483" s="14">
        <v>0.56200000000000006</v>
      </c>
      <c r="CV483" s="14" t="s">
        <v>2684</v>
      </c>
      <c r="CW483" s="14" t="s">
        <v>1408</v>
      </c>
      <c r="CX483" s="14" t="s">
        <v>1409</v>
      </c>
      <c r="CY483" s="14">
        <v>2024</v>
      </c>
      <c r="CZ483" s="36">
        <v>45419</v>
      </c>
      <c r="DA483" s="14" t="s">
        <v>316</v>
      </c>
      <c r="DB483" s="14">
        <v>25</v>
      </c>
      <c r="DC483" s="14">
        <v>10</v>
      </c>
      <c r="DE483" s="14" t="s">
        <v>1410</v>
      </c>
    </row>
    <row r="484" spans="1:109">
      <c r="A484" s="14" t="s">
        <v>1870</v>
      </c>
      <c r="C484" s="14" t="s">
        <v>1411</v>
      </c>
      <c r="D484" s="14" t="s">
        <v>2264</v>
      </c>
      <c r="E484" s="14" t="s">
        <v>673</v>
      </c>
      <c r="F484" s="14" t="s">
        <v>683</v>
      </c>
      <c r="H484" s="14" t="s">
        <v>2678</v>
      </c>
      <c r="I484" s="14" t="s">
        <v>3150</v>
      </c>
      <c r="J484" s="14" t="s">
        <v>2679</v>
      </c>
      <c r="L484" s="14" t="s">
        <v>639</v>
      </c>
      <c r="M484" s="14">
        <v>44</v>
      </c>
      <c r="Q484" s="14">
        <v>58.05</v>
      </c>
      <c r="R484" s="14">
        <v>12.14</v>
      </c>
      <c r="V484" s="14">
        <v>28</v>
      </c>
      <c r="W484" s="14">
        <f t="shared" si="48"/>
        <v>0.63636363636363635</v>
      </c>
      <c r="X484" s="14">
        <v>33.950000000000003</v>
      </c>
      <c r="Y484" s="14">
        <v>7.92</v>
      </c>
      <c r="AC484" s="14">
        <v>35</v>
      </c>
      <c r="AD484" s="34">
        <f t="shared" si="49"/>
        <v>0.79545454545454541</v>
      </c>
      <c r="BN484" s="14" t="s">
        <v>2231</v>
      </c>
      <c r="BQ484" s="14">
        <v>-0.217</v>
      </c>
      <c r="BU484" s="14">
        <v>2.3E-2</v>
      </c>
      <c r="CC484" s="14">
        <v>0.16900000000000001</v>
      </c>
      <c r="CG484" s="14">
        <v>7.6999999999999999E-2</v>
      </c>
      <c r="CV484" s="14" t="s">
        <v>2684</v>
      </c>
      <c r="CW484" s="14" t="s">
        <v>1408</v>
      </c>
      <c r="CX484" s="14" t="s">
        <v>1409</v>
      </c>
      <c r="CY484" s="14">
        <v>2024</v>
      </c>
      <c r="CZ484" s="36">
        <v>45419</v>
      </c>
      <c r="DA484" s="14" t="s">
        <v>316</v>
      </c>
      <c r="DB484" s="14">
        <v>25</v>
      </c>
      <c r="DC484" s="14">
        <v>10</v>
      </c>
      <c r="DE484" s="14" t="s">
        <v>1410</v>
      </c>
    </row>
    <row r="485" spans="1:109">
      <c r="A485" s="14" t="s">
        <v>1870</v>
      </c>
      <c r="C485" s="14" t="s">
        <v>1411</v>
      </c>
      <c r="D485" s="14" t="s">
        <v>2264</v>
      </c>
      <c r="E485" s="14" t="s">
        <v>673</v>
      </c>
      <c r="F485" s="14" t="s">
        <v>767</v>
      </c>
      <c r="H485" s="14" t="s">
        <v>2678</v>
      </c>
      <c r="I485" s="14" t="s">
        <v>3150</v>
      </c>
      <c r="J485" s="14" t="s">
        <v>2679</v>
      </c>
      <c r="L485" s="14" t="s">
        <v>639</v>
      </c>
      <c r="M485" s="14">
        <v>44</v>
      </c>
      <c r="Q485" s="14">
        <v>58.05</v>
      </c>
      <c r="R485" s="14">
        <v>12.14</v>
      </c>
      <c r="V485" s="14">
        <v>28</v>
      </c>
      <c r="W485" s="14">
        <f t="shared" si="48"/>
        <v>0.63636363636363635</v>
      </c>
      <c r="X485" s="14">
        <v>33.950000000000003</v>
      </c>
      <c r="Y485" s="14">
        <v>7.92</v>
      </c>
      <c r="AC485" s="14">
        <v>35</v>
      </c>
      <c r="AD485" s="34">
        <f t="shared" si="49"/>
        <v>0.79545454545454541</v>
      </c>
      <c r="BN485" s="14" t="s">
        <v>2231</v>
      </c>
      <c r="BQ485" s="14">
        <v>0.153</v>
      </c>
      <c r="BU485" s="14">
        <v>0.112</v>
      </c>
      <c r="CC485" s="14">
        <v>-0.17799999999999999</v>
      </c>
      <c r="CG485" s="14">
        <v>6.3E-2</v>
      </c>
      <c r="CV485" s="14" t="s">
        <v>2684</v>
      </c>
      <c r="CW485" s="14" t="s">
        <v>1408</v>
      </c>
      <c r="CX485" s="14" t="s">
        <v>1409</v>
      </c>
      <c r="CY485" s="14">
        <v>2024</v>
      </c>
      <c r="CZ485" s="36">
        <v>45419</v>
      </c>
      <c r="DA485" s="14" t="s">
        <v>316</v>
      </c>
      <c r="DB485" s="14">
        <v>25</v>
      </c>
      <c r="DC485" s="14">
        <v>10</v>
      </c>
      <c r="DE485" s="14" t="s">
        <v>1410</v>
      </c>
    </row>
    <row r="486" spans="1:109">
      <c r="A486" s="14" t="s">
        <v>1870</v>
      </c>
      <c r="C486" s="14" t="s">
        <v>1411</v>
      </c>
      <c r="D486" s="14" t="s">
        <v>2264</v>
      </c>
      <c r="E486" s="14" t="s">
        <v>673</v>
      </c>
      <c r="F486" s="14" t="s">
        <v>2687</v>
      </c>
      <c r="H486" s="14" t="s">
        <v>2678</v>
      </c>
      <c r="I486" s="14" t="s">
        <v>3150</v>
      </c>
      <c r="J486" s="14" t="s">
        <v>2679</v>
      </c>
      <c r="L486" s="14" t="s">
        <v>639</v>
      </c>
      <c r="M486" s="14">
        <v>44</v>
      </c>
      <c r="Q486" s="14">
        <v>58.05</v>
      </c>
      <c r="R486" s="14">
        <v>12.14</v>
      </c>
      <c r="V486" s="14">
        <v>28</v>
      </c>
      <c r="W486" s="14">
        <f t="shared" si="48"/>
        <v>0.63636363636363635</v>
      </c>
      <c r="X486" s="14">
        <v>33.950000000000003</v>
      </c>
      <c r="Y486" s="14">
        <v>7.92</v>
      </c>
      <c r="AC486" s="14">
        <v>35</v>
      </c>
      <c r="AD486" s="34">
        <f t="shared" si="49"/>
        <v>0.79545454545454541</v>
      </c>
      <c r="BN486" s="14" t="s">
        <v>2231</v>
      </c>
      <c r="BQ486" s="14">
        <v>1.7999999999999999E-2</v>
      </c>
      <c r="BU486" s="14">
        <v>0.85</v>
      </c>
      <c r="CC486" s="14">
        <v>1.7999999999999999E-2</v>
      </c>
      <c r="CG486" s="14">
        <v>0.85199999999999998</v>
      </c>
      <c r="CV486" s="14" t="s">
        <v>2684</v>
      </c>
      <c r="CW486" s="14" t="s">
        <v>1408</v>
      </c>
      <c r="CX486" s="14" t="s">
        <v>1409</v>
      </c>
      <c r="CY486" s="14">
        <v>2024</v>
      </c>
      <c r="CZ486" s="36">
        <v>45419</v>
      </c>
      <c r="DA486" s="14" t="s">
        <v>316</v>
      </c>
      <c r="DB486" s="14">
        <v>25</v>
      </c>
      <c r="DC486" s="14">
        <v>10</v>
      </c>
      <c r="DE486" s="14" t="s">
        <v>1410</v>
      </c>
    </row>
    <row r="487" spans="1:109">
      <c r="A487" s="14" t="s">
        <v>1870</v>
      </c>
      <c r="C487" s="14" t="s">
        <v>1411</v>
      </c>
      <c r="D487" s="14" t="s">
        <v>2264</v>
      </c>
      <c r="E487" s="14" t="s">
        <v>673</v>
      </c>
      <c r="F487" s="14" t="s">
        <v>2682</v>
      </c>
      <c r="H487" s="14" t="s">
        <v>2678</v>
      </c>
      <c r="I487" s="14" t="s">
        <v>3150</v>
      </c>
      <c r="J487" s="14" t="s">
        <v>2679</v>
      </c>
      <c r="L487" s="14" t="s">
        <v>639</v>
      </c>
      <c r="M487" s="14">
        <v>44</v>
      </c>
      <c r="Q487" s="14">
        <v>58.05</v>
      </c>
      <c r="R487" s="14">
        <v>12.14</v>
      </c>
      <c r="V487" s="14">
        <v>28</v>
      </c>
      <c r="W487" s="14">
        <f t="shared" si="48"/>
        <v>0.63636363636363635</v>
      </c>
      <c r="X487" s="14">
        <v>33.950000000000003</v>
      </c>
      <c r="Y487" s="14">
        <v>7.92</v>
      </c>
      <c r="AC487" s="14">
        <v>35</v>
      </c>
      <c r="AD487" s="34">
        <f t="shared" si="49"/>
        <v>0.79545454545454541</v>
      </c>
      <c r="BN487" s="14" t="s">
        <v>2231</v>
      </c>
      <c r="BQ487" s="14">
        <v>0.10299999999999999</v>
      </c>
      <c r="BU487" s="14">
        <v>0.28599999999999998</v>
      </c>
      <c r="CC487" s="14">
        <v>0.115</v>
      </c>
      <c r="CG487" s="14">
        <v>0.23300000000000001</v>
      </c>
      <c r="CV487" s="14" t="s">
        <v>2684</v>
      </c>
      <c r="CW487" s="14" t="s">
        <v>1408</v>
      </c>
      <c r="CX487" s="14" t="s">
        <v>1409</v>
      </c>
      <c r="CY487" s="14">
        <v>2024</v>
      </c>
      <c r="CZ487" s="36">
        <v>45419</v>
      </c>
      <c r="DA487" s="14" t="s">
        <v>316</v>
      </c>
      <c r="DB487" s="14">
        <v>25</v>
      </c>
      <c r="DC487" s="14">
        <v>10</v>
      </c>
      <c r="DE487" s="14" t="s">
        <v>1410</v>
      </c>
    </row>
    <row r="488" spans="1:109" ht="20">
      <c r="A488" s="13" t="s">
        <v>3401</v>
      </c>
      <c r="B488" s="13"/>
      <c r="C488" s="13" t="s">
        <v>3330</v>
      </c>
      <c r="D488" s="14" t="s">
        <v>830</v>
      </c>
      <c r="E488" s="13" t="s">
        <v>672</v>
      </c>
      <c r="F488" s="13" t="s">
        <v>3852</v>
      </c>
      <c r="G488" s="13"/>
      <c r="H488" s="14" t="s">
        <v>3849</v>
      </c>
      <c r="I488" s="13" t="s">
        <v>3850</v>
      </c>
      <c r="J488" s="13" t="s">
        <v>3853</v>
      </c>
      <c r="K488" s="13" t="s">
        <v>3851</v>
      </c>
      <c r="L488" s="13" t="s">
        <v>2579</v>
      </c>
      <c r="M488" s="13">
        <v>35</v>
      </c>
      <c r="N488" s="13"/>
      <c r="O488" s="15"/>
      <c r="P488" s="13"/>
      <c r="Q488" s="13"/>
      <c r="R488" s="13"/>
      <c r="S488" s="13">
        <v>66</v>
      </c>
      <c r="T488" s="13"/>
      <c r="U488" s="13"/>
      <c r="V488" s="13">
        <v>20</v>
      </c>
      <c r="W488" s="2">
        <f t="shared" si="48"/>
        <v>0.5714285714285714</v>
      </c>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V488" s="13"/>
      <c r="AW488" s="13"/>
      <c r="AX488" s="13"/>
      <c r="AY488" s="13"/>
      <c r="AZ488" s="13"/>
      <c r="BA488" s="16"/>
      <c r="BB488" s="13"/>
      <c r="BC488" s="13"/>
      <c r="BD488" s="13"/>
      <c r="BE488" s="16"/>
      <c r="BF488" s="13"/>
      <c r="BG488" s="13"/>
      <c r="BH488" s="13"/>
      <c r="BI488" s="13"/>
      <c r="BJ488" s="16"/>
      <c r="BK488" s="13"/>
      <c r="BL488" s="13"/>
      <c r="BM488" s="13"/>
      <c r="BN488" s="16"/>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t="s">
        <v>3544</v>
      </c>
      <c r="CX488" s="13" t="s">
        <v>3545</v>
      </c>
      <c r="CY488" s="13">
        <v>2025</v>
      </c>
      <c r="CZ488" s="21">
        <v>45660</v>
      </c>
      <c r="DA488" s="13" t="s">
        <v>61</v>
      </c>
      <c r="DB488" s="13">
        <v>15</v>
      </c>
      <c r="DC488" s="13">
        <v>1</v>
      </c>
      <c r="DD488" s="13">
        <v>668</v>
      </c>
      <c r="DE488" s="13" t="s">
        <v>3256</v>
      </c>
    </row>
    <row r="489" spans="1:109" ht="20">
      <c r="A489" s="13" t="s">
        <v>3401</v>
      </c>
      <c r="B489" s="13"/>
      <c r="C489" s="13" t="s">
        <v>3330</v>
      </c>
      <c r="D489" s="14" t="s">
        <v>830</v>
      </c>
      <c r="E489" s="13" t="s">
        <v>672</v>
      </c>
      <c r="F489" s="13" t="s">
        <v>900</v>
      </c>
      <c r="G489" s="13"/>
      <c r="H489" s="14" t="s">
        <v>3849</v>
      </c>
      <c r="I489" s="13" t="s">
        <v>3850</v>
      </c>
      <c r="J489" s="13" t="s">
        <v>3853</v>
      </c>
      <c r="K489" s="13" t="s">
        <v>3851</v>
      </c>
      <c r="L489" s="13" t="s">
        <v>2579</v>
      </c>
      <c r="M489" s="13">
        <v>35</v>
      </c>
      <c r="N489" s="13"/>
      <c r="O489" s="15"/>
      <c r="P489" s="13"/>
      <c r="Q489" s="13"/>
      <c r="R489" s="13"/>
      <c r="S489" s="13">
        <v>66</v>
      </c>
      <c r="T489" s="13"/>
      <c r="U489" s="13"/>
      <c r="V489" s="13">
        <v>20</v>
      </c>
      <c r="W489" s="2">
        <f t="shared" si="48"/>
        <v>0.5714285714285714</v>
      </c>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V489" s="13"/>
      <c r="AW489" s="13"/>
      <c r="AX489" s="13"/>
      <c r="AY489" s="13"/>
      <c r="AZ489" s="13"/>
      <c r="BA489" s="16"/>
      <c r="BB489" s="13"/>
      <c r="BC489" s="13"/>
      <c r="BD489" s="13"/>
      <c r="BE489" s="16"/>
      <c r="BF489" s="13"/>
      <c r="BG489" s="13"/>
      <c r="BH489" s="13"/>
      <c r="BI489" s="13"/>
      <c r="BJ489" s="16"/>
      <c r="BK489" s="13"/>
      <c r="BL489" s="13"/>
      <c r="BM489" s="13"/>
      <c r="BN489" s="16"/>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t="s">
        <v>3544</v>
      </c>
      <c r="CX489" s="13" t="s">
        <v>3545</v>
      </c>
      <c r="CY489" s="13">
        <v>2025</v>
      </c>
      <c r="CZ489" s="21">
        <v>45660</v>
      </c>
      <c r="DA489" s="13" t="s">
        <v>61</v>
      </c>
      <c r="DB489" s="13">
        <v>15</v>
      </c>
      <c r="DC489" s="13">
        <v>1</v>
      </c>
      <c r="DD489" s="13">
        <v>668</v>
      </c>
      <c r="DE489" s="13" t="s">
        <v>3256</v>
      </c>
    </row>
    <row r="490" spans="1:109" ht="20">
      <c r="A490" s="13" t="s">
        <v>3401</v>
      </c>
      <c r="B490" s="13"/>
      <c r="C490" s="13" t="s">
        <v>3330</v>
      </c>
      <c r="D490" s="14" t="s">
        <v>830</v>
      </c>
      <c r="E490" s="13" t="s">
        <v>672</v>
      </c>
      <c r="F490" s="13" t="s">
        <v>823</v>
      </c>
      <c r="G490" s="13"/>
      <c r="H490" s="14" t="s">
        <v>3849</v>
      </c>
      <c r="I490" s="13" t="s">
        <v>3850</v>
      </c>
      <c r="J490" s="13" t="s">
        <v>3861</v>
      </c>
      <c r="K490" s="13" t="s">
        <v>3862</v>
      </c>
      <c r="L490" s="13" t="s">
        <v>2579</v>
      </c>
      <c r="M490" s="13">
        <v>35</v>
      </c>
      <c r="N490" s="13"/>
      <c r="O490" s="15"/>
      <c r="P490" s="13"/>
      <c r="Q490" s="13"/>
      <c r="R490" s="13"/>
      <c r="S490" s="13">
        <v>66</v>
      </c>
      <c r="T490" s="13"/>
      <c r="U490" s="13"/>
      <c r="V490" s="13">
        <v>20</v>
      </c>
      <c r="W490" s="2">
        <f t="shared" si="48"/>
        <v>0.5714285714285714</v>
      </c>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V490" s="13"/>
      <c r="AW490" s="13"/>
      <c r="AX490" s="13"/>
      <c r="AY490" s="13"/>
      <c r="AZ490" s="13"/>
      <c r="BA490" s="16"/>
      <c r="BB490" s="13"/>
      <c r="BC490" s="13"/>
      <c r="BD490" s="13"/>
      <c r="BE490" s="16"/>
      <c r="BF490" s="13"/>
      <c r="BG490" s="13"/>
      <c r="BH490" s="13"/>
      <c r="BI490" s="13"/>
      <c r="BJ490" s="16"/>
      <c r="BK490" s="13"/>
      <c r="BL490" s="13"/>
      <c r="BM490" s="13"/>
      <c r="BN490" s="16"/>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t="s">
        <v>3544</v>
      </c>
      <c r="CX490" s="13" t="s">
        <v>3545</v>
      </c>
      <c r="CY490" s="13">
        <v>2025</v>
      </c>
      <c r="CZ490" s="21">
        <v>45660</v>
      </c>
      <c r="DA490" s="13" t="s">
        <v>61</v>
      </c>
      <c r="DB490" s="13">
        <v>15</v>
      </c>
      <c r="DC490" s="13">
        <v>1</v>
      </c>
      <c r="DD490" s="13">
        <v>668</v>
      </c>
      <c r="DE490" s="13" t="s">
        <v>3256</v>
      </c>
    </row>
    <row r="491" spans="1:109" ht="20">
      <c r="A491" s="13" t="s">
        <v>3401</v>
      </c>
      <c r="B491" s="13"/>
      <c r="C491" s="13" t="s">
        <v>3330</v>
      </c>
      <c r="D491" s="14" t="s">
        <v>830</v>
      </c>
      <c r="E491" s="13" t="s">
        <v>672</v>
      </c>
      <c r="F491" s="13" t="s">
        <v>3858</v>
      </c>
      <c r="G491" s="13"/>
      <c r="H491" s="14" t="s">
        <v>3849</v>
      </c>
      <c r="I491" s="13" t="s">
        <v>3850</v>
      </c>
      <c r="J491" s="13" t="s">
        <v>3861</v>
      </c>
      <c r="K491" s="13" t="s">
        <v>3862</v>
      </c>
      <c r="L491" s="13" t="s">
        <v>2579</v>
      </c>
      <c r="M491" s="13">
        <v>35</v>
      </c>
      <c r="N491" s="13"/>
      <c r="O491" s="15"/>
      <c r="P491" s="13"/>
      <c r="Q491" s="13"/>
      <c r="R491" s="13"/>
      <c r="S491" s="13">
        <v>66</v>
      </c>
      <c r="T491" s="13"/>
      <c r="U491" s="13"/>
      <c r="V491" s="13">
        <v>20</v>
      </c>
      <c r="W491" s="2">
        <f t="shared" si="48"/>
        <v>0.5714285714285714</v>
      </c>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V491" s="13"/>
      <c r="AW491" s="13"/>
      <c r="AX491" s="13"/>
      <c r="AY491" s="13"/>
      <c r="AZ491" s="13"/>
      <c r="BA491" s="16"/>
      <c r="BB491" s="13"/>
      <c r="BC491" s="13"/>
      <c r="BD491" s="13"/>
      <c r="BE491" s="16"/>
      <c r="BF491" s="13"/>
      <c r="BG491" s="13"/>
      <c r="BH491" s="13"/>
      <c r="BI491" s="13"/>
      <c r="BJ491" s="16"/>
      <c r="BK491" s="13"/>
      <c r="BL491" s="13"/>
      <c r="BM491" s="13"/>
      <c r="BN491" s="16"/>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t="s">
        <v>3544</v>
      </c>
      <c r="CX491" s="13" t="s">
        <v>3545</v>
      </c>
      <c r="CY491" s="13">
        <v>2025</v>
      </c>
      <c r="CZ491" s="21">
        <v>45660</v>
      </c>
      <c r="DA491" s="13" t="s">
        <v>61</v>
      </c>
      <c r="DB491" s="13">
        <v>15</v>
      </c>
      <c r="DC491" s="13">
        <v>1</v>
      </c>
      <c r="DD491" s="13">
        <v>668</v>
      </c>
      <c r="DE491" s="13" t="s">
        <v>3256</v>
      </c>
    </row>
    <row r="492" spans="1:109" ht="20">
      <c r="A492" s="13" t="s">
        <v>3401</v>
      </c>
      <c r="B492" s="13"/>
      <c r="C492" s="13" t="s">
        <v>3330</v>
      </c>
      <c r="D492" s="14" t="s">
        <v>830</v>
      </c>
      <c r="E492" s="13" t="s">
        <v>672</v>
      </c>
      <c r="F492" s="13" t="s">
        <v>3859</v>
      </c>
      <c r="G492" s="13"/>
      <c r="H492" s="14" t="s">
        <v>3849</v>
      </c>
      <c r="I492" s="13" t="s">
        <v>3850</v>
      </c>
      <c r="J492" s="13" t="s">
        <v>3861</v>
      </c>
      <c r="K492" s="13" t="s">
        <v>3862</v>
      </c>
      <c r="L492" s="13" t="s">
        <v>2579</v>
      </c>
      <c r="M492" s="13">
        <v>35</v>
      </c>
      <c r="N492" s="13"/>
      <c r="O492" s="15"/>
      <c r="P492" s="13"/>
      <c r="Q492" s="13"/>
      <c r="R492" s="13"/>
      <c r="S492" s="13">
        <v>66</v>
      </c>
      <c r="T492" s="13"/>
      <c r="U492" s="13"/>
      <c r="V492" s="13">
        <v>20</v>
      </c>
      <c r="W492" s="2">
        <f t="shared" si="48"/>
        <v>0.5714285714285714</v>
      </c>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V492" s="13"/>
      <c r="AW492" s="13"/>
      <c r="AX492" s="13"/>
      <c r="AY492" s="13"/>
      <c r="AZ492" s="13"/>
      <c r="BA492" s="16"/>
      <c r="BB492" s="13"/>
      <c r="BC492" s="13"/>
      <c r="BD492" s="13"/>
      <c r="BE492" s="16"/>
      <c r="BF492" s="13"/>
      <c r="BG492" s="13"/>
      <c r="BH492" s="13"/>
      <c r="BI492" s="13"/>
      <c r="BJ492" s="16"/>
      <c r="BK492" s="13"/>
      <c r="BL492" s="13"/>
      <c r="BM492" s="13"/>
      <c r="BN492" s="16"/>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t="s">
        <v>3544</v>
      </c>
      <c r="CX492" s="13" t="s">
        <v>3545</v>
      </c>
      <c r="CY492" s="13">
        <v>2025</v>
      </c>
      <c r="CZ492" s="21">
        <v>45660</v>
      </c>
      <c r="DA492" s="13" t="s">
        <v>61</v>
      </c>
      <c r="DB492" s="13">
        <v>15</v>
      </c>
      <c r="DC492" s="13">
        <v>1</v>
      </c>
      <c r="DD492" s="13">
        <v>668</v>
      </c>
      <c r="DE492" s="13" t="s">
        <v>3256</v>
      </c>
    </row>
    <row r="493" spans="1:109" ht="20">
      <c r="A493" s="13" t="s">
        <v>3401</v>
      </c>
      <c r="B493" s="13"/>
      <c r="C493" s="13" t="s">
        <v>3330</v>
      </c>
      <c r="D493" s="14" t="s">
        <v>830</v>
      </c>
      <c r="E493" s="13" t="s">
        <v>672</v>
      </c>
      <c r="F493" s="13" t="s">
        <v>676</v>
      </c>
      <c r="G493" s="13"/>
      <c r="H493" s="14" t="s">
        <v>3849</v>
      </c>
      <c r="I493" s="13" t="s">
        <v>3850</v>
      </c>
      <c r="J493" s="13" t="s">
        <v>3861</v>
      </c>
      <c r="K493" s="13" t="s">
        <v>3862</v>
      </c>
      <c r="L493" s="13" t="s">
        <v>2579</v>
      </c>
      <c r="M493" s="13">
        <v>35</v>
      </c>
      <c r="N493" s="13"/>
      <c r="O493" s="15"/>
      <c r="P493" s="13"/>
      <c r="Q493" s="13"/>
      <c r="R493" s="13"/>
      <c r="S493" s="13">
        <v>66</v>
      </c>
      <c r="T493" s="13"/>
      <c r="U493" s="13"/>
      <c r="V493" s="13">
        <v>20</v>
      </c>
      <c r="W493" s="2">
        <f t="shared" si="48"/>
        <v>0.5714285714285714</v>
      </c>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V493" s="13"/>
      <c r="AW493" s="13"/>
      <c r="AX493" s="13"/>
      <c r="AY493" s="13"/>
      <c r="AZ493" s="13"/>
      <c r="BA493" s="16"/>
      <c r="BB493" s="13"/>
      <c r="BC493" s="13"/>
      <c r="BD493" s="13"/>
      <c r="BE493" s="16"/>
      <c r="BF493" s="13"/>
      <c r="BG493" s="13"/>
      <c r="BH493" s="13"/>
      <c r="BI493" s="13"/>
      <c r="BJ493" s="16"/>
      <c r="BK493" s="13"/>
      <c r="BL493" s="13"/>
      <c r="BM493" s="13"/>
      <c r="BN493" s="16"/>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t="s">
        <v>3544</v>
      </c>
      <c r="CX493" s="13" t="s">
        <v>3545</v>
      </c>
      <c r="CY493" s="13">
        <v>2025</v>
      </c>
      <c r="CZ493" s="21">
        <v>45660</v>
      </c>
      <c r="DA493" s="13" t="s">
        <v>61</v>
      </c>
      <c r="DB493" s="13">
        <v>15</v>
      </c>
      <c r="DC493" s="13">
        <v>1</v>
      </c>
      <c r="DD493" s="13">
        <v>668</v>
      </c>
      <c r="DE493" s="13" t="s">
        <v>3256</v>
      </c>
    </row>
    <row r="494" spans="1:109" ht="20">
      <c r="A494" s="13" t="s">
        <v>3401</v>
      </c>
      <c r="B494" s="13"/>
      <c r="C494" s="13" t="s">
        <v>3330</v>
      </c>
      <c r="D494" s="14" t="s">
        <v>830</v>
      </c>
      <c r="E494" s="13" t="s">
        <v>672</v>
      </c>
      <c r="F494" s="13" t="s">
        <v>4141</v>
      </c>
      <c r="G494" s="13"/>
      <c r="H494" s="14" t="s">
        <v>3849</v>
      </c>
      <c r="I494" s="13" t="s">
        <v>3850</v>
      </c>
      <c r="J494" s="13" t="s">
        <v>622</v>
      </c>
      <c r="K494" s="13" t="s">
        <v>4159</v>
      </c>
      <c r="L494" s="13" t="s">
        <v>2579</v>
      </c>
      <c r="M494" s="13">
        <v>35</v>
      </c>
      <c r="N494" s="13"/>
      <c r="O494" s="15"/>
      <c r="P494" s="13"/>
      <c r="Q494" s="13"/>
      <c r="R494" s="13"/>
      <c r="S494" s="13">
        <v>66</v>
      </c>
      <c r="T494" s="13"/>
      <c r="U494" s="13"/>
      <c r="V494" s="13">
        <v>20</v>
      </c>
      <c r="W494" s="2">
        <f t="shared" si="48"/>
        <v>0.5714285714285714</v>
      </c>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V494" s="13"/>
      <c r="AW494" s="13"/>
      <c r="AX494" s="13"/>
      <c r="AY494" s="13"/>
      <c r="AZ494" s="13"/>
      <c r="BA494" s="16"/>
      <c r="BB494" s="13"/>
      <c r="BC494" s="13"/>
      <c r="BD494" s="13"/>
      <c r="BE494" s="16"/>
      <c r="BF494" s="13"/>
      <c r="BG494" s="13"/>
      <c r="BH494" s="13"/>
      <c r="BI494" s="13"/>
      <c r="BJ494" s="16"/>
      <c r="BK494" s="13"/>
      <c r="BL494" s="13"/>
      <c r="BM494" s="13"/>
      <c r="BN494" s="16"/>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t="s">
        <v>3544</v>
      </c>
      <c r="CX494" s="13" t="s">
        <v>3545</v>
      </c>
      <c r="CY494" s="13">
        <v>2025</v>
      </c>
      <c r="CZ494" s="21">
        <v>45660</v>
      </c>
      <c r="DA494" s="13" t="s">
        <v>61</v>
      </c>
      <c r="DB494" s="13">
        <v>15</v>
      </c>
      <c r="DC494" s="13">
        <v>1</v>
      </c>
      <c r="DD494" s="13">
        <v>668</v>
      </c>
      <c r="DE494" s="13" t="s">
        <v>3256</v>
      </c>
    </row>
    <row r="495" spans="1:109" ht="20">
      <c r="A495" s="13" t="s">
        <v>3401</v>
      </c>
      <c r="B495" s="13"/>
      <c r="C495" s="13" t="s">
        <v>3330</v>
      </c>
      <c r="D495" s="14" t="s">
        <v>830</v>
      </c>
      <c r="E495" s="13" t="s">
        <v>672</v>
      </c>
      <c r="F495" s="13" t="s">
        <v>904</v>
      </c>
      <c r="G495" s="13"/>
      <c r="H495" s="14" t="s">
        <v>3849</v>
      </c>
      <c r="I495" s="13" t="s">
        <v>3850</v>
      </c>
      <c r="J495" s="13" t="s">
        <v>3860</v>
      </c>
      <c r="K495" s="13" t="s">
        <v>3862</v>
      </c>
      <c r="L495" s="13" t="s">
        <v>2579</v>
      </c>
      <c r="M495" s="13">
        <v>35</v>
      </c>
      <c r="N495" s="13"/>
      <c r="O495" s="15"/>
      <c r="P495" s="13"/>
      <c r="Q495" s="13"/>
      <c r="R495" s="13"/>
      <c r="S495" s="13">
        <v>66</v>
      </c>
      <c r="T495" s="13"/>
      <c r="U495" s="13"/>
      <c r="V495" s="13">
        <v>20</v>
      </c>
      <c r="W495" s="2">
        <f t="shared" si="48"/>
        <v>0.5714285714285714</v>
      </c>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V495" s="13"/>
      <c r="AW495" s="13"/>
      <c r="AX495" s="13"/>
      <c r="AY495" s="13"/>
      <c r="AZ495" s="13"/>
      <c r="BA495" s="16"/>
      <c r="BB495" s="13"/>
      <c r="BC495" s="13"/>
      <c r="BD495" s="13"/>
      <c r="BE495" s="16"/>
      <c r="BF495" s="13"/>
      <c r="BG495" s="13"/>
      <c r="BH495" s="13"/>
      <c r="BI495" s="13"/>
      <c r="BJ495" s="16"/>
      <c r="BK495" s="13"/>
      <c r="BL495" s="13"/>
      <c r="BM495" s="13"/>
      <c r="BN495" s="16"/>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t="s">
        <v>3544</v>
      </c>
      <c r="CX495" s="13" t="s">
        <v>3545</v>
      </c>
      <c r="CY495" s="13">
        <v>2025</v>
      </c>
      <c r="CZ495" s="21">
        <v>45660</v>
      </c>
      <c r="DA495" s="13" t="s">
        <v>61</v>
      </c>
      <c r="DB495" s="13">
        <v>15</v>
      </c>
      <c r="DC495" s="13">
        <v>1</v>
      </c>
      <c r="DD495" s="13">
        <v>668</v>
      </c>
      <c r="DE495" s="13" t="s">
        <v>3256</v>
      </c>
    </row>
    <row r="496" spans="1:109">
      <c r="A496" s="14" t="s">
        <v>1871</v>
      </c>
      <c r="C496" s="14" t="s">
        <v>1416</v>
      </c>
      <c r="D496" s="14" t="s">
        <v>2688</v>
      </c>
      <c r="E496" s="14" t="s">
        <v>725</v>
      </c>
      <c r="F496" s="14" t="s">
        <v>684</v>
      </c>
      <c r="G496" s="14" t="s">
        <v>2689</v>
      </c>
      <c r="H496" s="14" t="s">
        <v>584</v>
      </c>
      <c r="I496" s="14" t="s">
        <v>3151</v>
      </c>
      <c r="J496" s="14" t="s">
        <v>2362</v>
      </c>
      <c r="M496" s="14">
        <v>241</v>
      </c>
      <c r="N496" s="14">
        <v>22</v>
      </c>
      <c r="P496" s="14">
        <v>19</v>
      </c>
      <c r="S496" s="14">
        <v>65</v>
      </c>
      <c r="T496" s="14">
        <v>57</v>
      </c>
      <c r="U496" s="14">
        <v>72</v>
      </c>
      <c r="V496" s="14">
        <v>140</v>
      </c>
      <c r="W496" s="14">
        <v>0.57999999999999996</v>
      </c>
      <c r="Z496" s="14">
        <v>31</v>
      </c>
      <c r="AA496" s="14">
        <v>25</v>
      </c>
      <c r="AB496" s="14">
        <v>36</v>
      </c>
      <c r="AC496" s="14">
        <v>184</v>
      </c>
      <c r="AD496" s="34">
        <f>AC496/M496</f>
        <v>0.76348547717842319</v>
      </c>
      <c r="AG496" s="35">
        <f>696/30</f>
        <v>23.2</v>
      </c>
      <c r="AH496" s="35">
        <f>475/30</f>
        <v>15.833333333333334</v>
      </c>
      <c r="AI496" s="35">
        <f>1136/30</f>
        <v>37.866666666666667</v>
      </c>
      <c r="CW496" s="14" t="s">
        <v>1412</v>
      </c>
      <c r="CX496" s="14" t="s">
        <v>1413</v>
      </c>
      <c r="CY496" s="14">
        <v>2024</v>
      </c>
      <c r="CZ496" s="36" t="s">
        <v>330</v>
      </c>
      <c r="DA496" s="14" t="s">
        <v>141</v>
      </c>
      <c r="DB496" s="14">
        <v>11</v>
      </c>
      <c r="DC496" s="14">
        <v>3</v>
      </c>
      <c r="DD496" s="14" t="s">
        <v>1414</v>
      </c>
      <c r="DE496" s="14" t="s">
        <v>1415</v>
      </c>
    </row>
    <row r="497" spans="1:109" ht="20">
      <c r="A497" s="14" t="s">
        <v>1874</v>
      </c>
      <c r="C497" s="14" t="s">
        <v>1429</v>
      </c>
      <c r="D497" s="14" t="s">
        <v>1015</v>
      </c>
      <c r="E497" s="14" t="s">
        <v>673</v>
      </c>
      <c r="F497" s="14" t="s">
        <v>2706</v>
      </c>
      <c r="H497" s="14" t="s">
        <v>669</v>
      </c>
      <c r="I497" s="14" t="s">
        <v>3153</v>
      </c>
      <c r="J497" s="13" t="s">
        <v>2707</v>
      </c>
      <c r="M497" s="14">
        <v>293</v>
      </c>
      <c r="N497" s="14">
        <v>12</v>
      </c>
      <c r="Q497" s="14">
        <v>66.5</v>
      </c>
      <c r="R497" s="14">
        <v>10.5</v>
      </c>
      <c r="V497" s="14">
        <v>138</v>
      </c>
      <c r="W497" s="14">
        <f t="shared" ref="W497:W505" si="50">V497/M497</f>
        <v>0.47098976109215018</v>
      </c>
      <c r="Z497" s="14">
        <v>38.5</v>
      </c>
      <c r="AA497" s="14">
        <v>34</v>
      </c>
      <c r="AB497" s="14">
        <v>42</v>
      </c>
      <c r="AC497" s="14">
        <f>294-106</f>
        <v>188</v>
      </c>
      <c r="AD497" s="34">
        <f>AC497/M497</f>
        <v>0.64163822525597269</v>
      </c>
      <c r="AG497" s="35">
        <v>5</v>
      </c>
      <c r="AH497" s="35">
        <v>2.7</v>
      </c>
      <c r="AI497" s="35">
        <v>9</v>
      </c>
      <c r="AQ497" s="35">
        <v>67.599999999999994</v>
      </c>
      <c r="AU497" s="14" t="s">
        <v>2447</v>
      </c>
      <c r="AV497" s="14" t="s">
        <v>2490</v>
      </c>
      <c r="BA497" s="29" t="s">
        <v>4111</v>
      </c>
      <c r="BB497" s="14">
        <v>0.97</v>
      </c>
      <c r="BC497" s="14">
        <v>0.67</v>
      </c>
      <c r="BD497" s="14">
        <v>1.4</v>
      </c>
      <c r="BE497" s="29" t="s">
        <v>2708</v>
      </c>
      <c r="BJ497" s="29" t="s">
        <v>4111</v>
      </c>
      <c r="BK497" s="14">
        <v>0.9</v>
      </c>
      <c r="BL497" s="14">
        <v>0.61</v>
      </c>
      <c r="BM497" s="14">
        <v>1.31</v>
      </c>
      <c r="CW497" s="14" t="s">
        <v>1426</v>
      </c>
      <c r="CX497" s="14" t="s">
        <v>1427</v>
      </c>
      <c r="CY497" s="14">
        <v>2020</v>
      </c>
      <c r="CZ497" s="36">
        <v>45311</v>
      </c>
      <c r="DA497" s="14" t="s">
        <v>61</v>
      </c>
      <c r="DB497" s="14">
        <v>10</v>
      </c>
      <c r="DC497" s="14">
        <v>1</v>
      </c>
      <c r="DD497" s="14" t="s">
        <v>2175</v>
      </c>
      <c r="DE497" s="14" t="s">
        <v>1428</v>
      </c>
    </row>
    <row r="498" spans="1:109">
      <c r="A498" s="14" t="s">
        <v>1873</v>
      </c>
      <c r="C498" s="14" t="s">
        <v>1425</v>
      </c>
      <c r="D498" s="14" t="s">
        <v>1015</v>
      </c>
      <c r="E498" s="14" t="s">
        <v>673</v>
      </c>
      <c r="F498" s="14" t="s">
        <v>2545</v>
      </c>
      <c r="H498" s="14" t="s">
        <v>669</v>
      </c>
      <c r="I498" s="14" t="s">
        <v>3153</v>
      </c>
      <c r="J498" s="14" t="s">
        <v>4123</v>
      </c>
      <c r="K498" s="14" t="s">
        <v>4122</v>
      </c>
      <c r="L498" s="14" t="s">
        <v>2512</v>
      </c>
      <c r="M498" s="14">
        <v>362</v>
      </c>
      <c r="N498" s="14">
        <v>15</v>
      </c>
      <c r="Q498" s="14">
        <v>65.7</v>
      </c>
      <c r="R498" s="14">
        <v>10.6</v>
      </c>
      <c r="V498" s="14">
        <v>215</v>
      </c>
      <c r="W498" s="14">
        <f t="shared" si="50"/>
        <v>0.59392265193370164</v>
      </c>
      <c r="Z498" s="14">
        <v>38</v>
      </c>
      <c r="AA498" s="14">
        <v>33</v>
      </c>
      <c r="AB498" s="14">
        <v>42</v>
      </c>
      <c r="AC498" s="14">
        <f>106+120+14</f>
        <v>240</v>
      </c>
      <c r="AD498" s="34">
        <f>AC498/M498</f>
        <v>0.66298342541436461</v>
      </c>
      <c r="AG498" s="35">
        <v>5</v>
      </c>
      <c r="AH498" s="35">
        <v>2.9</v>
      </c>
      <c r="AI498" s="35">
        <v>9</v>
      </c>
      <c r="AQ498" s="35">
        <v>89.7</v>
      </c>
      <c r="AU498" s="14" t="s">
        <v>2449</v>
      </c>
      <c r="AV498" s="14" t="s">
        <v>2703</v>
      </c>
      <c r="BE498" s="29" t="s">
        <v>2704</v>
      </c>
      <c r="BJ498" s="29" t="s">
        <v>2705</v>
      </c>
      <c r="BK498" s="14">
        <v>1.68</v>
      </c>
      <c r="BL498" s="14">
        <v>0.59</v>
      </c>
      <c r="BM498" s="14">
        <v>4.75</v>
      </c>
      <c r="CW498" s="14" t="s">
        <v>1422</v>
      </c>
      <c r="CX498" s="14" t="s">
        <v>1423</v>
      </c>
      <c r="CY498" s="14">
        <v>2023</v>
      </c>
      <c r="CZ498" s="36">
        <v>45606</v>
      </c>
      <c r="DA498" s="14" t="s">
        <v>61</v>
      </c>
      <c r="DB498" s="14">
        <v>13</v>
      </c>
      <c r="DC498" s="14">
        <v>1</v>
      </c>
      <c r="DD498" s="14" t="s">
        <v>2176</v>
      </c>
      <c r="DE498" s="14" t="s">
        <v>1424</v>
      </c>
    </row>
    <row r="499" spans="1:109">
      <c r="A499" s="14" t="s">
        <v>1875</v>
      </c>
      <c r="C499" s="14" t="s">
        <v>1430</v>
      </c>
      <c r="D499" s="14" t="s">
        <v>827</v>
      </c>
      <c r="G499" s="14" t="s">
        <v>2709</v>
      </c>
      <c r="H499" s="14" t="s">
        <v>855</v>
      </c>
      <c r="I499" s="14" t="s">
        <v>3154</v>
      </c>
      <c r="J499" s="14" t="s">
        <v>2710</v>
      </c>
      <c r="M499" s="14">
        <v>48</v>
      </c>
      <c r="P499" s="14">
        <v>1</v>
      </c>
      <c r="S499" s="14">
        <v>71</v>
      </c>
      <c r="T499" s="14">
        <v>65</v>
      </c>
      <c r="U499" s="14">
        <v>75</v>
      </c>
      <c r="V499" s="14">
        <v>25</v>
      </c>
      <c r="W499" s="14">
        <f t="shared" si="50"/>
        <v>0.52083333333333337</v>
      </c>
      <c r="Z499" s="14">
        <v>39</v>
      </c>
      <c r="AA499" s="14">
        <v>35</v>
      </c>
      <c r="AB499" s="14">
        <v>43</v>
      </c>
      <c r="AC499" s="14">
        <v>36</v>
      </c>
      <c r="AD499" s="34">
        <f>AC499/M499</f>
        <v>0.75</v>
      </c>
      <c r="AG499" s="35">
        <v>15</v>
      </c>
      <c r="AH499" s="35">
        <v>8</v>
      </c>
      <c r="AI499" s="35">
        <v>30</v>
      </c>
      <c r="CW499" s="14" t="s">
        <v>1431</v>
      </c>
      <c r="CX499" s="14" t="s">
        <v>1432</v>
      </c>
      <c r="CY499" s="14">
        <v>2021</v>
      </c>
      <c r="CZ499" s="36">
        <v>45544</v>
      </c>
      <c r="DA499" s="14" t="s">
        <v>61</v>
      </c>
      <c r="DB499" s="14">
        <v>11</v>
      </c>
      <c r="DC499" s="14">
        <v>1</v>
      </c>
      <c r="DD499" s="14" t="s">
        <v>2174</v>
      </c>
      <c r="DE499" s="14" t="s">
        <v>1433</v>
      </c>
    </row>
    <row r="500" spans="1:109" ht="20">
      <c r="A500" s="13" t="s">
        <v>3402</v>
      </c>
      <c r="B500" s="13"/>
      <c r="C500" s="13" t="s">
        <v>3331</v>
      </c>
      <c r="D500" s="14" t="s">
        <v>2038</v>
      </c>
      <c r="E500" s="13" t="s">
        <v>672</v>
      </c>
      <c r="F500" s="13" t="s">
        <v>1054</v>
      </c>
      <c r="G500" s="13"/>
      <c r="H500" s="14" t="s">
        <v>855</v>
      </c>
      <c r="I500" s="13" t="s">
        <v>3864</v>
      </c>
      <c r="J500" s="13" t="s">
        <v>3865</v>
      </c>
      <c r="K500" s="13" t="s">
        <v>3866</v>
      </c>
      <c r="L500" s="13"/>
      <c r="M500" s="13">
        <v>64</v>
      </c>
      <c r="N500" s="13"/>
      <c r="O500" s="15"/>
      <c r="P500" s="13"/>
      <c r="Q500" s="13"/>
      <c r="R500" s="13"/>
      <c r="S500" s="13"/>
      <c r="T500" s="13"/>
      <c r="U500" s="13"/>
      <c r="V500" s="13">
        <v>36</v>
      </c>
      <c r="W500" s="2">
        <f t="shared" si="50"/>
        <v>0.5625</v>
      </c>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V500" s="13"/>
      <c r="AW500" s="13"/>
      <c r="AX500" s="13"/>
      <c r="AY500" s="13"/>
      <c r="AZ500" s="13"/>
      <c r="BA500" s="16"/>
      <c r="BB500" s="13"/>
      <c r="BC500" s="13"/>
      <c r="BD500" s="13"/>
      <c r="BE500" s="16"/>
      <c r="BF500" s="13"/>
      <c r="BG500" s="13"/>
      <c r="BH500" s="13"/>
      <c r="BI500" s="13"/>
      <c r="BJ500" s="16"/>
      <c r="BK500" s="13"/>
      <c r="BL500" s="13"/>
      <c r="BM500" s="13"/>
      <c r="BN500" s="16"/>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t="s">
        <v>3867</v>
      </c>
      <c r="CW500" s="13" t="s">
        <v>3546</v>
      </c>
      <c r="CX500" s="13" t="s">
        <v>3547</v>
      </c>
      <c r="CY500" s="13">
        <v>2024</v>
      </c>
      <c r="CZ500" s="13"/>
      <c r="DA500" s="13" t="s">
        <v>416</v>
      </c>
      <c r="DB500" s="13">
        <v>15</v>
      </c>
      <c r="DC500" s="13"/>
      <c r="DD500" s="13">
        <v>1418320</v>
      </c>
      <c r="DE500" s="13" t="s">
        <v>3257</v>
      </c>
    </row>
    <row r="501" spans="1:109" ht="20">
      <c r="A501" s="13" t="s">
        <v>3402</v>
      </c>
      <c r="B501" s="13"/>
      <c r="C501" s="13" t="s">
        <v>3331</v>
      </c>
      <c r="D501" s="14" t="s">
        <v>2038</v>
      </c>
      <c r="E501" s="13" t="s">
        <v>672</v>
      </c>
      <c r="F501" s="13" t="s">
        <v>758</v>
      </c>
      <c r="G501" s="13"/>
      <c r="H501" s="14" t="s">
        <v>855</v>
      </c>
      <c r="I501" s="13" t="s">
        <v>3864</v>
      </c>
      <c r="J501" s="13" t="s">
        <v>3865</v>
      </c>
      <c r="K501" s="13" t="s">
        <v>3866</v>
      </c>
      <c r="L501" s="13"/>
      <c r="M501" s="13">
        <v>64</v>
      </c>
      <c r="N501" s="13"/>
      <c r="O501" s="15"/>
      <c r="P501" s="13"/>
      <c r="Q501" s="13"/>
      <c r="R501" s="13"/>
      <c r="S501" s="13"/>
      <c r="T501" s="13"/>
      <c r="U501" s="13"/>
      <c r="V501" s="13">
        <v>36</v>
      </c>
      <c r="W501" s="2">
        <f t="shared" si="50"/>
        <v>0.5625</v>
      </c>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V501" s="13"/>
      <c r="AW501" s="13"/>
      <c r="AX501" s="13"/>
      <c r="AY501" s="13"/>
      <c r="AZ501" s="13"/>
      <c r="BA501" s="16"/>
      <c r="BB501" s="13"/>
      <c r="BC501" s="13"/>
      <c r="BD501" s="13"/>
      <c r="BE501" s="16"/>
      <c r="BF501" s="13"/>
      <c r="BG501" s="13"/>
      <c r="BH501" s="13"/>
      <c r="BI501" s="13"/>
      <c r="BJ501" s="16"/>
      <c r="BK501" s="13"/>
      <c r="BL501" s="13"/>
      <c r="BM501" s="13"/>
      <c r="BN501" s="16"/>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t="s">
        <v>3867</v>
      </c>
      <c r="CW501" s="13" t="s">
        <v>3546</v>
      </c>
      <c r="CX501" s="13" t="s">
        <v>3547</v>
      </c>
      <c r="CY501" s="13">
        <v>2024</v>
      </c>
      <c r="CZ501" s="13"/>
      <c r="DA501" s="13" t="s">
        <v>416</v>
      </c>
      <c r="DB501" s="13">
        <v>15</v>
      </c>
      <c r="DC501" s="13"/>
      <c r="DD501" s="13">
        <v>1418320</v>
      </c>
      <c r="DE501" s="13" t="s">
        <v>3257</v>
      </c>
    </row>
    <row r="502" spans="1:109" ht="20">
      <c r="A502" s="13" t="s">
        <v>3402</v>
      </c>
      <c r="B502" s="13"/>
      <c r="C502" s="13" t="s">
        <v>3331</v>
      </c>
      <c r="D502" s="14" t="s">
        <v>2038</v>
      </c>
      <c r="E502" s="13" t="s">
        <v>672</v>
      </c>
      <c r="F502" s="13" t="s">
        <v>3868</v>
      </c>
      <c r="G502" s="13"/>
      <c r="H502" s="14" t="s">
        <v>855</v>
      </c>
      <c r="I502" s="13" t="s">
        <v>3864</v>
      </c>
      <c r="J502" s="13" t="s">
        <v>3865</v>
      </c>
      <c r="K502" s="13" t="s">
        <v>3866</v>
      </c>
      <c r="L502" s="13"/>
      <c r="M502" s="13">
        <v>64</v>
      </c>
      <c r="N502" s="13"/>
      <c r="O502" s="15"/>
      <c r="P502" s="13"/>
      <c r="Q502" s="13"/>
      <c r="R502" s="13"/>
      <c r="S502" s="13"/>
      <c r="T502" s="13"/>
      <c r="U502" s="13"/>
      <c r="V502" s="13">
        <v>36</v>
      </c>
      <c r="W502" s="2">
        <f t="shared" si="50"/>
        <v>0.5625</v>
      </c>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V502" s="13"/>
      <c r="AW502" s="13"/>
      <c r="AX502" s="13"/>
      <c r="AY502" s="13"/>
      <c r="AZ502" s="13"/>
      <c r="BA502" s="16"/>
      <c r="BB502" s="13"/>
      <c r="BC502" s="13"/>
      <c r="BD502" s="13"/>
      <c r="BE502" s="16"/>
      <c r="BF502" s="13"/>
      <c r="BG502" s="13"/>
      <c r="BH502" s="13"/>
      <c r="BI502" s="13"/>
      <c r="BJ502" s="16"/>
      <c r="BK502" s="13"/>
      <c r="BL502" s="13"/>
      <c r="BM502" s="13"/>
      <c r="BN502" s="16"/>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t="s">
        <v>3867</v>
      </c>
      <c r="CW502" s="13" t="s">
        <v>3546</v>
      </c>
      <c r="CX502" s="13" t="s">
        <v>3547</v>
      </c>
      <c r="CY502" s="13">
        <v>2024</v>
      </c>
      <c r="CZ502" s="13"/>
      <c r="DA502" s="13" t="s">
        <v>416</v>
      </c>
      <c r="DB502" s="13">
        <v>15</v>
      </c>
      <c r="DC502" s="13"/>
      <c r="DD502" s="13">
        <v>1418320</v>
      </c>
      <c r="DE502" s="13" t="s">
        <v>3257</v>
      </c>
    </row>
    <row r="503" spans="1:109" ht="20">
      <c r="A503" s="13" t="s">
        <v>3402</v>
      </c>
      <c r="B503" s="13"/>
      <c r="C503" s="13" t="s">
        <v>3331</v>
      </c>
      <c r="D503" s="14" t="s">
        <v>2038</v>
      </c>
      <c r="E503" s="13" t="s">
        <v>672</v>
      </c>
      <c r="F503" s="13" t="s">
        <v>3869</v>
      </c>
      <c r="G503" s="13"/>
      <c r="H503" s="14" t="s">
        <v>855</v>
      </c>
      <c r="I503" s="13" t="s">
        <v>3864</v>
      </c>
      <c r="J503" s="13" t="s">
        <v>3865</v>
      </c>
      <c r="K503" s="13" t="s">
        <v>3866</v>
      </c>
      <c r="L503" s="13"/>
      <c r="M503" s="13">
        <v>64</v>
      </c>
      <c r="N503" s="13"/>
      <c r="O503" s="15"/>
      <c r="P503" s="13"/>
      <c r="Q503" s="13"/>
      <c r="R503" s="13"/>
      <c r="S503" s="13"/>
      <c r="T503" s="13"/>
      <c r="U503" s="13"/>
      <c r="V503" s="13">
        <v>36</v>
      </c>
      <c r="W503" s="2">
        <f t="shared" si="50"/>
        <v>0.5625</v>
      </c>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V503" s="13"/>
      <c r="AW503" s="13"/>
      <c r="AX503" s="13"/>
      <c r="AY503" s="13"/>
      <c r="AZ503" s="13"/>
      <c r="BA503" s="16"/>
      <c r="BB503" s="13"/>
      <c r="BC503" s="13"/>
      <c r="BD503" s="13"/>
      <c r="BE503" s="16"/>
      <c r="BF503" s="13"/>
      <c r="BG503" s="13"/>
      <c r="BH503" s="13"/>
      <c r="BI503" s="13"/>
      <c r="BJ503" s="16"/>
      <c r="BK503" s="13"/>
      <c r="BL503" s="13"/>
      <c r="BM503" s="13"/>
      <c r="BN503" s="16"/>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t="s">
        <v>3867</v>
      </c>
      <c r="CW503" s="13" t="s">
        <v>3546</v>
      </c>
      <c r="CX503" s="13" t="s">
        <v>3547</v>
      </c>
      <c r="CY503" s="13">
        <v>2024</v>
      </c>
      <c r="CZ503" s="13"/>
      <c r="DA503" s="13" t="s">
        <v>416</v>
      </c>
      <c r="DB503" s="13">
        <v>15</v>
      </c>
      <c r="DC503" s="13"/>
      <c r="DD503" s="13">
        <v>1418320</v>
      </c>
      <c r="DE503" s="13" t="s">
        <v>3257</v>
      </c>
    </row>
    <row r="504" spans="1:109" ht="20">
      <c r="A504" s="13" t="s">
        <v>3402</v>
      </c>
      <c r="B504" s="13"/>
      <c r="C504" s="13" t="s">
        <v>3331</v>
      </c>
      <c r="D504" s="14" t="s">
        <v>2038</v>
      </c>
      <c r="E504" s="13" t="s">
        <v>672</v>
      </c>
      <c r="F504" s="13" t="s">
        <v>1004</v>
      </c>
      <c r="G504" s="13"/>
      <c r="H504" s="14" t="s">
        <v>855</v>
      </c>
      <c r="I504" s="13" t="s">
        <v>3864</v>
      </c>
      <c r="J504" s="13" t="s">
        <v>3865</v>
      </c>
      <c r="K504" s="13" t="s">
        <v>3866</v>
      </c>
      <c r="L504" s="13"/>
      <c r="M504" s="13">
        <v>64</v>
      </c>
      <c r="N504" s="13"/>
      <c r="O504" s="15"/>
      <c r="P504" s="13"/>
      <c r="Q504" s="13"/>
      <c r="R504" s="13"/>
      <c r="S504" s="13"/>
      <c r="T504" s="13"/>
      <c r="U504" s="13"/>
      <c r="V504" s="13">
        <v>36</v>
      </c>
      <c r="W504" s="2">
        <f t="shared" si="50"/>
        <v>0.5625</v>
      </c>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V504" s="13"/>
      <c r="AW504" s="13"/>
      <c r="AX504" s="13"/>
      <c r="AY504" s="13"/>
      <c r="AZ504" s="13"/>
      <c r="BA504" s="16"/>
      <c r="BB504" s="13"/>
      <c r="BC504" s="13"/>
      <c r="BD504" s="13"/>
      <c r="BE504" s="16"/>
      <c r="BF504" s="13"/>
      <c r="BG504" s="13"/>
      <c r="BH504" s="13"/>
      <c r="BI504" s="13"/>
      <c r="BJ504" s="16"/>
      <c r="BK504" s="13"/>
      <c r="BL504" s="13"/>
      <c r="BM504" s="13"/>
      <c r="BN504" s="16"/>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t="s">
        <v>3867</v>
      </c>
      <c r="CW504" s="13" t="s">
        <v>3546</v>
      </c>
      <c r="CX504" s="13" t="s">
        <v>3547</v>
      </c>
      <c r="CY504" s="13">
        <v>2024</v>
      </c>
      <c r="CZ504" s="13"/>
      <c r="DA504" s="13" t="s">
        <v>416</v>
      </c>
      <c r="DB504" s="13">
        <v>15</v>
      </c>
      <c r="DC504" s="13"/>
      <c r="DD504" s="13">
        <v>1418320</v>
      </c>
      <c r="DE504" s="13" t="s">
        <v>3257</v>
      </c>
    </row>
    <row r="505" spans="1:109">
      <c r="A505" s="14" t="s">
        <v>1876</v>
      </c>
      <c r="C505" s="14" t="s">
        <v>374</v>
      </c>
      <c r="D505" s="14" t="s">
        <v>2264</v>
      </c>
      <c r="E505" s="14" t="s">
        <v>674</v>
      </c>
      <c r="F505" s="14" t="s">
        <v>2711</v>
      </c>
      <c r="H505" s="14" t="s">
        <v>855</v>
      </c>
      <c r="I505" s="14" t="s">
        <v>3155</v>
      </c>
      <c r="J505" s="14" t="s">
        <v>2713</v>
      </c>
      <c r="K505" s="14" t="s">
        <v>2712</v>
      </c>
      <c r="M505" s="14">
        <v>66</v>
      </c>
      <c r="Q505" s="14">
        <v>60</v>
      </c>
      <c r="R505" s="14">
        <f>1.6*SQRT(M505)</f>
        <v>12.998461447417538</v>
      </c>
      <c r="V505" s="14">
        <v>37</v>
      </c>
      <c r="W505" s="14">
        <f t="shared" si="50"/>
        <v>0.56060606060606055</v>
      </c>
      <c r="AC505" s="14">
        <v>49</v>
      </c>
      <c r="AD505" s="34">
        <f>AC505/M505</f>
        <v>0.74242424242424243</v>
      </c>
      <c r="CW505" s="14" t="s">
        <v>371</v>
      </c>
      <c r="CX505" s="14" t="s">
        <v>372</v>
      </c>
      <c r="CY505" s="14">
        <v>2022</v>
      </c>
      <c r="CZ505" s="36">
        <v>45444</v>
      </c>
      <c r="DA505" s="14" t="s">
        <v>61</v>
      </c>
      <c r="DB505" s="14">
        <v>12</v>
      </c>
      <c r="DC505" s="14">
        <v>1</v>
      </c>
      <c r="DD505" s="14" t="s">
        <v>2173</v>
      </c>
      <c r="DE505" s="14" t="s">
        <v>373</v>
      </c>
    </row>
    <row r="506" spans="1:109">
      <c r="A506" s="14" t="s">
        <v>1877</v>
      </c>
      <c r="C506" s="14" t="s">
        <v>1438</v>
      </c>
      <c r="D506" s="14" t="s">
        <v>898</v>
      </c>
      <c r="E506" s="14" t="s">
        <v>673</v>
      </c>
      <c r="H506" s="14" t="s">
        <v>703</v>
      </c>
      <c r="I506" s="14" t="s">
        <v>3146</v>
      </c>
      <c r="M506" s="14">
        <v>100</v>
      </c>
      <c r="P506" s="14">
        <v>6</v>
      </c>
      <c r="Q506" s="14">
        <v>67</v>
      </c>
      <c r="X506" s="14">
        <v>41.18</v>
      </c>
      <c r="Y506" s="14">
        <v>5.78</v>
      </c>
      <c r="AC506" s="14">
        <v>69</v>
      </c>
      <c r="AD506" s="34">
        <f>AC506/M506</f>
        <v>0.69</v>
      </c>
      <c r="AJ506" s="35">
        <v>38.56</v>
      </c>
      <c r="AK506" s="35">
        <v>31.15</v>
      </c>
      <c r="CW506" s="14" t="s">
        <v>1434</v>
      </c>
      <c r="CX506" s="14" t="s">
        <v>1435</v>
      </c>
      <c r="CY506" s="14">
        <v>2024</v>
      </c>
      <c r="CZ506" s="36" t="s">
        <v>53</v>
      </c>
      <c r="DA506" s="14" t="s">
        <v>13</v>
      </c>
      <c r="DB506" s="14">
        <v>271</v>
      </c>
      <c r="DC506" s="14">
        <v>7</v>
      </c>
      <c r="DD506" s="14" t="s">
        <v>1436</v>
      </c>
      <c r="DE506" s="14" t="s">
        <v>1437</v>
      </c>
    </row>
    <row r="507" spans="1:109">
      <c r="A507" s="14" t="s">
        <v>1878</v>
      </c>
      <c r="C507" s="14" t="s">
        <v>1442</v>
      </c>
      <c r="D507" s="14" t="s">
        <v>820</v>
      </c>
      <c r="E507" s="14" t="s">
        <v>674</v>
      </c>
      <c r="F507" s="14" t="s">
        <v>2750</v>
      </c>
      <c r="H507" s="14" t="s">
        <v>2573</v>
      </c>
      <c r="I507" s="14" t="s">
        <v>4072</v>
      </c>
      <c r="M507" s="14">
        <v>30</v>
      </c>
      <c r="Q507" s="14">
        <v>63.4</v>
      </c>
      <c r="R507" s="14">
        <v>11.5</v>
      </c>
      <c r="V507" s="14">
        <v>13</v>
      </c>
      <c r="W507" s="14">
        <f>V507/M507</f>
        <v>0.43333333333333335</v>
      </c>
      <c r="X507" s="14">
        <v>37.6</v>
      </c>
      <c r="Y507" s="14">
        <v>7.2</v>
      </c>
      <c r="AE507" s="35">
        <f>1.2*12</f>
        <v>14.399999999999999</v>
      </c>
      <c r="AF507" s="35">
        <f>1.08*12</f>
        <v>12.96</v>
      </c>
      <c r="AO507" s="35">
        <f>3.4*12</f>
        <v>40.799999999999997</v>
      </c>
      <c r="AP507" s="35">
        <f>1.4*12</f>
        <v>16.799999999999997</v>
      </c>
      <c r="CW507" s="14" t="s">
        <v>1439</v>
      </c>
      <c r="CX507" s="14" t="s">
        <v>1440</v>
      </c>
      <c r="CY507" s="14">
        <v>2021</v>
      </c>
      <c r="CZ507" s="36" t="s">
        <v>25</v>
      </c>
      <c r="DA507" s="14" t="s">
        <v>141</v>
      </c>
      <c r="DB507" s="14">
        <v>8</v>
      </c>
      <c r="DC507" s="14">
        <v>2</v>
      </c>
      <c r="DE507" s="14" t="s">
        <v>1441</v>
      </c>
    </row>
    <row r="508" spans="1:109" ht="20">
      <c r="A508" s="13" t="s">
        <v>3403</v>
      </c>
      <c r="B508" s="13"/>
      <c r="C508" s="13" t="s">
        <v>3332</v>
      </c>
      <c r="D508" s="14" t="s">
        <v>831</v>
      </c>
      <c r="E508" s="13" t="s">
        <v>674</v>
      </c>
      <c r="F508" s="13" t="s">
        <v>3871</v>
      </c>
      <c r="G508" s="13"/>
      <c r="H508" s="14" t="s">
        <v>3872</v>
      </c>
      <c r="I508" s="13" t="s">
        <v>3873</v>
      </c>
      <c r="J508" s="13" t="s">
        <v>3718</v>
      </c>
      <c r="K508" s="13"/>
      <c r="L508" s="13" t="s">
        <v>3875</v>
      </c>
      <c r="M508" s="13">
        <v>132</v>
      </c>
      <c r="N508" s="13">
        <v>0</v>
      </c>
      <c r="O508" s="15">
        <v>0</v>
      </c>
      <c r="P508" s="13">
        <v>0</v>
      </c>
      <c r="Q508" s="13">
        <v>59.8</v>
      </c>
      <c r="R508" s="13">
        <v>10.5</v>
      </c>
      <c r="S508" s="13"/>
      <c r="T508" s="13"/>
      <c r="U508" s="13"/>
      <c r="V508" s="13">
        <v>76</v>
      </c>
      <c r="W508" s="2">
        <f>V508/M508</f>
        <v>0.5757575757575758</v>
      </c>
      <c r="X508" s="13">
        <v>38.799999999999997</v>
      </c>
      <c r="Y508" s="13">
        <v>5.4</v>
      </c>
      <c r="Z508" s="13"/>
      <c r="AA508" s="13"/>
      <c r="AB508" s="13"/>
      <c r="AC508" s="13">
        <v>101</v>
      </c>
      <c r="AD508" s="13">
        <f>AC508/M508</f>
        <v>0.76515151515151514</v>
      </c>
      <c r="AE508" s="13">
        <v>17.899999999999999</v>
      </c>
      <c r="AF508" s="13">
        <v>20.6</v>
      </c>
      <c r="AG508" s="13"/>
      <c r="AH508" s="13"/>
      <c r="AI508" s="13"/>
      <c r="AJ508" s="13">
        <v>40.5</v>
      </c>
      <c r="AK508" s="13">
        <v>28</v>
      </c>
      <c r="AL508" s="13"/>
      <c r="AM508" s="13"/>
      <c r="AN508" s="13"/>
      <c r="AO508" s="13"/>
      <c r="AP508" s="13"/>
      <c r="AQ508" s="13"/>
      <c r="AR508" s="13"/>
      <c r="AS508" s="13"/>
      <c r="AT508" s="13">
        <v>95</v>
      </c>
      <c r="AU508" s="14" t="s">
        <v>3832</v>
      </c>
      <c r="AV508" s="13" t="s">
        <v>2490</v>
      </c>
      <c r="AW508" s="13"/>
      <c r="AX508" s="13"/>
      <c r="AY508" s="13"/>
      <c r="AZ508" s="13"/>
      <c r="BA508" s="16" t="s">
        <v>3876</v>
      </c>
      <c r="BB508" s="13">
        <v>1.85</v>
      </c>
      <c r="BC508" s="13"/>
      <c r="BD508" s="13"/>
      <c r="BE508" s="16"/>
      <c r="BF508" s="13"/>
      <c r="BG508" s="13"/>
      <c r="BH508" s="13"/>
      <c r="BI508" s="13"/>
      <c r="BJ508" s="16"/>
      <c r="BK508" s="13"/>
      <c r="BL508" s="13"/>
      <c r="BM508" s="13"/>
      <c r="BN508" s="16" t="s">
        <v>2231</v>
      </c>
      <c r="BO508" s="13"/>
      <c r="BP508" s="13"/>
      <c r="BQ508" s="13">
        <v>0.41</v>
      </c>
      <c r="BR508" s="13"/>
      <c r="BS508" s="13"/>
      <c r="BT508" s="13"/>
      <c r="BU508" s="13" t="s">
        <v>701</v>
      </c>
      <c r="BV508" s="13"/>
      <c r="BW508" s="13"/>
      <c r="BX508" s="13"/>
      <c r="BY508" s="13"/>
      <c r="BZ508" s="13"/>
      <c r="CA508" s="13"/>
      <c r="CB508" s="13"/>
      <c r="CC508" s="13">
        <v>-0.34</v>
      </c>
      <c r="CD508" s="13"/>
      <c r="CE508" s="13"/>
      <c r="CF508" s="13"/>
      <c r="CG508" s="13" t="s">
        <v>701</v>
      </c>
      <c r="CH508" s="13"/>
      <c r="CI508" s="13"/>
      <c r="CJ508" s="13" t="s">
        <v>3877</v>
      </c>
      <c r="CK508" s="13">
        <v>0.23200000000000001</v>
      </c>
      <c r="CL508" s="13"/>
      <c r="CM508" s="13"/>
      <c r="CN508" s="13">
        <v>7.6E-3</v>
      </c>
      <c r="CO508" s="13"/>
      <c r="CP508" s="13"/>
      <c r="CQ508" s="13"/>
      <c r="CR508" s="13"/>
      <c r="CS508" s="13"/>
      <c r="CT508" s="13"/>
      <c r="CU508" s="13"/>
      <c r="CV508" s="13"/>
      <c r="CW508" s="13" t="s">
        <v>3548</v>
      </c>
      <c r="CX508" s="13" t="s">
        <v>3549</v>
      </c>
      <c r="CY508" s="13">
        <v>2025</v>
      </c>
      <c r="CZ508" s="21">
        <v>45694</v>
      </c>
      <c r="DA508" s="13" t="s">
        <v>195</v>
      </c>
      <c r="DB508" s="13"/>
      <c r="DC508" s="13"/>
      <c r="DD508" s="13"/>
      <c r="DE508" s="13" t="s">
        <v>3258</v>
      </c>
    </row>
    <row r="509" spans="1:109" ht="20">
      <c r="A509" s="13" t="s">
        <v>3403</v>
      </c>
      <c r="B509" s="13"/>
      <c r="C509" s="13" t="s">
        <v>3332</v>
      </c>
      <c r="D509" s="14" t="s">
        <v>831</v>
      </c>
      <c r="E509" s="13" t="s">
        <v>674</v>
      </c>
      <c r="F509" s="13" t="s">
        <v>684</v>
      </c>
      <c r="G509" s="13" t="s">
        <v>3878</v>
      </c>
      <c r="H509" s="14" t="s">
        <v>3872</v>
      </c>
      <c r="I509" s="13" t="s">
        <v>3873</v>
      </c>
      <c r="J509" s="13" t="s">
        <v>3718</v>
      </c>
      <c r="K509" s="13"/>
      <c r="L509" s="13"/>
      <c r="M509" s="13">
        <v>132</v>
      </c>
      <c r="N509" s="13">
        <v>0</v>
      </c>
      <c r="O509" s="15">
        <v>0</v>
      </c>
      <c r="P509" s="13">
        <v>0</v>
      </c>
      <c r="Q509" s="13">
        <v>59.8</v>
      </c>
      <c r="R509" s="13">
        <v>10.5</v>
      </c>
      <c r="S509" s="13"/>
      <c r="T509" s="13"/>
      <c r="U509" s="13"/>
      <c r="V509" s="13">
        <v>76</v>
      </c>
      <c r="W509" s="2">
        <f>V509/M509</f>
        <v>0.5757575757575758</v>
      </c>
      <c r="X509" s="13">
        <v>38.799999999999997</v>
      </c>
      <c r="Y509" s="13">
        <v>5.4</v>
      </c>
      <c r="Z509" s="13"/>
      <c r="AA509" s="13"/>
      <c r="AB509" s="13"/>
      <c r="AC509" s="13">
        <v>101</v>
      </c>
      <c r="AD509" s="13">
        <f>AC509/M509</f>
        <v>0.76515151515151514</v>
      </c>
      <c r="AE509" s="13">
        <v>17.899999999999999</v>
      </c>
      <c r="AF509" s="13">
        <v>20.6</v>
      </c>
      <c r="AG509" s="13"/>
      <c r="AH509" s="13"/>
      <c r="AI509" s="13"/>
      <c r="AJ509" s="13">
        <v>40.5</v>
      </c>
      <c r="AK509" s="13">
        <v>28</v>
      </c>
      <c r="AL509" s="13"/>
      <c r="AM509" s="13"/>
      <c r="AN509" s="13"/>
      <c r="AO509" s="13"/>
      <c r="AP509" s="13"/>
      <c r="AQ509" s="13"/>
      <c r="AR509" s="13"/>
      <c r="AS509" s="13"/>
      <c r="AT509" s="13">
        <v>95</v>
      </c>
      <c r="AU509" s="14" t="s">
        <v>3832</v>
      </c>
      <c r="AV509" s="13" t="s">
        <v>2490</v>
      </c>
      <c r="AW509" s="13"/>
      <c r="AX509" s="13">
        <v>2.87</v>
      </c>
      <c r="AY509" s="13">
        <v>1.27</v>
      </c>
      <c r="AZ509" s="13">
        <v>6.48</v>
      </c>
      <c r="BA509" s="16"/>
      <c r="BB509" s="13"/>
      <c r="BC509" s="13"/>
      <c r="BD509" s="13"/>
      <c r="BE509" s="16"/>
      <c r="BF509" s="13"/>
      <c r="BG509" s="13"/>
      <c r="BH509" s="13"/>
      <c r="BI509" s="13"/>
      <c r="BJ509" s="16"/>
      <c r="BK509" s="13"/>
      <c r="BL509" s="13"/>
      <c r="BM509" s="13"/>
      <c r="BN509" s="16" t="s">
        <v>2231</v>
      </c>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t="s">
        <v>3548</v>
      </c>
      <c r="CX509" s="13" t="s">
        <v>3549</v>
      </c>
      <c r="CY509" s="13">
        <v>2025</v>
      </c>
      <c r="CZ509" s="21">
        <v>45694</v>
      </c>
      <c r="DA509" s="13" t="s">
        <v>195</v>
      </c>
      <c r="DB509" s="13"/>
      <c r="DC509" s="13"/>
      <c r="DD509" s="13"/>
      <c r="DE509" s="13" t="s">
        <v>3258</v>
      </c>
    </row>
    <row r="510" spans="1:109" ht="20">
      <c r="A510" s="13" t="s">
        <v>3403</v>
      </c>
      <c r="B510" s="13"/>
      <c r="C510" s="13" t="s">
        <v>3332</v>
      </c>
      <c r="D510" s="14" t="s">
        <v>831</v>
      </c>
      <c r="E510" s="13" t="s">
        <v>674</v>
      </c>
      <c r="F510" s="13" t="s">
        <v>675</v>
      </c>
      <c r="G510" s="13"/>
      <c r="H510" s="14" t="s">
        <v>3872</v>
      </c>
      <c r="I510" s="13" t="s">
        <v>3873</v>
      </c>
      <c r="J510" s="13" t="s">
        <v>652</v>
      </c>
      <c r="K510" s="13"/>
      <c r="L510" s="13" t="s">
        <v>639</v>
      </c>
      <c r="M510" s="13">
        <v>125</v>
      </c>
      <c r="N510" s="13">
        <v>0</v>
      </c>
      <c r="O510" s="15">
        <v>0</v>
      </c>
      <c r="P510" s="13">
        <v>0</v>
      </c>
      <c r="Q510" s="13">
        <v>59.8</v>
      </c>
      <c r="R510" s="13">
        <v>10.5</v>
      </c>
      <c r="S510" s="13"/>
      <c r="T510" s="13"/>
      <c r="U510" s="13"/>
      <c r="V510" s="13"/>
      <c r="W510" s="2">
        <v>0.57599999999999996</v>
      </c>
      <c r="X510" s="13">
        <v>38.799999999999997</v>
      </c>
      <c r="Y510" s="13">
        <v>5.4</v>
      </c>
      <c r="Z510" s="13"/>
      <c r="AA510" s="13"/>
      <c r="AB510" s="13"/>
      <c r="AC510" s="13"/>
      <c r="AD510" s="13">
        <v>0.76515151515151514</v>
      </c>
      <c r="AE510" s="13">
        <v>17.899999999999999</v>
      </c>
      <c r="AF510" s="13">
        <v>20.6</v>
      </c>
      <c r="AG510" s="13"/>
      <c r="AH510" s="13"/>
      <c r="AI510" s="13"/>
      <c r="AJ510" s="13">
        <v>40.5</v>
      </c>
      <c r="AK510" s="13">
        <v>28</v>
      </c>
      <c r="AL510" s="13"/>
      <c r="AM510" s="13"/>
      <c r="AN510" s="13"/>
      <c r="AO510" s="13"/>
      <c r="AP510" s="13"/>
      <c r="AQ510" s="13"/>
      <c r="AR510" s="13"/>
      <c r="AS510" s="13"/>
      <c r="AT510" s="13">
        <v>95</v>
      </c>
      <c r="AU510" s="14" t="s">
        <v>3832</v>
      </c>
      <c r="AV510" s="13" t="s">
        <v>2490</v>
      </c>
      <c r="AW510" s="13"/>
      <c r="AX510" s="13"/>
      <c r="AY510" s="13"/>
      <c r="AZ510" s="13"/>
      <c r="BA510" s="16"/>
      <c r="BB510" s="13"/>
      <c r="BC510" s="13"/>
      <c r="BD510" s="13"/>
      <c r="BE510" s="16"/>
      <c r="BF510" s="13"/>
      <c r="BG510" s="13"/>
      <c r="BH510" s="13"/>
      <c r="BI510" s="13"/>
      <c r="BJ510" s="16"/>
      <c r="BK510" s="13"/>
      <c r="BL510" s="13"/>
      <c r="BM510" s="13"/>
      <c r="BN510" s="16" t="s">
        <v>2231</v>
      </c>
      <c r="BO510" s="13"/>
      <c r="BP510" s="13"/>
      <c r="BQ510" s="13">
        <v>0.54500000000000004</v>
      </c>
      <c r="BR510" s="13"/>
      <c r="BS510" s="13"/>
      <c r="BT510" s="13"/>
      <c r="BU510" s="13" t="s">
        <v>701</v>
      </c>
      <c r="BV510" s="13"/>
      <c r="BW510" s="13"/>
      <c r="BX510" s="13"/>
      <c r="BY510" s="13"/>
      <c r="BZ510" s="13"/>
      <c r="CA510" s="13"/>
      <c r="CB510" s="13"/>
      <c r="CC510" s="13">
        <v>-0.36699999999999999</v>
      </c>
      <c r="CD510" s="13"/>
      <c r="CE510" s="13"/>
      <c r="CF510" s="13"/>
      <c r="CG510" s="13" t="s">
        <v>701</v>
      </c>
      <c r="CH510" s="13"/>
      <c r="CI510" s="13"/>
      <c r="CJ510" s="13"/>
      <c r="CK510" s="13"/>
      <c r="CL510" s="13"/>
      <c r="CM510" s="13"/>
      <c r="CN510" s="13"/>
      <c r="CO510" s="13"/>
      <c r="CP510" s="13"/>
      <c r="CQ510" s="13"/>
      <c r="CR510" s="13"/>
      <c r="CS510" s="13"/>
      <c r="CT510" s="13"/>
      <c r="CU510" s="13"/>
      <c r="CV510" s="13"/>
      <c r="CW510" s="13" t="s">
        <v>3548</v>
      </c>
      <c r="CX510" s="13" t="s">
        <v>3549</v>
      </c>
      <c r="CY510" s="13">
        <v>2025</v>
      </c>
      <c r="CZ510" s="21">
        <v>45694</v>
      </c>
      <c r="DA510" s="13" t="s">
        <v>195</v>
      </c>
      <c r="DB510" s="13"/>
      <c r="DC510" s="13"/>
      <c r="DD510" s="13"/>
      <c r="DE510" s="13" t="s">
        <v>3258</v>
      </c>
    </row>
    <row r="511" spans="1:109" ht="20">
      <c r="A511" s="13" t="s">
        <v>3403</v>
      </c>
      <c r="B511" s="13"/>
      <c r="C511" s="13" t="s">
        <v>3332</v>
      </c>
      <c r="D511" s="14" t="s">
        <v>831</v>
      </c>
      <c r="E511" s="13" t="s">
        <v>672</v>
      </c>
      <c r="F511" s="13" t="s">
        <v>767</v>
      </c>
      <c r="G511" s="13"/>
      <c r="H511" s="14" t="s">
        <v>3872</v>
      </c>
      <c r="I511" s="13" t="s">
        <v>3873</v>
      </c>
      <c r="J511" s="13" t="s">
        <v>4027</v>
      </c>
      <c r="K511" s="13" t="s">
        <v>3879</v>
      </c>
      <c r="L511" s="13" t="s">
        <v>639</v>
      </c>
      <c r="M511" s="13">
        <v>124</v>
      </c>
      <c r="N511" s="13">
        <v>0</v>
      </c>
      <c r="O511" s="15">
        <v>0</v>
      </c>
      <c r="P511" s="13">
        <v>0</v>
      </c>
      <c r="Q511" s="13">
        <v>59.8</v>
      </c>
      <c r="R511" s="13">
        <v>10.5</v>
      </c>
      <c r="S511" s="13"/>
      <c r="T511" s="13"/>
      <c r="U511" s="13"/>
      <c r="V511" s="13"/>
      <c r="W511" s="2">
        <v>0.57599999999999996</v>
      </c>
      <c r="X511" s="13">
        <v>38.799999999999997</v>
      </c>
      <c r="Y511" s="13">
        <v>5.4</v>
      </c>
      <c r="Z511" s="13"/>
      <c r="AA511" s="13"/>
      <c r="AB511" s="13"/>
      <c r="AC511" s="13"/>
      <c r="AD511" s="13">
        <v>0.76515151515151514</v>
      </c>
      <c r="AE511" s="13">
        <v>17.899999999999999</v>
      </c>
      <c r="AF511" s="13">
        <v>20.6</v>
      </c>
      <c r="AG511" s="13"/>
      <c r="AH511" s="13"/>
      <c r="AI511" s="13"/>
      <c r="AJ511" s="13">
        <v>40.5</v>
      </c>
      <c r="AK511" s="13">
        <v>28</v>
      </c>
      <c r="AL511" s="13"/>
      <c r="AM511" s="13"/>
      <c r="AN511" s="13"/>
      <c r="AO511" s="13"/>
      <c r="AP511" s="13"/>
      <c r="AQ511" s="13"/>
      <c r="AR511" s="13"/>
      <c r="AS511" s="13"/>
      <c r="AT511" s="13"/>
      <c r="AU511" s="14" t="s">
        <v>3832</v>
      </c>
      <c r="AV511" s="13" t="s">
        <v>2490</v>
      </c>
      <c r="AW511" s="13"/>
      <c r="AX511" s="13"/>
      <c r="AY511" s="13"/>
      <c r="AZ511" s="13"/>
      <c r="BA511" s="16"/>
      <c r="BB511" s="13"/>
      <c r="BC511" s="13"/>
      <c r="BD511" s="13"/>
      <c r="BE511" s="16"/>
      <c r="BF511" s="13"/>
      <c r="BG511" s="13"/>
      <c r="BH511" s="13"/>
      <c r="BI511" s="13"/>
      <c r="BJ511" s="16"/>
      <c r="BK511" s="13"/>
      <c r="BL511" s="13"/>
      <c r="BM511" s="13"/>
      <c r="BN511" s="16" t="s">
        <v>2231</v>
      </c>
      <c r="BO511" s="13"/>
      <c r="BP511" s="13"/>
      <c r="BQ511" s="13">
        <v>0.33300000000000002</v>
      </c>
      <c r="BR511" s="13"/>
      <c r="BS511" s="13"/>
      <c r="BT511" s="13"/>
      <c r="BU511" s="13">
        <v>2.0000000000000001E-4</v>
      </c>
      <c r="BV511" s="13"/>
      <c r="BW511" s="13"/>
      <c r="BX511" s="13"/>
      <c r="BY511" s="13"/>
      <c r="BZ511" s="13"/>
      <c r="CA511" s="13"/>
      <c r="CB511" s="13"/>
      <c r="CC511" s="13">
        <v>-0.36699999999999999</v>
      </c>
      <c r="CD511" s="13"/>
      <c r="CE511" s="13"/>
      <c r="CF511" s="13"/>
      <c r="CG511" s="13" t="s">
        <v>701</v>
      </c>
      <c r="CH511" s="13"/>
      <c r="CI511" s="13"/>
      <c r="CJ511" s="13"/>
      <c r="CK511" s="13"/>
      <c r="CL511" s="13"/>
      <c r="CM511" s="13"/>
      <c r="CN511" s="13"/>
      <c r="CO511" s="13"/>
      <c r="CP511" s="13"/>
      <c r="CQ511" s="13"/>
      <c r="CR511" s="13"/>
      <c r="CS511" s="13"/>
      <c r="CT511" s="13"/>
      <c r="CU511" s="13"/>
      <c r="CV511" s="13"/>
      <c r="CW511" s="13" t="s">
        <v>3548</v>
      </c>
      <c r="CX511" s="13" t="s">
        <v>3549</v>
      </c>
      <c r="CY511" s="13">
        <v>2025</v>
      </c>
      <c r="CZ511" s="21">
        <v>45694</v>
      </c>
      <c r="DA511" s="13" t="s">
        <v>195</v>
      </c>
      <c r="DB511" s="13"/>
      <c r="DC511" s="13"/>
      <c r="DD511" s="13"/>
      <c r="DE511" s="13" t="s">
        <v>3258</v>
      </c>
    </row>
    <row r="512" spans="1:109" ht="20">
      <c r="A512" s="13" t="s">
        <v>3403</v>
      </c>
      <c r="B512" s="13"/>
      <c r="C512" s="13" t="s">
        <v>3332</v>
      </c>
      <c r="D512" s="14" t="s">
        <v>831</v>
      </c>
      <c r="E512" s="13" t="s">
        <v>672</v>
      </c>
      <c r="F512" s="13" t="s">
        <v>2726</v>
      </c>
      <c r="G512" s="13"/>
      <c r="H512" s="14" t="s">
        <v>3872</v>
      </c>
      <c r="I512" s="13" t="s">
        <v>3873</v>
      </c>
      <c r="J512" s="13" t="s">
        <v>4027</v>
      </c>
      <c r="K512" s="13" t="s">
        <v>3879</v>
      </c>
      <c r="L512" s="13" t="s">
        <v>639</v>
      </c>
      <c r="M512" s="13">
        <v>124</v>
      </c>
      <c r="N512" s="13">
        <v>0</v>
      </c>
      <c r="O512" s="15">
        <v>0</v>
      </c>
      <c r="P512" s="13">
        <v>0</v>
      </c>
      <c r="Q512" s="13">
        <v>59.8</v>
      </c>
      <c r="R512" s="13">
        <v>10.5</v>
      </c>
      <c r="S512" s="13"/>
      <c r="T512" s="13"/>
      <c r="U512" s="13"/>
      <c r="V512" s="13"/>
      <c r="W512" s="2">
        <v>0.57599999999999996</v>
      </c>
      <c r="X512" s="13">
        <v>38.799999999999997</v>
      </c>
      <c r="Y512" s="13">
        <v>5.4</v>
      </c>
      <c r="Z512" s="13"/>
      <c r="AA512" s="13"/>
      <c r="AB512" s="13"/>
      <c r="AC512" s="13"/>
      <c r="AD512" s="13">
        <v>0.76515151515151514</v>
      </c>
      <c r="AE512" s="13">
        <v>17.899999999999999</v>
      </c>
      <c r="AF512" s="13">
        <v>20.6</v>
      </c>
      <c r="AG512" s="13"/>
      <c r="AH512" s="13"/>
      <c r="AI512" s="13"/>
      <c r="AJ512" s="13">
        <v>40.5</v>
      </c>
      <c r="AK512" s="13">
        <v>28</v>
      </c>
      <c r="AL512" s="13"/>
      <c r="AM512" s="13"/>
      <c r="AN512" s="13"/>
      <c r="AO512" s="13"/>
      <c r="AP512" s="13"/>
      <c r="AQ512" s="13"/>
      <c r="AR512" s="13"/>
      <c r="AS512" s="13"/>
      <c r="AT512" s="13"/>
      <c r="AU512" s="14" t="s">
        <v>3832</v>
      </c>
      <c r="AV512" s="13" t="s">
        <v>2490</v>
      </c>
      <c r="AW512" s="13"/>
      <c r="AX512" s="13"/>
      <c r="AY512" s="13"/>
      <c r="AZ512" s="13"/>
      <c r="BA512" s="16"/>
      <c r="BB512" s="13"/>
      <c r="BC512" s="13"/>
      <c r="BD512" s="13"/>
      <c r="BE512" s="16"/>
      <c r="BF512" s="13"/>
      <c r="BG512" s="13"/>
      <c r="BH512" s="13"/>
      <c r="BI512" s="13"/>
      <c r="BJ512" s="16"/>
      <c r="BK512" s="13"/>
      <c r="BL512" s="13"/>
      <c r="BM512" s="13"/>
      <c r="BN512" s="16" t="s">
        <v>2231</v>
      </c>
      <c r="BO512" s="13"/>
      <c r="BP512" s="13"/>
      <c r="BQ512" s="13">
        <v>0.20899999999999999</v>
      </c>
      <c r="BR512" s="13"/>
      <c r="BS512" s="13"/>
      <c r="BT512" s="13"/>
      <c r="BU512" s="13">
        <v>1.9699999999999999E-2</v>
      </c>
      <c r="BV512" s="13"/>
      <c r="BW512" s="13"/>
      <c r="BX512" s="13"/>
      <c r="BY512" s="13"/>
      <c r="BZ512" s="13"/>
      <c r="CA512" s="13"/>
      <c r="CB512" s="13"/>
      <c r="CC512" s="13">
        <v>-0.36699999999999999</v>
      </c>
      <c r="CD512" s="13"/>
      <c r="CE512" s="13"/>
      <c r="CF512" s="13"/>
      <c r="CG512" s="13" t="s">
        <v>701</v>
      </c>
      <c r="CH512" s="13"/>
      <c r="CI512" s="13"/>
      <c r="CJ512" s="13"/>
      <c r="CK512" s="13"/>
      <c r="CL512" s="13"/>
      <c r="CM512" s="13"/>
      <c r="CN512" s="13"/>
      <c r="CO512" s="13"/>
      <c r="CP512" s="13"/>
      <c r="CQ512" s="13"/>
      <c r="CR512" s="13"/>
      <c r="CS512" s="13"/>
      <c r="CT512" s="13"/>
      <c r="CU512" s="13"/>
      <c r="CV512" s="13"/>
      <c r="CW512" s="13" t="s">
        <v>3548</v>
      </c>
      <c r="CX512" s="13" t="s">
        <v>3549</v>
      </c>
      <c r="CY512" s="13">
        <v>2025</v>
      </c>
      <c r="CZ512" s="21">
        <v>45694</v>
      </c>
      <c r="DA512" s="13" t="s">
        <v>195</v>
      </c>
      <c r="DB512" s="13"/>
      <c r="DC512" s="13"/>
      <c r="DD512" s="13"/>
      <c r="DE512" s="13" t="s">
        <v>3258</v>
      </c>
    </row>
    <row r="513" spans="1:109" ht="20">
      <c r="A513" s="13" t="s">
        <v>3403</v>
      </c>
      <c r="B513" s="13"/>
      <c r="C513" s="13" t="s">
        <v>3332</v>
      </c>
      <c r="D513" s="14" t="s">
        <v>831</v>
      </c>
      <c r="E513" s="13" t="s">
        <v>672</v>
      </c>
      <c r="F513" s="13" t="s">
        <v>2718</v>
      </c>
      <c r="G513" s="13"/>
      <c r="H513" s="14" t="s">
        <v>3872</v>
      </c>
      <c r="I513" s="13" t="s">
        <v>3873</v>
      </c>
      <c r="J513" s="13" t="s">
        <v>4027</v>
      </c>
      <c r="K513" s="13" t="s">
        <v>3879</v>
      </c>
      <c r="L513" s="13" t="s">
        <v>639</v>
      </c>
      <c r="M513" s="13">
        <v>124</v>
      </c>
      <c r="N513" s="13">
        <v>0</v>
      </c>
      <c r="O513" s="15">
        <v>0</v>
      </c>
      <c r="P513" s="13">
        <v>0</v>
      </c>
      <c r="Q513" s="13">
        <v>59.8</v>
      </c>
      <c r="R513" s="13">
        <v>10.5</v>
      </c>
      <c r="S513" s="13"/>
      <c r="T513" s="13"/>
      <c r="U513" s="13"/>
      <c r="V513" s="13"/>
      <c r="W513" s="2">
        <v>0.57599999999999996</v>
      </c>
      <c r="X513" s="13">
        <v>38.799999999999997</v>
      </c>
      <c r="Y513" s="13">
        <v>5.4</v>
      </c>
      <c r="Z513" s="13"/>
      <c r="AA513" s="13"/>
      <c r="AB513" s="13"/>
      <c r="AC513" s="13"/>
      <c r="AD513" s="13">
        <v>0.76515151515151514</v>
      </c>
      <c r="AE513" s="13">
        <v>17.899999999999999</v>
      </c>
      <c r="AF513" s="13">
        <v>20.6</v>
      </c>
      <c r="AG513" s="13"/>
      <c r="AH513" s="13"/>
      <c r="AI513" s="13"/>
      <c r="AJ513" s="13">
        <v>40.5</v>
      </c>
      <c r="AK513" s="13">
        <v>28</v>
      </c>
      <c r="AL513" s="13"/>
      <c r="AM513" s="13"/>
      <c r="AN513" s="13"/>
      <c r="AO513" s="13"/>
      <c r="AP513" s="13"/>
      <c r="AQ513" s="13"/>
      <c r="AR513" s="13"/>
      <c r="AS513" s="13"/>
      <c r="AT513" s="13"/>
      <c r="AU513" s="14" t="s">
        <v>3832</v>
      </c>
      <c r="AV513" s="13" t="s">
        <v>2490</v>
      </c>
      <c r="AW513" s="13"/>
      <c r="AX513" s="13"/>
      <c r="AY513" s="13"/>
      <c r="AZ513" s="13"/>
      <c r="BA513" s="16"/>
      <c r="BB513" s="13"/>
      <c r="BC513" s="13"/>
      <c r="BD513" s="13"/>
      <c r="BE513" s="16"/>
      <c r="BF513" s="13"/>
      <c r="BG513" s="13"/>
      <c r="BH513" s="13"/>
      <c r="BI513" s="13"/>
      <c r="BJ513" s="16"/>
      <c r="BK513" s="13"/>
      <c r="BL513" s="13"/>
      <c r="BM513" s="13"/>
      <c r="BN513" s="16" t="s">
        <v>2231</v>
      </c>
      <c r="BO513" s="13"/>
      <c r="BP513" s="13"/>
      <c r="BQ513" s="13">
        <v>0.16200000000000001</v>
      </c>
      <c r="BR513" s="13"/>
      <c r="BS513" s="13"/>
      <c r="BT513" s="13"/>
      <c r="BU513" s="13">
        <v>7.1999999999999995E-2</v>
      </c>
      <c r="BV513" s="13"/>
      <c r="BW513" s="13"/>
      <c r="BX513" s="13"/>
      <c r="BY513" s="13"/>
      <c r="BZ513" s="13"/>
      <c r="CA513" s="13"/>
      <c r="CB513" s="13"/>
      <c r="CC513" s="13">
        <v>-0.36699999999999999</v>
      </c>
      <c r="CD513" s="13"/>
      <c r="CE513" s="13"/>
      <c r="CF513" s="13"/>
      <c r="CG513" s="13" t="s">
        <v>701</v>
      </c>
      <c r="CH513" s="13"/>
      <c r="CI513" s="13"/>
      <c r="CJ513" s="13"/>
      <c r="CK513" s="13"/>
      <c r="CL513" s="13"/>
      <c r="CM513" s="13"/>
      <c r="CN513" s="13"/>
      <c r="CO513" s="13"/>
      <c r="CP513" s="13"/>
      <c r="CQ513" s="13"/>
      <c r="CR513" s="13"/>
      <c r="CS513" s="13"/>
      <c r="CT513" s="13"/>
      <c r="CU513" s="13"/>
      <c r="CV513" s="13"/>
      <c r="CW513" s="13" t="s">
        <v>3548</v>
      </c>
      <c r="CX513" s="13" t="s">
        <v>3549</v>
      </c>
      <c r="CY513" s="13">
        <v>2025</v>
      </c>
      <c r="CZ513" s="21">
        <v>45694</v>
      </c>
      <c r="DA513" s="13" t="s">
        <v>195</v>
      </c>
      <c r="DB513" s="13"/>
      <c r="DC513" s="13"/>
      <c r="DD513" s="13"/>
      <c r="DE513" s="13" t="s">
        <v>3258</v>
      </c>
    </row>
    <row r="514" spans="1:109" ht="20">
      <c r="A514" s="13" t="s">
        <v>3404</v>
      </c>
      <c r="B514" s="13"/>
      <c r="C514" s="13" t="s">
        <v>3333</v>
      </c>
      <c r="E514" s="13" t="s">
        <v>3881</v>
      </c>
      <c r="F514" s="13" t="s">
        <v>3882</v>
      </c>
      <c r="G514" s="13"/>
      <c r="H514" s="14" t="s">
        <v>703</v>
      </c>
      <c r="I514" s="13" t="s">
        <v>3880</v>
      </c>
      <c r="J514" s="13"/>
      <c r="K514" s="13"/>
      <c r="L514" s="13"/>
      <c r="M514" s="13"/>
      <c r="N514" s="13"/>
      <c r="O514" s="15"/>
      <c r="P514" s="13"/>
      <c r="Q514" s="13"/>
      <c r="R514" s="13"/>
      <c r="S514" s="13"/>
      <c r="T514" s="13"/>
      <c r="U514" s="13"/>
      <c r="V514" s="13"/>
      <c r="W514" s="2"/>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6"/>
      <c r="BB514" s="13"/>
      <c r="BC514" s="13"/>
      <c r="BD514" s="13"/>
      <c r="BE514" s="16"/>
      <c r="BF514" s="13"/>
      <c r="BG514" s="13"/>
      <c r="BH514" s="13"/>
      <c r="BI514" s="13"/>
      <c r="BJ514" s="16"/>
      <c r="BK514" s="13"/>
      <c r="BL514" s="13"/>
      <c r="BM514" s="13"/>
      <c r="BN514" s="16"/>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t="s">
        <v>3550</v>
      </c>
      <c r="CX514" s="13" t="s">
        <v>3551</v>
      </c>
      <c r="CY514" s="13">
        <v>2024</v>
      </c>
      <c r="CZ514" s="13"/>
      <c r="DA514" s="13" t="s">
        <v>3552</v>
      </c>
      <c r="DB514" s="13">
        <v>147</v>
      </c>
      <c r="DC514" s="13">
        <v>5</v>
      </c>
      <c r="DD514" s="13" t="s">
        <v>3553</v>
      </c>
      <c r="DE514" s="13" t="s">
        <v>3259</v>
      </c>
    </row>
    <row r="515" spans="1:109" ht="20">
      <c r="A515" s="13" t="s">
        <v>3405</v>
      </c>
      <c r="B515" s="13"/>
      <c r="C515" s="13" t="s">
        <v>3334</v>
      </c>
      <c r="D515" s="14" t="s">
        <v>830</v>
      </c>
      <c r="E515" s="13" t="s">
        <v>674</v>
      </c>
      <c r="F515" s="13" t="s">
        <v>3890</v>
      </c>
      <c r="G515" s="13"/>
      <c r="H515" s="14" t="s">
        <v>703</v>
      </c>
      <c r="I515" s="13" t="s">
        <v>3889</v>
      </c>
      <c r="J515" s="13" t="s">
        <v>585</v>
      </c>
      <c r="K515" s="13"/>
      <c r="L515" s="13"/>
      <c r="M515" s="13">
        <v>46</v>
      </c>
      <c r="N515" s="13"/>
      <c r="O515" s="15"/>
      <c r="P515" s="13"/>
      <c r="Q515" s="13"/>
      <c r="R515" s="13"/>
      <c r="S515" s="13"/>
      <c r="T515" s="13"/>
      <c r="U515" s="13"/>
      <c r="V515" s="13">
        <v>25</v>
      </c>
      <c r="W515" s="2">
        <f>V515/M515</f>
        <v>0.54347826086956519</v>
      </c>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V515" s="13"/>
      <c r="AW515" s="13"/>
      <c r="AX515" s="13"/>
      <c r="AY515" s="13"/>
      <c r="AZ515" s="13"/>
      <c r="BA515" s="16"/>
      <c r="BB515" s="13"/>
      <c r="BC515" s="13"/>
      <c r="BD515" s="13"/>
      <c r="BE515" s="16"/>
      <c r="BF515" s="13"/>
      <c r="BG515" s="13"/>
      <c r="BH515" s="13"/>
      <c r="BI515" s="13"/>
      <c r="BJ515" s="16"/>
      <c r="BK515" s="13"/>
      <c r="BL515" s="13"/>
      <c r="BM515" s="13"/>
      <c r="BN515" s="16"/>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t="s">
        <v>3554</v>
      </c>
      <c r="CX515" s="13" t="s">
        <v>3555</v>
      </c>
      <c r="CY515" s="13">
        <v>2025</v>
      </c>
      <c r="CZ515" s="13" t="s">
        <v>188</v>
      </c>
      <c r="DA515" s="13" t="s">
        <v>3556</v>
      </c>
      <c r="DB515" s="13">
        <v>93</v>
      </c>
      <c r="DC515" s="13"/>
      <c r="DD515" s="13">
        <v>102780</v>
      </c>
      <c r="DE515" s="13" t="s">
        <v>3260</v>
      </c>
    </row>
    <row r="516" spans="1:109" ht="20">
      <c r="A516" s="13" t="s">
        <v>3406</v>
      </c>
      <c r="B516" s="13"/>
      <c r="C516" s="13" t="s">
        <v>3335</v>
      </c>
      <c r="D516" s="23" t="s">
        <v>4178</v>
      </c>
      <c r="E516" s="13" t="s">
        <v>725</v>
      </c>
      <c r="F516" s="13" t="s">
        <v>3884</v>
      </c>
      <c r="G516" s="13"/>
      <c r="J516" s="13"/>
      <c r="K516" s="13"/>
      <c r="L516" s="13"/>
      <c r="M516" s="13"/>
      <c r="N516" s="13"/>
      <c r="O516" s="15"/>
      <c r="P516" s="13"/>
      <c r="Q516" s="13"/>
      <c r="R516" s="13"/>
      <c r="S516" s="13"/>
      <c r="T516" s="13"/>
      <c r="U516" s="13"/>
      <c r="V516" s="13"/>
      <c r="W516" s="2"/>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6"/>
      <c r="BB516" s="13"/>
      <c r="BC516" s="13"/>
      <c r="BD516" s="13"/>
      <c r="BE516" s="16"/>
      <c r="BF516" s="13"/>
      <c r="BG516" s="13"/>
      <c r="BH516" s="13"/>
      <c r="BI516" s="13"/>
      <c r="BJ516" s="16"/>
      <c r="BK516" s="13"/>
      <c r="BL516" s="13"/>
      <c r="BM516" s="13"/>
      <c r="BN516" s="16"/>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t="s">
        <v>3557</v>
      </c>
      <c r="CX516" s="13" t="s">
        <v>3558</v>
      </c>
      <c r="CY516" s="13">
        <v>2024</v>
      </c>
      <c r="CZ516" s="21">
        <v>45996</v>
      </c>
      <c r="DA516" s="13" t="s">
        <v>64</v>
      </c>
      <c r="DB516" s="13"/>
      <c r="DC516" s="13"/>
      <c r="DD516" s="21">
        <v>45676</v>
      </c>
      <c r="DE516" s="13" t="s">
        <v>3261</v>
      </c>
    </row>
    <row r="517" spans="1:109" ht="20">
      <c r="A517" s="13" t="s">
        <v>3407</v>
      </c>
      <c r="B517" s="13"/>
      <c r="C517" s="13" t="s">
        <v>3883</v>
      </c>
      <c r="D517" s="23" t="s">
        <v>4178</v>
      </c>
      <c r="E517" s="13" t="s">
        <v>725</v>
      </c>
      <c r="F517" s="13" t="s">
        <v>2595</v>
      </c>
      <c r="G517" s="13"/>
      <c r="J517" s="13"/>
      <c r="K517" s="13"/>
      <c r="L517" s="13"/>
      <c r="M517" s="13"/>
      <c r="N517" s="13"/>
      <c r="O517" s="15"/>
      <c r="P517" s="13"/>
      <c r="Q517" s="13"/>
      <c r="R517" s="13"/>
      <c r="S517" s="13"/>
      <c r="T517" s="13"/>
      <c r="U517" s="13"/>
      <c r="V517" s="13"/>
      <c r="W517" s="2"/>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6"/>
      <c r="BB517" s="13"/>
      <c r="BC517" s="13"/>
      <c r="BD517" s="13"/>
      <c r="BE517" s="16"/>
      <c r="BF517" s="13"/>
      <c r="BG517" s="13"/>
      <c r="BH517" s="13"/>
      <c r="BI517" s="13"/>
      <c r="BJ517" s="16"/>
      <c r="BK517" s="13"/>
      <c r="BL517" s="13"/>
      <c r="BM517" s="13"/>
      <c r="BN517" s="16"/>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t="s">
        <v>3559</v>
      </c>
      <c r="CX517" s="13" t="s">
        <v>3558</v>
      </c>
      <c r="CY517" s="13">
        <v>2024</v>
      </c>
      <c r="CZ517" s="13" t="s">
        <v>119</v>
      </c>
      <c r="DA517" s="13" t="s">
        <v>64</v>
      </c>
      <c r="DB517" s="13">
        <v>25</v>
      </c>
      <c r="DC517" s="21">
        <v>45783</v>
      </c>
      <c r="DD517" s="13" t="s">
        <v>3560</v>
      </c>
      <c r="DE517" s="13" t="s">
        <v>3262</v>
      </c>
    </row>
    <row r="518" spans="1:109">
      <c r="A518" s="14" t="s">
        <v>1879</v>
      </c>
      <c r="B518" s="14" t="s">
        <v>1721</v>
      </c>
      <c r="C518" s="14" t="s">
        <v>379</v>
      </c>
      <c r="D518" s="14" t="s">
        <v>2038</v>
      </c>
      <c r="E518" s="14" t="s">
        <v>672</v>
      </c>
      <c r="F518" s="14" t="s">
        <v>926</v>
      </c>
      <c r="H518" s="14" t="s">
        <v>855</v>
      </c>
      <c r="I518" s="14" t="s">
        <v>4091</v>
      </c>
      <c r="J518" s="14" t="s">
        <v>927</v>
      </c>
      <c r="L518" s="14" t="s">
        <v>928</v>
      </c>
      <c r="M518" s="14">
        <v>44</v>
      </c>
      <c r="Q518" s="14">
        <v>63</v>
      </c>
      <c r="R518" s="14">
        <v>13.3</v>
      </c>
      <c r="V518" s="14">
        <v>31</v>
      </c>
      <c r="W518" s="14">
        <f t="shared" ref="W518:W536" si="51">V518/M518</f>
        <v>0.70454545454545459</v>
      </c>
      <c r="BN518" s="14" t="s">
        <v>2231</v>
      </c>
      <c r="CC518" s="14">
        <v>-7.0000000000000007E-2</v>
      </c>
      <c r="CG518" s="14">
        <v>0.65400000000000003</v>
      </c>
      <c r="CW518" s="14" t="s">
        <v>375</v>
      </c>
      <c r="CX518" s="14" t="s">
        <v>376</v>
      </c>
      <c r="CY518" s="14">
        <v>2021</v>
      </c>
      <c r="CZ518" s="36">
        <v>45473</v>
      </c>
      <c r="DA518" s="14" t="s">
        <v>377</v>
      </c>
      <c r="DB518" s="14">
        <v>21</v>
      </c>
      <c r="DC518" s="14">
        <v>1</v>
      </c>
      <c r="DD518" s="14" t="s">
        <v>2172</v>
      </c>
      <c r="DE518" s="14" t="s">
        <v>378</v>
      </c>
    </row>
    <row r="519" spans="1:109">
      <c r="A519" s="14" t="s">
        <v>1880</v>
      </c>
      <c r="C519" s="14" t="s">
        <v>4128</v>
      </c>
      <c r="D519" s="14" t="s">
        <v>4129</v>
      </c>
      <c r="E519" s="14" t="s">
        <v>672</v>
      </c>
      <c r="F519" s="14" t="s">
        <v>680</v>
      </c>
      <c r="H519" s="14" t="s">
        <v>4130</v>
      </c>
      <c r="I519" s="14" t="s">
        <v>4131</v>
      </c>
      <c r="J519" s="14" t="s">
        <v>585</v>
      </c>
      <c r="M519" s="14">
        <f>70+23+43</f>
        <v>136</v>
      </c>
      <c r="N519" s="14">
        <f>23+43</f>
        <v>66</v>
      </c>
      <c r="P519" s="14">
        <v>66</v>
      </c>
      <c r="V519" s="14">
        <f>13+26+45</f>
        <v>84</v>
      </c>
      <c r="W519" s="14">
        <f t="shared" si="51"/>
        <v>0.61764705882352944</v>
      </c>
      <c r="CW519" s="14" t="s">
        <v>1443</v>
      </c>
      <c r="CX519" s="14" t="s">
        <v>1444</v>
      </c>
      <c r="CY519" s="14">
        <v>2019</v>
      </c>
      <c r="CZ519" s="36" t="s">
        <v>73</v>
      </c>
      <c r="DA519" s="14" t="s">
        <v>1445</v>
      </c>
      <c r="DB519" s="14">
        <v>90</v>
      </c>
      <c r="DC519" s="14">
        <v>1</v>
      </c>
      <c r="DD519" s="14" t="s">
        <v>2171</v>
      </c>
      <c r="DE519" s="14" t="s">
        <v>1446</v>
      </c>
    </row>
    <row r="520" spans="1:109">
      <c r="A520" s="14" t="s">
        <v>1880</v>
      </c>
      <c r="C520" s="14" t="s">
        <v>4128</v>
      </c>
      <c r="D520" s="14" t="s">
        <v>4129</v>
      </c>
      <c r="E520" s="14" t="s">
        <v>672</v>
      </c>
      <c r="F520" s="14" t="s">
        <v>679</v>
      </c>
      <c r="H520" s="14" t="s">
        <v>4130</v>
      </c>
      <c r="I520" s="14" t="s">
        <v>4131</v>
      </c>
      <c r="J520" s="14" t="s">
        <v>585</v>
      </c>
      <c r="M520" s="14">
        <f>70+23+43</f>
        <v>136</v>
      </c>
      <c r="N520" s="14">
        <f>23+43</f>
        <v>66</v>
      </c>
      <c r="P520" s="14">
        <v>66</v>
      </c>
      <c r="V520" s="14">
        <f>13+26+45</f>
        <v>84</v>
      </c>
      <c r="W520" s="14">
        <f t="shared" si="51"/>
        <v>0.61764705882352944</v>
      </c>
      <c r="BN520" s="14" t="s">
        <v>2231</v>
      </c>
      <c r="CC520" s="14">
        <v>-0.42</v>
      </c>
      <c r="CG520" s="14" t="s">
        <v>701</v>
      </c>
      <c r="CW520" s="14" t="s">
        <v>1443</v>
      </c>
      <c r="CX520" s="14" t="s">
        <v>1444</v>
      </c>
      <c r="CY520" s="14">
        <v>2019</v>
      </c>
      <c r="CZ520" s="36" t="s">
        <v>73</v>
      </c>
      <c r="DA520" s="14" t="s">
        <v>1445</v>
      </c>
      <c r="DB520" s="14">
        <v>90</v>
      </c>
      <c r="DC520" s="14">
        <v>1</v>
      </c>
      <c r="DD520" s="14" t="s">
        <v>2171</v>
      </c>
      <c r="DE520" s="14" t="s">
        <v>1446</v>
      </c>
    </row>
    <row r="521" spans="1:109">
      <c r="A521" s="14" t="s">
        <v>1880</v>
      </c>
      <c r="C521" s="14" t="s">
        <v>4128</v>
      </c>
      <c r="D521" s="14" t="s">
        <v>4129</v>
      </c>
      <c r="E521" s="14" t="s">
        <v>672</v>
      </c>
      <c r="F521" s="14" t="s">
        <v>758</v>
      </c>
      <c r="H521" s="14" t="s">
        <v>4130</v>
      </c>
      <c r="I521" s="14" t="s">
        <v>4131</v>
      </c>
      <c r="J521" s="14" t="s">
        <v>585</v>
      </c>
      <c r="M521" s="14">
        <f>70+23+43</f>
        <v>136</v>
      </c>
      <c r="N521" s="14">
        <f>23+43</f>
        <v>66</v>
      </c>
      <c r="P521" s="14">
        <v>66</v>
      </c>
      <c r="V521" s="14">
        <f>13+26+45</f>
        <v>84</v>
      </c>
      <c r="W521" s="14">
        <f t="shared" si="51"/>
        <v>0.61764705882352944</v>
      </c>
      <c r="BN521" s="14" t="s">
        <v>2231</v>
      </c>
      <c r="CC521" s="14">
        <v>-7.0000000000000007E-2</v>
      </c>
      <c r="CG521" s="14">
        <v>0.54</v>
      </c>
      <c r="CW521" s="14" t="s">
        <v>1443</v>
      </c>
      <c r="CX521" s="14" t="s">
        <v>1444</v>
      </c>
      <c r="CY521" s="14">
        <v>2019</v>
      </c>
      <c r="CZ521" s="36" t="s">
        <v>73</v>
      </c>
      <c r="DA521" s="14" t="s">
        <v>1445</v>
      </c>
      <c r="DB521" s="14">
        <v>90</v>
      </c>
      <c r="DC521" s="14">
        <v>1</v>
      </c>
      <c r="DD521" s="14" t="s">
        <v>2171</v>
      </c>
      <c r="DE521" s="14" t="s">
        <v>1446</v>
      </c>
    </row>
    <row r="522" spans="1:109">
      <c r="A522" s="14" t="s">
        <v>2008</v>
      </c>
      <c r="C522" s="14" t="s">
        <v>2009</v>
      </c>
      <c r="D522" s="14" t="s">
        <v>830</v>
      </c>
      <c r="E522" s="14" t="s">
        <v>672</v>
      </c>
      <c r="F522" s="14" t="s">
        <v>680</v>
      </c>
      <c r="G522" s="14" t="s">
        <v>2759</v>
      </c>
      <c r="H522" s="14" t="s">
        <v>584</v>
      </c>
      <c r="I522" s="14" t="s">
        <v>2782</v>
      </c>
      <c r="J522" s="14" t="s">
        <v>2760</v>
      </c>
      <c r="K522" s="14" t="s">
        <v>2765</v>
      </c>
      <c r="L522" s="14" t="s">
        <v>928</v>
      </c>
      <c r="M522" s="14">
        <v>30</v>
      </c>
      <c r="Q522" s="14">
        <v>61.7</v>
      </c>
      <c r="V522" s="14">
        <v>16</v>
      </c>
      <c r="W522" s="14">
        <f t="shared" si="51"/>
        <v>0.53333333333333333</v>
      </c>
      <c r="X522" s="14">
        <v>36.799999999999997</v>
      </c>
      <c r="CW522" s="14" t="s">
        <v>2084</v>
      </c>
      <c r="CX522" s="14" t="s">
        <v>2085</v>
      </c>
      <c r="CY522" s="14">
        <v>2023</v>
      </c>
      <c r="CZ522" s="36">
        <v>45405</v>
      </c>
      <c r="DA522" s="14" t="s">
        <v>411</v>
      </c>
      <c r="DB522" s="14">
        <v>11</v>
      </c>
      <c r="DC522" s="14">
        <v>5</v>
      </c>
      <c r="DE522" s="14" t="s">
        <v>2086</v>
      </c>
    </row>
    <row r="523" spans="1:109" ht="20">
      <c r="A523" s="13" t="s">
        <v>3408</v>
      </c>
      <c r="B523" s="13"/>
      <c r="C523" s="13" t="s">
        <v>3336</v>
      </c>
      <c r="D523" s="14" t="s">
        <v>820</v>
      </c>
      <c r="E523" s="13" t="s">
        <v>725</v>
      </c>
      <c r="F523" s="13" t="s">
        <v>2377</v>
      </c>
      <c r="G523" s="13"/>
      <c r="H523" s="14" t="s">
        <v>855</v>
      </c>
      <c r="I523" s="13" t="s">
        <v>3891</v>
      </c>
      <c r="J523" s="13" t="s">
        <v>902</v>
      </c>
      <c r="K523" s="13"/>
      <c r="L523" s="13" t="s">
        <v>2455</v>
      </c>
      <c r="M523" s="13">
        <v>89</v>
      </c>
      <c r="N523" s="13"/>
      <c r="O523" s="15"/>
      <c r="P523" s="13"/>
      <c r="Q523" s="13"/>
      <c r="R523" s="13"/>
      <c r="S523" s="13"/>
      <c r="T523" s="13"/>
      <c r="U523" s="13"/>
      <c r="V523" s="13">
        <v>49</v>
      </c>
      <c r="W523" s="2">
        <f t="shared" si="51"/>
        <v>0.550561797752809</v>
      </c>
      <c r="X523" s="13"/>
      <c r="Y523" s="13"/>
      <c r="Z523" s="13"/>
      <c r="AA523" s="13"/>
      <c r="AB523" s="13"/>
      <c r="AC523" s="13">
        <v>57</v>
      </c>
      <c r="AD523" s="13">
        <f>AC523/M523</f>
        <v>0.6404494382022472</v>
      </c>
      <c r="AE523" s="13"/>
      <c r="AF523" s="13"/>
      <c r="AG523" s="13"/>
      <c r="AH523" s="13"/>
      <c r="AI523" s="13"/>
      <c r="AJ523" s="13"/>
      <c r="AK523" s="13"/>
      <c r="AL523" s="13"/>
      <c r="AM523" s="13"/>
      <c r="AN523" s="13"/>
      <c r="AO523" s="13"/>
      <c r="AP523" s="13"/>
      <c r="AQ523" s="13"/>
      <c r="AR523" s="13"/>
      <c r="AS523" s="13"/>
      <c r="AT523" s="13"/>
      <c r="AU523" s="13" t="s">
        <v>3832</v>
      </c>
      <c r="AV523" s="13"/>
      <c r="AW523" s="13"/>
      <c r="AX523" s="13"/>
      <c r="AY523" s="13"/>
      <c r="AZ523" s="13"/>
      <c r="BA523" s="16"/>
      <c r="BB523" s="13"/>
      <c r="BC523" s="13"/>
      <c r="BD523" s="13"/>
      <c r="BE523" s="16"/>
      <c r="BF523" s="13"/>
      <c r="BG523" s="13"/>
      <c r="BH523" s="13"/>
      <c r="BI523" s="13"/>
      <c r="BJ523" s="16"/>
      <c r="BK523" s="13"/>
      <c r="BL523" s="13"/>
      <c r="BM523" s="13"/>
      <c r="BN523" s="16"/>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t="s">
        <v>3892</v>
      </c>
      <c r="CW523" s="13" t="s">
        <v>3561</v>
      </c>
      <c r="CX523" s="13" t="s">
        <v>3562</v>
      </c>
      <c r="CY523" s="13">
        <v>2024</v>
      </c>
      <c r="CZ523" s="13"/>
      <c r="DA523" s="13" t="s">
        <v>284</v>
      </c>
      <c r="DB523" s="13">
        <v>19</v>
      </c>
      <c r="DC523" s="13">
        <v>11</v>
      </c>
      <c r="DD523" s="13" t="s">
        <v>3563</v>
      </c>
      <c r="DE523" s="13" t="s">
        <v>3263</v>
      </c>
    </row>
    <row r="524" spans="1:109" ht="20">
      <c r="A524" s="13" t="s">
        <v>3409</v>
      </c>
      <c r="B524" s="13"/>
      <c r="C524" s="13" t="s">
        <v>3337</v>
      </c>
      <c r="D524" s="14" t="s">
        <v>829</v>
      </c>
      <c r="E524" s="13" t="s">
        <v>672</v>
      </c>
      <c r="F524" s="13" t="s">
        <v>3894</v>
      </c>
      <c r="G524" s="13"/>
      <c r="H524" s="14" t="s">
        <v>868</v>
      </c>
      <c r="I524" s="13" t="s">
        <v>3895</v>
      </c>
      <c r="J524" s="13" t="s">
        <v>3896</v>
      </c>
      <c r="K524" s="13"/>
      <c r="L524" s="13" t="s">
        <v>3897</v>
      </c>
      <c r="M524" s="13">
        <v>182</v>
      </c>
      <c r="N524" s="13"/>
      <c r="O524" s="15"/>
      <c r="P524" s="13"/>
      <c r="Q524" s="13"/>
      <c r="R524" s="13"/>
      <c r="S524" s="13">
        <v>67</v>
      </c>
      <c r="T524" s="13">
        <v>59</v>
      </c>
      <c r="U524" s="13">
        <v>74</v>
      </c>
      <c r="V524" s="13">
        <v>104</v>
      </c>
      <c r="W524" s="2">
        <f t="shared" si="51"/>
        <v>0.5714285714285714</v>
      </c>
      <c r="X524" s="13"/>
      <c r="Y524" s="13"/>
      <c r="Z524" s="13"/>
      <c r="AA524" s="13"/>
      <c r="AB524" s="13"/>
      <c r="AC524" s="13">
        <v>118</v>
      </c>
      <c r="AD524" s="13">
        <f>AC524/M524</f>
        <v>0.64835164835164838</v>
      </c>
      <c r="AE524" s="13"/>
      <c r="AF524" s="13"/>
      <c r="AG524" s="13"/>
      <c r="AH524" s="13"/>
      <c r="AI524" s="13"/>
      <c r="AJ524" s="13"/>
      <c r="AK524" s="13"/>
      <c r="AL524" s="13"/>
      <c r="AM524" s="13"/>
      <c r="AN524" s="13"/>
      <c r="AO524" s="13"/>
      <c r="AP524" s="13"/>
      <c r="AQ524" s="13"/>
      <c r="AR524" s="13"/>
      <c r="AS524" s="13"/>
      <c r="AT524" s="13"/>
      <c r="AU524" s="13"/>
      <c r="AV524" s="13" t="s">
        <v>3898</v>
      </c>
      <c r="AW524" s="13"/>
      <c r="AX524" s="13"/>
      <c r="AY524" s="13"/>
      <c r="AZ524" s="13"/>
      <c r="BA524" s="16"/>
      <c r="BB524" s="13"/>
      <c r="BC524" s="13"/>
      <c r="BD524" s="13"/>
      <c r="BE524" s="16"/>
      <c r="BF524" s="13"/>
      <c r="BG524" s="13"/>
      <c r="BH524" s="13"/>
      <c r="BI524" s="13"/>
      <c r="BJ524" s="16"/>
      <c r="BK524" s="13"/>
      <c r="BL524" s="13"/>
      <c r="BM524" s="13"/>
      <c r="BN524" s="16"/>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t="s">
        <v>3899</v>
      </c>
      <c r="CW524" s="13" t="s">
        <v>3564</v>
      </c>
      <c r="CX524" s="13" t="s">
        <v>3565</v>
      </c>
      <c r="CY524" s="13">
        <v>2025</v>
      </c>
      <c r="CZ524" s="13" t="s">
        <v>253</v>
      </c>
      <c r="DA524" s="13" t="s">
        <v>64</v>
      </c>
      <c r="DB524" s="13">
        <v>26</v>
      </c>
      <c r="DC524" s="21">
        <v>45659</v>
      </c>
      <c r="DD524" s="13" t="s">
        <v>3566</v>
      </c>
      <c r="DE524" s="13" t="s">
        <v>3264</v>
      </c>
    </row>
    <row r="525" spans="1:109">
      <c r="A525" s="14" t="s">
        <v>1881</v>
      </c>
      <c r="B525" s="14" t="s">
        <v>1767</v>
      </c>
      <c r="C525" s="14" t="s">
        <v>385</v>
      </c>
      <c r="D525" s="14" t="s">
        <v>830</v>
      </c>
      <c r="E525" s="14" t="s">
        <v>672</v>
      </c>
      <c r="F525" s="14" t="s">
        <v>675</v>
      </c>
      <c r="H525" s="14" t="s">
        <v>584</v>
      </c>
      <c r="I525" s="14" t="s">
        <v>3156</v>
      </c>
      <c r="J525" s="14" t="s">
        <v>585</v>
      </c>
      <c r="L525" s="14" t="s">
        <v>639</v>
      </c>
      <c r="M525" s="14">
        <v>68</v>
      </c>
      <c r="Q525" s="14">
        <v>68.400000000000006</v>
      </c>
      <c r="R525" s="14">
        <v>11.5</v>
      </c>
      <c r="V525" s="14">
        <v>50</v>
      </c>
      <c r="W525" s="14">
        <f t="shared" si="51"/>
        <v>0.73529411764705888</v>
      </c>
      <c r="CW525" s="14" t="s">
        <v>380</v>
      </c>
      <c r="CX525" s="14" t="s">
        <v>1447</v>
      </c>
      <c r="CY525" s="14">
        <v>2019</v>
      </c>
      <c r="CZ525" s="36">
        <v>45352</v>
      </c>
      <c r="DA525" s="14" t="s">
        <v>79</v>
      </c>
      <c r="DB525" s="14">
        <v>76</v>
      </c>
      <c r="DC525" s="14">
        <v>3</v>
      </c>
      <c r="DD525" s="14" t="s">
        <v>383</v>
      </c>
      <c r="DE525" s="14" t="s">
        <v>384</v>
      </c>
    </row>
    <row r="526" spans="1:109">
      <c r="A526" s="14" t="s">
        <v>1881</v>
      </c>
      <c r="B526" s="14" t="s">
        <v>1767</v>
      </c>
      <c r="C526" s="14" t="s">
        <v>385</v>
      </c>
      <c r="D526" s="14" t="s">
        <v>830</v>
      </c>
      <c r="E526" s="14" t="s">
        <v>672</v>
      </c>
      <c r="F526" s="14" t="s">
        <v>823</v>
      </c>
      <c r="H526" s="14" t="s">
        <v>584</v>
      </c>
      <c r="I526" s="14" t="s">
        <v>3156</v>
      </c>
      <c r="J526" s="14" t="s">
        <v>585</v>
      </c>
      <c r="L526" s="14" t="s">
        <v>639</v>
      </c>
      <c r="M526" s="14">
        <v>68</v>
      </c>
      <c r="Q526" s="14">
        <v>68.400000000000006</v>
      </c>
      <c r="R526" s="14">
        <v>11.5</v>
      </c>
      <c r="V526" s="14">
        <v>50</v>
      </c>
      <c r="W526" s="14">
        <f t="shared" si="51"/>
        <v>0.73529411764705888</v>
      </c>
      <c r="CW526" s="14" t="s">
        <v>380</v>
      </c>
      <c r="CX526" s="14" t="s">
        <v>1447</v>
      </c>
      <c r="CY526" s="14">
        <v>2019</v>
      </c>
      <c r="CZ526" s="36">
        <v>45352</v>
      </c>
      <c r="DA526" s="14" t="s">
        <v>79</v>
      </c>
      <c r="DB526" s="14">
        <v>76</v>
      </c>
      <c r="DC526" s="14">
        <v>3</v>
      </c>
      <c r="DD526" s="14" t="s">
        <v>383</v>
      </c>
      <c r="DE526" s="14" t="s">
        <v>384</v>
      </c>
    </row>
    <row r="527" spans="1:109">
      <c r="A527" s="14" t="s">
        <v>1881</v>
      </c>
      <c r="B527" s="14" t="s">
        <v>1767</v>
      </c>
      <c r="C527" s="14" t="s">
        <v>385</v>
      </c>
      <c r="D527" s="14" t="s">
        <v>830</v>
      </c>
      <c r="E527" s="14" t="s">
        <v>672</v>
      </c>
      <c r="F527" s="14" t="s">
        <v>676</v>
      </c>
      <c r="H527" s="14" t="s">
        <v>584</v>
      </c>
      <c r="I527" s="14" t="s">
        <v>3156</v>
      </c>
      <c r="J527" s="14" t="s">
        <v>585</v>
      </c>
      <c r="L527" s="14" t="s">
        <v>639</v>
      </c>
      <c r="M527" s="14">
        <v>68</v>
      </c>
      <c r="Q527" s="14">
        <v>68.400000000000006</v>
      </c>
      <c r="R527" s="14">
        <v>11.5</v>
      </c>
      <c r="V527" s="14">
        <v>50</v>
      </c>
      <c r="W527" s="14">
        <f t="shared" si="51"/>
        <v>0.73529411764705888</v>
      </c>
      <c r="CW527" s="14" t="s">
        <v>380</v>
      </c>
      <c r="CX527" s="14" t="s">
        <v>1447</v>
      </c>
      <c r="CY527" s="14">
        <v>2019</v>
      </c>
      <c r="CZ527" s="36">
        <v>45352</v>
      </c>
      <c r="DA527" s="14" t="s">
        <v>79</v>
      </c>
      <c r="DB527" s="14">
        <v>76</v>
      </c>
      <c r="DC527" s="14">
        <v>3</v>
      </c>
      <c r="DD527" s="14" t="s">
        <v>383</v>
      </c>
      <c r="DE527" s="14" t="s">
        <v>384</v>
      </c>
    </row>
    <row r="528" spans="1:109">
      <c r="A528" s="14" t="s">
        <v>1881</v>
      </c>
      <c r="B528" s="14" t="s">
        <v>1767</v>
      </c>
      <c r="C528" s="14" t="s">
        <v>385</v>
      </c>
      <c r="D528" s="14" t="s">
        <v>830</v>
      </c>
      <c r="E528" s="14" t="s">
        <v>672</v>
      </c>
      <c r="F528" s="14" t="s">
        <v>4141</v>
      </c>
      <c r="H528" s="14" t="s">
        <v>584</v>
      </c>
      <c r="I528" s="14" t="s">
        <v>3156</v>
      </c>
      <c r="J528" s="14" t="s">
        <v>4143</v>
      </c>
      <c r="K528" s="14" t="s">
        <v>4144</v>
      </c>
      <c r="L528" s="14" t="s">
        <v>639</v>
      </c>
      <c r="M528" s="14">
        <v>68</v>
      </c>
      <c r="Q528" s="14">
        <v>68.400000000000006</v>
      </c>
      <c r="R528" s="14">
        <v>11.5</v>
      </c>
      <c r="V528" s="14">
        <v>50</v>
      </c>
      <c r="W528" s="14">
        <f t="shared" si="51"/>
        <v>0.73529411764705888</v>
      </c>
      <c r="CW528" s="14" t="s">
        <v>380</v>
      </c>
      <c r="CX528" s="14" t="s">
        <v>1447</v>
      </c>
      <c r="CY528" s="14">
        <v>2019</v>
      </c>
      <c r="CZ528" s="36">
        <v>45352</v>
      </c>
      <c r="DA528" s="14" t="s">
        <v>79</v>
      </c>
      <c r="DB528" s="14">
        <v>76</v>
      </c>
      <c r="DC528" s="14">
        <v>3</v>
      </c>
      <c r="DD528" s="14" t="s">
        <v>383</v>
      </c>
      <c r="DE528" s="14" t="s">
        <v>384</v>
      </c>
    </row>
    <row r="529" spans="1:109">
      <c r="A529" s="14" t="s">
        <v>1881</v>
      </c>
      <c r="B529" s="14" t="s">
        <v>1767</v>
      </c>
      <c r="C529" s="14" t="s">
        <v>385</v>
      </c>
      <c r="D529" s="14" t="s">
        <v>830</v>
      </c>
      <c r="E529" s="14" t="s">
        <v>672</v>
      </c>
      <c r="F529" s="14" t="s">
        <v>684</v>
      </c>
      <c r="G529" s="14" t="s">
        <v>1075</v>
      </c>
      <c r="H529" s="14" t="s">
        <v>584</v>
      </c>
      <c r="I529" s="14" t="s">
        <v>3156</v>
      </c>
      <c r="J529" s="14" t="s">
        <v>585</v>
      </c>
      <c r="L529" s="14" t="s">
        <v>639</v>
      </c>
      <c r="M529" s="14">
        <v>68</v>
      </c>
      <c r="Q529" s="14">
        <v>68.400000000000006</v>
      </c>
      <c r="R529" s="14">
        <v>11.5</v>
      </c>
      <c r="V529" s="14">
        <v>50</v>
      </c>
      <c r="W529" s="14">
        <f t="shared" si="51"/>
        <v>0.73529411764705888</v>
      </c>
      <c r="CW529" s="14" t="s">
        <v>380</v>
      </c>
      <c r="CX529" s="14" t="s">
        <v>1447</v>
      </c>
      <c r="CY529" s="14">
        <v>2019</v>
      </c>
      <c r="CZ529" s="36">
        <v>45352</v>
      </c>
      <c r="DA529" s="14" t="s">
        <v>79</v>
      </c>
      <c r="DB529" s="14">
        <v>76</v>
      </c>
      <c r="DC529" s="14">
        <v>3</v>
      </c>
      <c r="DD529" s="14" t="s">
        <v>383</v>
      </c>
      <c r="DE529" s="14" t="s">
        <v>384</v>
      </c>
    </row>
    <row r="530" spans="1:109" ht="20">
      <c r="A530" s="13" t="s">
        <v>1767</v>
      </c>
      <c r="B530" s="13" t="s">
        <v>1767</v>
      </c>
      <c r="C530" s="13" t="s">
        <v>385</v>
      </c>
      <c r="D530" s="13" t="s">
        <v>830</v>
      </c>
      <c r="E530" s="13" t="s">
        <v>672</v>
      </c>
      <c r="F530" s="13" t="s">
        <v>675</v>
      </c>
      <c r="H530" s="13" t="s">
        <v>584</v>
      </c>
      <c r="I530" s="13" t="s">
        <v>3651</v>
      </c>
      <c r="J530" s="13" t="s">
        <v>585</v>
      </c>
      <c r="K530" s="13"/>
      <c r="M530" s="13">
        <v>68</v>
      </c>
      <c r="N530" s="13"/>
      <c r="O530" s="15"/>
      <c r="P530" s="13"/>
      <c r="Q530" s="13">
        <v>68.400000000000006</v>
      </c>
      <c r="R530" s="13">
        <v>11.5</v>
      </c>
      <c r="S530" s="13"/>
      <c r="T530" s="13"/>
      <c r="U530" s="13"/>
      <c r="V530" s="14">
        <v>50</v>
      </c>
      <c r="W530" s="14">
        <f t="shared" si="51"/>
        <v>0.73529411764705888</v>
      </c>
      <c r="CW530" s="13" t="s">
        <v>380</v>
      </c>
      <c r="CX530" s="13" t="s">
        <v>381</v>
      </c>
      <c r="CY530" s="13">
        <v>2019</v>
      </c>
      <c r="CZ530" s="13" t="s">
        <v>25</v>
      </c>
      <c r="DA530" s="13" t="s">
        <v>382</v>
      </c>
      <c r="DB530" s="13">
        <v>76</v>
      </c>
      <c r="DC530" s="13">
        <v>3</v>
      </c>
      <c r="DD530" s="13" t="s">
        <v>383</v>
      </c>
      <c r="DE530" s="13" t="s">
        <v>384</v>
      </c>
    </row>
    <row r="531" spans="1:109" ht="20">
      <c r="A531" s="13" t="s">
        <v>1767</v>
      </c>
      <c r="B531" s="13" t="s">
        <v>1767</v>
      </c>
      <c r="C531" s="13" t="s">
        <v>385</v>
      </c>
      <c r="D531" s="13" t="s">
        <v>830</v>
      </c>
      <c r="E531" s="13" t="s">
        <v>672</v>
      </c>
      <c r="F531" s="13" t="s">
        <v>823</v>
      </c>
      <c r="H531" s="13" t="s">
        <v>584</v>
      </c>
      <c r="I531" s="13" t="s">
        <v>3651</v>
      </c>
      <c r="J531" s="13" t="s">
        <v>585</v>
      </c>
      <c r="K531" s="13"/>
      <c r="M531" s="13">
        <v>68</v>
      </c>
      <c r="N531" s="13"/>
      <c r="O531" s="15"/>
      <c r="P531" s="13"/>
      <c r="Q531" s="13">
        <v>68.400000000000006</v>
      </c>
      <c r="R531" s="13">
        <v>11.5</v>
      </c>
      <c r="S531" s="13"/>
      <c r="T531" s="13"/>
      <c r="U531" s="13"/>
      <c r="V531" s="14">
        <v>50</v>
      </c>
      <c r="W531" s="14">
        <f t="shared" si="51"/>
        <v>0.73529411764705888</v>
      </c>
      <c r="CW531" s="13" t="s">
        <v>380</v>
      </c>
      <c r="CX531" s="13" t="s">
        <v>381</v>
      </c>
      <c r="CY531" s="13">
        <v>2019</v>
      </c>
      <c r="CZ531" s="13" t="s">
        <v>25</v>
      </c>
      <c r="DA531" s="13" t="s">
        <v>382</v>
      </c>
      <c r="DB531" s="13">
        <v>76</v>
      </c>
      <c r="DC531" s="13">
        <v>3</v>
      </c>
      <c r="DD531" s="13" t="s">
        <v>383</v>
      </c>
      <c r="DE531" s="13" t="s">
        <v>384</v>
      </c>
    </row>
    <row r="532" spans="1:109" ht="20">
      <c r="A532" s="13" t="s">
        <v>1767</v>
      </c>
      <c r="B532" s="13" t="s">
        <v>1767</v>
      </c>
      <c r="C532" s="13" t="s">
        <v>385</v>
      </c>
      <c r="D532" s="13" t="s">
        <v>830</v>
      </c>
      <c r="E532" s="13" t="s">
        <v>672</v>
      </c>
      <c r="F532" s="13" t="s">
        <v>676</v>
      </c>
      <c r="H532" s="13" t="s">
        <v>584</v>
      </c>
      <c r="I532" s="13" t="s">
        <v>3651</v>
      </c>
      <c r="J532" s="13" t="s">
        <v>585</v>
      </c>
      <c r="K532" s="13"/>
      <c r="M532" s="13">
        <v>68</v>
      </c>
      <c r="N532" s="13"/>
      <c r="O532" s="15"/>
      <c r="P532" s="13"/>
      <c r="Q532" s="13">
        <v>68.400000000000006</v>
      </c>
      <c r="R532" s="13">
        <v>11.5</v>
      </c>
      <c r="S532" s="13"/>
      <c r="T532" s="13"/>
      <c r="U532" s="13"/>
      <c r="V532" s="14">
        <v>50</v>
      </c>
      <c r="W532" s="14">
        <f t="shared" si="51"/>
        <v>0.73529411764705888</v>
      </c>
      <c r="CW532" s="13" t="s">
        <v>380</v>
      </c>
      <c r="CX532" s="13" t="s">
        <v>381</v>
      </c>
      <c r="CY532" s="13">
        <v>2019</v>
      </c>
      <c r="CZ532" s="13" t="s">
        <v>25</v>
      </c>
      <c r="DA532" s="13" t="s">
        <v>382</v>
      </c>
      <c r="DB532" s="13">
        <v>76</v>
      </c>
      <c r="DC532" s="13">
        <v>3</v>
      </c>
      <c r="DD532" s="13" t="s">
        <v>383</v>
      </c>
      <c r="DE532" s="13" t="s">
        <v>384</v>
      </c>
    </row>
    <row r="533" spans="1:109" ht="20">
      <c r="A533" s="13" t="s">
        <v>1767</v>
      </c>
      <c r="B533" s="13" t="s">
        <v>1767</v>
      </c>
      <c r="C533" s="13" t="s">
        <v>385</v>
      </c>
      <c r="D533" s="13" t="s">
        <v>830</v>
      </c>
      <c r="E533" s="13" t="s">
        <v>672</v>
      </c>
      <c r="F533" s="13" t="s">
        <v>4141</v>
      </c>
      <c r="H533" s="13" t="s">
        <v>584</v>
      </c>
      <c r="I533" s="13" t="s">
        <v>3651</v>
      </c>
      <c r="J533" s="13" t="s">
        <v>4156</v>
      </c>
      <c r="K533" s="16" t="s">
        <v>4157</v>
      </c>
      <c r="M533" s="13">
        <v>68</v>
      </c>
      <c r="N533" s="13"/>
      <c r="O533" s="15"/>
      <c r="P533" s="13"/>
      <c r="Q533" s="13">
        <v>68.400000000000006</v>
      </c>
      <c r="R533" s="13">
        <v>11.5</v>
      </c>
      <c r="S533" s="13"/>
      <c r="T533" s="13"/>
      <c r="U533" s="13"/>
      <c r="V533" s="14">
        <v>50</v>
      </c>
      <c r="W533" s="14">
        <f t="shared" si="51"/>
        <v>0.73529411764705888</v>
      </c>
      <c r="CW533" s="13" t="s">
        <v>380</v>
      </c>
      <c r="CX533" s="13" t="s">
        <v>381</v>
      </c>
      <c r="CY533" s="13">
        <v>2019</v>
      </c>
      <c r="CZ533" s="13" t="s">
        <v>25</v>
      </c>
      <c r="DA533" s="13" t="s">
        <v>382</v>
      </c>
      <c r="DB533" s="13">
        <v>76</v>
      </c>
      <c r="DC533" s="13">
        <v>3</v>
      </c>
      <c r="DD533" s="13" t="s">
        <v>383</v>
      </c>
      <c r="DE533" s="13" t="s">
        <v>384</v>
      </c>
    </row>
    <row r="534" spans="1:109" ht="20">
      <c r="A534" s="13" t="s">
        <v>1767</v>
      </c>
      <c r="B534" s="13" t="s">
        <v>1767</v>
      </c>
      <c r="C534" s="13" t="s">
        <v>385</v>
      </c>
      <c r="D534" s="13" t="s">
        <v>830</v>
      </c>
      <c r="E534" s="13" t="s">
        <v>672</v>
      </c>
      <c r="F534" s="13" t="s">
        <v>684</v>
      </c>
      <c r="H534" s="13" t="s">
        <v>584</v>
      </c>
      <c r="I534" s="13" t="s">
        <v>3651</v>
      </c>
      <c r="J534" s="13" t="s">
        <v>585</v>
      </c>
      <c r="K534" s="13"/>
      <c r="M534" s="13">
        <v>68</v>
      </c>
      <c r="N534" s="13"/>
      <c r="O534" s="15"/>
      <c r="P534" s="13"/>
      <c r="Q534" s="13">
        <v>68.400000000000006</v>
      </c>
      <c r="R534" s="13">
        <v>11.5</v>
      </c>
      <c r="S534" s="13"/>
      <c r="T534" s="13"/>
      <c r="U534" s="13"/>
      <c r="V534" s="14">
        <v>50</v>
      </c>
      <c r="W534" s="14">
        <f t="shared" si="51"/>
        <v>0.73529411764705888</v>
      </c>
      <c r="CW534" s="13" t="s">
        <v>380</v>
      </c>
      <c r="CX534" s="13" t="s">
        <v>381</v>
      </c>
      <c r="CY534" s="13">
        <v>2019</v>
      </c>
      <c r="CZ534" s="13" t="s">
        <v>25</v>
      </c>
      <c r="DA534" s="13" t="s">
        <v>382</v>
      </c>
      <c r="DB534" s="13">
        <v>76</v>
      </c>
      <c r="DC534" s="13">
        <v>3</v>
      </c>
      <c r="DD534" s="13" t="s">
        <v>383</v>
      </c>
      <c r="DE534" s="13" t="s">
        <v>384</v>
      </c>
    </row>
    <row r="535" spans="1:109" ht="20">
      <c r="A535" s="13" t="s">
        <v>3410</v>
      </c>
      <c r="B535" s="13"/>
      <c r="C535" s="13" t="s">
        <v>3338</v>
      </c>
      <c r="D535" s="14" t="s">
        <v>830</v>
      </c>
      <c r="E535" s="13" t="s">
        <v>3902</v>
      </c>
      <c r="F535" s="13" t="s">
        <v>858</v>
      </c>
      <c r="G535" s="13"/>
      <c r="H535" s="14" t="s">
        <v>584</v>
      </c>
      <c r="I535" s="13" t="s">
        <v>3900</v>
      </c>
      <c r="J535" s="13" t="s">
        <v>3903</v>
      </c>
      <c r="K535" s="13" t="s">
        <v>3904</v>
      </c>
      <c r="L535" s="13"/>
      <c r="M535" s="13">
        <v>20</v>
      </c>
      <c r="N535" s="13"/>
      <c r="O535" s="15"/>
      <c r="P535" s="13"/>
      <c r="Q535" s="13"/>
      <c r="R535" s="13"/>
      <c r="S535" s="13"/>
      <c r="T535" s="13"/>
      <c r="U535" s="13"/>
      <c r="V535" s="13">
        <v>11</v>
      </c>
      <c r="W535" s="2">
        <f t="shared" si="51"/>
        <v>0.55000000000000004</v>
      </c>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6"/>
      <c r="BB535" s="13"/>
      <c r="BC535" s="13"/>
      <c r="BD535" s="13"/>
      <c r="BE535" s="16"/>
      <c r="BF535" s="13"/>
      <c r="BG535" s="13"/>
      <c r="BH535" s="13"/>
      <c r="BI535" s="13"/>
      <c r="BJ535" s="16"/>
      <c r="BK535" s="13"/>
      <c r="BL535" s="13"/>
      <c r="BM535" s="13"/>
      <c r="BN535" s="16"/>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t="s">
        <v>3567</v>
      </c>
      <c r="CX535" s="13" t="s">
        <v>3568</v>
      </c>
      <c r="CY535" s="13">
        <v>2025</v>
      </c>
      <c r="CZ535" s="21">
        <v>45730</v>
      </c>
      <c r="DA535" s="13" t="s">
        <v>3569</v>
      </c>
      <c r="DB535" s="13"/>
      <c r="DC535" s="13"/>
      <c r="DD535" s="13"/>
      <c r="DE535" s="13" t="s">
        <v>3265</v>
      </c>
    </row>
    <row r="536" spans="1:109">
      <c r="A536" s="14" t="s">
        <v>1882</v>
      </c>
      <c r="C536" s="14" t="s">
        <v>1452</v>
      </c>
      <c r="E536" s="14" t="s">
        <v>674</v>
      </c>
      <c r="F536" s="14" t="s">
        <v>686</v>
      </c>
      <c r="H536" s="14" t="s">
        <v>693</v>
      </c>
      <c r="I536" s="29" t="s">
        <v>3157</v>
      </c>
      <c r="J536" s="14" t="s">
        <v>2041</v>
      </c>
      <c r="K536" s="14" t="s">
        <v>2770</v>
      </c>
      <c r="L536" s="14" t="s">
        <v>639</v>
      </c>
      <c r="M536" s="14">
        <v>135</v>
      </c>
      <c r="Q536" s="14">
        <v>57.5</v>
      </c>
      <c r="R536" s="14">
        <v>9.5</v>
      </c>
      <c r="V536" s="14">
        <v>93</v>
      </c>
      <c r="W536" s="14">
        <f t="shared" si="51"/>
        <v>0.68888888888888888</v>
      </c>
      <c r="AC536" s="14">
        <v>99</v>
      </c>
      <c r="AD536" s="34">
        <f>AC536/M536</f>
        <v>0.73333333333333328</v>
      </c>
      <c r="AE536" s="35">
        <v>13.5</v>
      </c>
      <c r="AF536" s="35">
        <v>3.8</v>
      </c>
      <c r="CW536" s="14" t="s">
        <v>1448</v>
      </c>
      <c r="CX536" s="14" t="s">
        <v>1449</v>
      </c>
      <c r="CY536" s="14">
        <v>2020</v>
      </c>
      <c r="CZ536" s="36" t="s">
        <v>357</v>
      </c>
      <c r="DA536" s="14" t="s">
        <v>1386</v>
      </c>
      <c r="DB536" s="14">
        <v>383</v>
      </c>
      <c r="DC536" s="14">
        <v>10</v>
      </c>
      <c r="DD536" s="14" t="s">
        <v>1450</v>
      </c>
      <c r="DE536" s="14" t="s">
        <v>1451</v>
      </c>
    </row>
    <row r="537" spans="1:109">
      <c r="A537" s="14" t="s">
        <v>1883</v>
      </c>
      <c r="B537" s="14" t="s">
        <v>1722</v>
      </c>
      <c r="C537" s="14" t="s">
        <v>390</v>
      </c>
      <c r="D537" s="14" t="s">
        <v>830</v>
      </c>
      <c r="E537" s="14" t="s">
        <v>673</v>
      </c>
      <c r="F537" s="14" t="s">
        <v>931</v>
      </c>
      <c r="H537" s="14" t="s">
        <v>703</v>
      </c>
      <c r="J537" s="14" t="s">
        <v>902</v>
      </c>
      <c r="M537" s="14">
        <v>18</v>
      </c>
      <c r="CW537" s="14" t="s">
        <v>386</v>
      </c>
      <c r="CX537" s="14" t="s">
        <v>387</v>
      </c>
      <c r="CY537" s="14">
        <v>2022</v>
      </c>
      <c r="DA537" s="14" t="s">
        <v>388</v>
      </c>
      <c r="DB537" s="14">
        <v>9</v>
      </c>
      <c r="DD537" s="14" t="s">
        <v>2169</v>
      </c>
      <c r="DE537" s="14" t="s">
        <v>389</v>
      </c>
    </row>
    <row r="538" spans="1:109">
      <c r="A538" s="14" t="s">
        <v>1883</v>
      </c>
      <c r="B538" s="14" t="s">
        <v>1722</v>
      </c>
      <c r="C538" s="14" t="s">
        <v>390</v>
      </c>
      <c r="D538" s="14" t="s">
        <v>830</v>
      </c>
      <c r="E538" s="14" t="s">
        <v>673</v>
      </c>
      <c r="F538" s="14" t="s">
        <v>932</v>
      </c>
      <c r="H538" s="14" t="s">
        <v>703</v>
      </c>
      <c r="J538" s="14" t="s">
        <v>902</v>
      </c>
      <c r="M538" s="14">
        <v>18</v>
      </c>
      <c r="CW538" s="14" t="s">
        <v>386</v>
      </c>
      <c r="CX538" s="14" t="s">
        <v>387</v>
      </c>
      <c r="CY538" s="14">
        <v>2022</v>
      </c>
      <c r="DA538" s="14" t="s">
        <v>388</v>
      </c>
      <c r="DB538" s="14">
        <v>9</v>
      </c>
      <c r="DD538" s="14" t="s">
        <v>2169</v>
      </c>
      <c r="DE538" s="14" t="s">
        <v>389</v>
      </c>
    </row>
    <row r="539" spans="1:109">
      <c r="A539" s="14" t="s">
        <v>1883</v>
      </c>
      <c r="B539" s="14" t="s">
        <v>1722</v>
      </c>
      <c r="C539" s="14" t="s">
        <v>390</v>
      </c>
      <c r="D539" s="14" t="s">
        <v>830</v>
      </c>
      <c r="E539" s="14" t="s">
        <v>673</v>
      </c>
      <c r="F539" s="14" t="s">
        <v>933</v>
      </c>
      <c r="H539" s="14" t="s">
        <v>703</v>
      </c>
      <c r="J539" s="14" t="s">
        <v>902</v>
      </c>
      <c r="M539" s="14">
        <v>18</v>
      </c>
      <c r="CW539" s="14" t="s">
        <v>386</v>
      </c>
      <c r="CX539" s="14" t="s">
        <v>387</v>
      </c>
      <c r="CY539" s="14">
        <v>2022</v>
      </c>
      <c r="DA539" s="14" t="s">
        <v>388</v>
      </c>
      <c r="DB539" s="14">
        <v>9</v>
      </c>
      <c r="DD539" s="14" t="s">
        <v>2169</v>
      </c>
      <c r="DE539" s="14" t="s">
        <v>389</v>
      </c>
    </row>
    <row r="540" spans="1:109">
      <c r="A540" s="14" t="s">
        <v>1883</v>
      </c>
      <c r="B540" s="14" t="s">
        <v>1722</v>
      </c>
      <c r="C540" s="14" t="s">
        <v>390</v>
      </c>
      <c r="D540" s="14" t="s">
        <v>830</v>
      </c>
      <c r="E540" s="14" t="s">
        <v>673</v>
      </c>
      <c r="F540" s="14" t="s">
        <v>684</v>
      </c>
      <c r="G540" s="14" t="s">
        <v>934</v>
      </c>
      <c r="H540" s="14" t="s">
        <v>703</v>
      </c>
      <c r="J540" s="14" t="s">
        <v>902</v>
      </c>
      <c r="M540" s="14">
        <v>18</v>
      </c>
      <c r="CW540" s="14" t="s">
        <v>386</v>
      </c>
      <c r="CX540" s="14" t="s">
        <v>387</v>
      </c>
      <c r="CY540" s="14">
        <v>2022</v>
      </c>
      <c r="DA540" s="14" t="s">
        <v>388</v>
      </c>
      <c r="DB540" s="14">
        <v>9</v>
      </c>
      <c r="DD540" s="14" t="s">
        <v>2169</v>
      </c>
      <c r="DE540" s="14" t="s">
        <v>389</v>
      </c>
    </row>
    <row r="541" spans="1:109" ht="20">
      <c r="A541" s="13" t="s">
        <v>3411</v>
      </c>
      <c r="B541" s="13"/>
      <c r="C541" s="13" t="s">
        <v>3339</v>
      </c>
      <c r="D541" s="14" t="s">
        <v>830</v>
      </c>
      <c r="E541" s="13"/>
      <c r="F541" s="13" t="s">
        <v>3905</v>
      </c>
      <c r="G541" s="13"/>
      <c r="H541" s="14" t="s">
        <v>2483</v>
      </c>
      <c r="I541" s="13" t="s">
        <v>3906</v>
      </c>
      <c r="J541" s="13" t="s">
        <v>3907</v>
      </c>
      <c r="K541" s="13"/>
      <c r="L541" s="13"/>
      <c r="M541" s="13">
        <v>397</v>
      </c>
      <c r="N541" s="13"/>
      <c r="O541" s="15"/>
      <c r="P541" s="13"/>
      <c r="Q541" s="13">
        <v>63.6</v>
      </c>
      <c r="R541" s="13"/>
      <c r="S541" s="13"/>
      <c r="T541" s="13"/>
      <c r="U541" s="13"/>
      <c r="V541" s="13">
        <v>239</v>
      </c>
      <c r="W541" s="2">
        <f>V541/M541</f>
        <v>0.60201511335012592</v>
      </c>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6"/>
      <c r="BB541" s="13"/>
      <c r="BC541" s="13"/>
      <c r="BD541" s="13"/>
      <c r="BE541" s="16"/>
      <c r="BF541" s="13"/>
      <c r="BG541" s="13"/>
      <c r="BH541" s="13"/>
      <c r="BI541" s="13"/>
      <c r="BJ541" s="16"/>
      <c r="BK541" s="13"/>
      <c r="BL541" s="13"/>
      <c r="BM541" s="13"/>
      <c r="BN541" s="16"/>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t="s">
        <v>3570</v>
      </c>
      <c r="CX541" s="13" t="s">
        <v>3571</v>
      </c>
      <c r="CY541" s="13">
        <v>2024</v>
      </c>
      <c r="CZ541" s="21">
        <v>46006</v>
      </c>
      <c r="DA541" s="13" t="s">
        <v>362</v>
      </c>
      <c r="DB541" s="13">
        <v>10</v>
      </c>
      <c r="DC541" s="13">
        <v>23</v>
      </c>
      <c r="DD541" s="13" t="s">
        <v>3572</v>
      </c>
      <c r="DE541" s="13" t="s">
        <v>3266</v>
      </c>
    </row>
    <row r="542" spans="1:109" ht="20">
      <c r="A542" s="13" t="s">
        <v>3412</v>
      </c>
      <c r="B542" s="13"/>
      <c r="C542" s="13" t="s">
        <v>3340</v>
      </c>
      <c r="D542" s="14" t="s">
        <v>898</v>
      </c>
      <c r="E542" s="13" t="s">
        <v>3819</v>
      </c>
      <c r="F542" s="13" t="s">
        <v>3910</v>
      </c>
      <c r="G542" s="13"/>
      <c r="H542" s="14" t="s">
        <v>584</v>
      </c>
      <c r="I542" s="13" t="s">
        <v>3676</v>
      </c>
      <c r="J542" s="13"/>
      <c r="K542" s="13"/>
      <c r="L542" s="13"/>
      <c r="M542" s="13"/>
      <c r="N542" s="13"/>
      <c r="O542" s="15"/>
      <c r="P542" s="13"/>
      <c r="Q542" s="13"/>
      <c r="R542" s="13"/>
      <c r="S542" s="13"/>
      <c r="T542" s="13"/>
      <c r="U542" s="13"/>
      <c r="V542" s="13"/>
      <c r="W542" s="2"/>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6"/>
      <c r="BB542" s="13"/>
      <c r="BC542" s="13"/>
      <c r="BD542" s="13"/>
      <c r="BE542" s="16"/>
      <c r="BF542" s="13"/>
      <c r="BG542" s="13"/>
      <c r="BH542" s="13"/>
      <c r="BI542" s="13"/>
      <c r="BJ542" s="16"/>
      <c r="BK542" s="13"/>
      <c r="BL542" s="13"/>
      <c r="BM542" s="13"/>
      <c r="BN542" s="16"/>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t="s">
        <v>3573</v>
      </c>
      <c r="CX542" s="13" t="s">
        <v>3574</v>
      </c>
      <c r="CY542" s="13">
        <v>2025</v>
      </c>
      <c r="CZ542" s="21">
        <v>45713</v>
      </c>
      <c r="DA542" s="13" t="s">
        <v>13</v>
      </c>
      <c r="DB542" s="13">
        <v>272</v>
      </c>
      <c r="DC542" s="13">
        <v>3</v>
      </c>
      <c r="DD542" s="13">
        <v>230</v>
      </c>
      <c r="DE542" s="13" t="s">
        <v>3267</v>
      </c>
    </row>
    <row r="543" spans="1:109">
      <c r="A543" s="14" t="s">
        <v>1884</v>
      </c>
      <c r="B543" s="14" t="s">
        <v>1723</v>
      </c>
      <c r="C543" s="14" t="s">
        <v>395</v>
      </c>
      <c r="D543" s="14" t="s">
        <v>830</v>
      </c>
      <c r="E543" s="14" t="s">
        <v>674</v>
      </c>
      <c r="F543" s="14" t="s">
        <v>684</v>
      </c>
      <c r="G543" s="14" t="s">
        <v>2168</v>
      </c>
      <c r="H543" s="14" t="s">
        <v>703</v>
      </c>
      <c r="I543" s="14" t="s">
        <v>4092</v>
      </c>
      <c r="J543" s="14" t="s">
        <v>1982</v>
      </c>
      <c r="K543" s="14" t="s">
        <v>937</v>
      </c>
      <c r="M543" s="14">
        <v>106</v>
      </c>
      <c r="P543" s="14">
        <v>10</v>
      </c>
      <c r="S543" s="14">
        <v>67</v>
      </c>
      <c r="V543" s="14">
        <v>64</v>
      </c>
      <c r="W543" s="14">
        <f>V543/M543</f>
        <v>0.60377358490566035</v>
      </c>
      <c r="Z543" s="14">
        <v>34</v>
      </c>
      <c r="AC543" s="14">
        <v>77</v>
      </c>
      <c r="AD543" s="34">
        <f>AC543/M543</f>
        <v>0.72641509433962259</v>
      </c>
      <c r="AG543" s="35">
        <v>14</v>
      </c>
      <c r="CV543" s="14" t="s">
        <v>2771</v>
      </c>
      <c r="CW543" s="14" t="s">
        <v>391</v>
      </c>
      <c r="CX543" s="14" t="s">
        <v>1453</v>
      </c>
      <c r="CY543" s="14">
        <v>2021</v>
      </c>
      <c r="CZ543" s="36">
        <v>45514</v>
      </c>
      <c r="DA543" s="14" t="s">
        <v>1454</v>
      </c>
      <c r="DB543" s="14">
        <v>16</v>
      </c>
      <c r="DC543" s="14">
        <v>1</v>
      </c>
      <c r="DD543" s="14" t="s">
        <v>2162</v>
      </c>
      <c r="DE543" s="14" t="s">
        <v>394</v>
      </c>
    </row>
    <row r="544" spans="1:109">
      <c r="A544" s="14" t="s">
        <v>1885</v>
      </c>
      <c r="C544" s="14" t="s">
        <v>1459</v>
      </c>
      <c r="D544" s="14" t="s">
        <v>2772</v>
      </c>
      <c r="E544" s="14" t="s">
        <v>673</v>
      </c>
      <c r="F544" s="14" t="s">
        <v>2419</v>
      </c>
      <c r="H544" s="14" t="s">
        <v>726</v>
      </c>
      <c r="I544" s="14" t="s">
        <v>3159</v>
      </c>
      <c r="J544" s="14" t="s">
        <v>585</v>
      </c>
      <c r="L544" s="14" t="s">
        <v>2773</v>
      </c>
      <c r="M544" s="14">
        <v>50</v>
      </c>
      <c r="Q544" s="14">
        <v>52.3</v>
      </c>
      <c r="R544" s="14">
        <v>11.9</v>
      </c>
      <c r="V544" s="14">
        <v>25</v>
      </c>
      <c r="W544" s="14">
        <f>V544/M544</f>
        <v>0.5</v>
      </c>
      <c r="X544" s="14">
        <v>19.8</v>
      </c>
      <c r="Y544" s="14">
        <v>7.7</v>
      </c>
      <c r="AC544" s="14">
        <v>39</v>
      </c>
      <c r="AD544" s="34">
        <f>AC544/M544</f>
        <v>0.78</v>
      </c>
      <c r="AG544" s="35">
        <v>18</v>
      </c>
      <c r="AH544" s="35">
        <v>7</v>
      </c>
      <c r="AI544" s="35">
        <v>24</v>
      </c>
      <c r="BN544" s="14" t="s">
        <v>2231</v>
      </c>
      <c r="BQ544" s="14">
        <v>0.36099999999999999</v>
      </c>
      <c r="BU544" s="14">
        <v>1.2E-2</v>
      </c>
      <c r="CC544" s="14">
        <v>-0.161</v>
      </c>
      <c r="CG544" s="14">
        <v>0.26800000000000002</v>
      </c>
      <c r="CW544" s="14" t="s">
        <v>1455</v>
      </c>
      <c r="CX544" s="14" t="s">
        <v>1456</v>
      </c>
      <c r="CY544" s="14">
        <v>2021</v>
      </c>
      <c r="CZ544" s="36" t="s">
        <v>162</v>
      </c>
      <c r="DA544" s="14" t="s">
        <v>1457</v>
      </c>
      <c r="DB544" s="14">
        <v>25</v>
      </c>
      <c r="DD544" s="14" t="s">
        <v>2167</v>
      </c>
      <c r="DE544" s="14" t="s">
        <v>1458</v>
      </c>
    </row>
    <row r="545" spans="1:109">
      <c r="A545" s="14" t="s">
        <v>1885</v>
      </c>
      <c r="C545" s="14" t="s">
        <v>1459</v>
      </c>
      <c r="D545" s="14" t="s">
        <v>2772</v>
      </c>
      <c r="E545" s="14" t="s">
        <v>672</v>
      </c>
      <c r="F545" s="14" t="s">
        <v>2419</v>
      </c>
      <c r="H545" s="14" t="s">
        <v>726</v>
      </c>
      <c r="I545" s="14" t="s">
        <v>3159</v>
      </c>
      <c r="J545" s="14" t="s">
        <v>585</v>
      </c>
      <c r="L545" s="14" t="s">
        <v>2773</v>
      </c>
      <c r="M545" s="14">
        <v>50</v>
      </c>
      <c r="Q545" s="14">
        <v>52.3</v>
      </c>
      <c r="R545" s="14">
        <v>11.9</v>
      </c>
      <c r="V545" s="14">
        <v>25</v>
      </c>
      <c r="W545" s="14">
        <f>V545/M545</f>
        <v>0.5</v>
      </c>
      <c r="X545" s="14">
        <v>19.8</v>
      </c>
      <c r="Y545" s="14">
        <v>7.7</v>
      </c>
      <c r="AC545" s="14">
        <v>39</v>
      </c>
      <c r="AD545" s="34">
        <f>AC545/M545</f>
        <v>0.78</v>
      </c>
      <c r="AG545" s="35">
        <v>18</v>
      </c>
      <c r="AH545" s="35">
        <v>7</v>
      </c>
      <c r="AI545" s="35">
        <v>24</v>
      </c>
      <c r="BN545" s="14" t="s">
        <v>2231</v>
      </c>
      <c r="BQ545" s="14">
        <v>3.5000000000000003E-2</v>
      </c>
      <c r="BU545" s="14">
        <v>0.81399999999999995</v>
      </c>
      <c r="CC545" s="14">
        <v>6.0000000000000001E-3</v>
      </c>
      <c r="CG545" s="14">
        <v>0.96899999999999997</v>
      </c>
      <c r="CW545" s="14" t="s">
        <v>1455</v>
      </c>
      <c r="CX545" s="14" t="s">
        <v>1456</v>
      </c>
      <c r="CY545" s="14">
        <v>2021</v>
      </c>
      <c r="CZ545" s="36" t="s">
        <v>162</v>
      </c>
      <c r="DA545" s="14" t="s">
        <v>1457</v>
      </c>
      <c r="DB545" s="14">
        <v>25</v>
      </c>
      <c r="DD545" s="14" t="s">
        <v>2167</v>
      </c>
      <c r="DE545" s="14" t="s">
        <v>1458</v>
      </c>
    </row>
    <row r="546" spans="1:109">
      <c r="A546" s="14" t="s">
        <v>1886</v>
      </c>
      <c r="C546" s="14" t="s">
        <v>1465</v>
      </c>
      <c r="D546" s="14" t="s">
        <v>830</v>
      </c>
      <c r="E546" s="14" t="s">
        <v>672</v>
      </c>
      <c r="F546" s="14" t="s">
        <v>676</v>
      </c>
      <c r="H546" s="14" t="s">
        <v>584</v>
      </c>
      <c r="I546" s="14" t="s">
        <v>3125</v>
      </c>
      <c r="J546" s="14" t="s">
        <v>652</v>
      </c>
      <c r="M546" s="14">
        <v>40</v>
      </c>
      <c r="Q546" s="14">
        <v>52.41</v>
      </c>
      <c r="R546" s="14">
        <v>12.32</v>
      </c>
      <c r="V546" s="14">
        <v>28</v>
      </c>
      <c r="W546" s="14">
        <f>V546/M546</f>
        <v>0.7</v>
      </c>
      <c r="X546" s="14">
        <v>37.92</v>
      </c>
      <c r="Y546" s="14">
        <v>6.41</v>
      </c>
      <c r="AC546" s="14">
        <v>34</v>
      </c>
      <c r="AD546" s="34">
        <f>AC546/M546</f>
        <v>0.85</v>
      </c>
      <c r="AE546" s="35">
        <v>25.32</v>
      </c>
      <c r="AF546" s="35">
        <v>22.56</v>
      </c>
      <c r="BN546" s="14" t="s">
        <v>2231</v>
      </c>
      <c r="BU546" s="14">
        <v>5.7000000000000002E-2</v>
      </c>
      <c r="CG546" s="14">
        <v>5.7000000000000002E-2</v>
      </c>
      <c r="CQ546" s="14" t="s">
        <v>2775</v>
      </c>
      <c r="CS546" s="14">
        <v>-0.188</v>
      </c>
      <c r="CT546" s="14">
        <f>CS546-0.151*1.96</f>
        <v>-0.48396</v>
      </c>
      <c r="CU546" s="14">
        <f>CS546+0.151*1.96</f>
        <v>0.10796</v>
      </c>
      <c r="CW546" s="14" t="s">
        <v>1460</v>
      </c>
      <c r="CX546" s="14" t="s">
        <v>1461</v>
      </c>
      <c r="CY546" s="14">
        <v>2022</v>
      </c>
      <c r="CZ546" s="36" t="s">
        <v>25</v>
      </c>
      <c r="DA546" s="14" t="s">
        <v>1462</v>
      </c>
      <c r="DB546" s="14">
        <v>32</v>
      </c>
      <c r="DC546" s="14">
        <v>2</v>
      </c>
      <c r="DD546" s="14" t="s">
        <v>1463</v>
      </c>
      <c r="DE546" s="14" t="s">
        <v>1464</v>
      </c>
    </row>
    <row r="547" spans="1:109">
      <c r="A547" s="14" t="s">
        <v>1886</v>
      </c>
      <c r="C547" s="14" t="s">
        <v>1465</v>
      </c>
      <c r="D547" s="14" t="s">
        <v>830</v>
      </c>
      <c r="E547" s="14" t="s">
        <v>672</v>
      </c>
      <c r="F547" s="14" t="s">
        <v>4160</v>
      </c>
      <c r="H547" s="14" t="s">
        <v>584</v>
      </c>
      <c r="I547" s="14" t="s">
        <v>3125</v>
      </c>
      <c r="J547" s="14" t="s">
        <v>652</v>
      </c>
      <c r="K547" s="14" t="s">
        <v>4152</v>
      </c>
      <c r="M547" s="14">
        <v>40</v>
      </c>
      <c r="Q547" s="14">
        <v>52.41</v>
      </c>
      <c r="R547" s="14">
        <v>12.32</v>
      </c>
      <c r="V547" s="14">
        <v>28</v>
      </c>
      <c r="W547" s="14">
        <f>V547/M547</f>
        <v>0.7</v>
      </c>
      <c r="X547" s="14">
        <v>37.92</v>
      </c>
      <c r="Y547" s="14">
        <v>6.41</v>
      </c>
      <c r="AC547" s="14">
        <v>34</v>
      </c>
      <c r="AD547" s="34">
        <f>AC547/M547</f>
        <v>0.85</v>
      </c>
      <c r="AE547" s="35">
        <v>25.32</v>
      </c>
      <c r="AF547" s="35">
        <v>22.56</v>
      </c>
      <c r="BN547" s="14" t="s">
        <v>2231</v>
      </c>
      <c r="BU547" s="14">
        <v>5.7000000000000002E-2</v>
      </c>
      <c r="CG547" s="14">
        <v>5.0000000000000001E-3</v>
      </c>
      <c r="CQ547" s="14" t="s">
        <v>2775</v>
      </c>
      <c r="CS547" s="14">
        <v>13.89</v>
      </c>
      <c r="CT547" s="14">
        <f>CS547-11.492*1.96</f>
        <v>-8.6343200000000024</v>
      </c>
      <c r="CU547" s="14">
        <f>CS547+11.492*1.96</f>
        <v>36.414320000000004</v>
      </c>
      <c r="CW547" s="14" t="s">
        <v>1460</v>
      </c>
      <c r="CX547" s="14" t="s">
        <v>1461</v>
      </c>
      <c r="CY547" s="14">
        <v>2022</v>
      </c>
      <c r="CZ547" s="36" t="s">
        <v>25</v>
      </c>
      <c r="DA547" s="14" t="s">
        <v>1462</v>
      </c>
      <c r="DB547" s="14">
        <v>32</v>
      </c>
      <c r="DC547" s="14">
        <v>2</v>
      </c>
      <c r="DD547" s="14" t="s">
        <v>1463</v>
      </c>
      <c r="DE547" s="14" t="s">
        <v>1464</v>
      </c>
    </row>
    <row r="548" spans="1:109">
      <c r="A548" s="14" t="s">
        <v>2010</v>
      </c>
      <c r="C548" s="14" t="s">
        <v>2012</v>
      </c>
      <c r="D548" s="14" t="s">
        <v>2014</v>
      </c>
      <c r="E548" s="14" t="s">
        <v>673</v>
      </c>
      <c r="F548" s="14" t="s">
        <v>2011</v>
      </c>
      <c r="H548" s="14" t="s">
        <v>629</v>
      </c>
      <c r="I548" s="14" t="s">
        <v>4081</v>
      </c>
      <c r="J548" s="14" t="s">
        <v>2015</v>
      </c>
      <c r="K548" s="14" t="s">
        <v>2016</v>
      </c>
      <c r="M548" s="14">
        <v>89</v>
      </c>
      <c r="N548" s="14">
        <v>0</v>
      </c>
      <c r="O548" s="34">
        <v>0</v>
      </c>
      <c r="P548" s="14">
        <v>0</v>
      </c>
      <c r="BE548" s="14"/>
      <c r="BF548" s="14"/>
      <c r="CW548" s="14" t="s">
        <v>2087</v>
      </c>
      <c r="CX548" s="14" t="s">
        <v>2088</v>
      </c>
      <c r="CY548" s="14">
        <v>2021</v>
      </c>
      <c r="DA548" s="14" t="s">
        <v>2089</v>
      </c>
      <c r="DB548" s="14">
        <v>1</v>
      </c>
      <c r="DE548" s="14" t="s">
        <v>2090</v>
      </c>
    </row>
    <row r="549" spans="1:109">
      <c r="A549" s="14" t="s">
        <v>1887</v>
      </c>
      <c r="B549" s="14" t="s">
        <v>1724</v>
      </c>
      <c r="C549" s="14" t="s">
        <v>1468</v>
      </c>
      <c r="D549" s="14" t="s">
        <v>829</v>
      </c>
      <c r="E549" s="14" t="s">
        <v>673</v>
      </c>
      <c r="F549" s="14" t="s">
        <v>945</v>
      </c>
      <c r="H549" s="14" t="s">
        <v>629</v>
      </c>
      <c r="I549" s="14" t="s">
        <v>3160</v>
      </c>
      <c r="J549" s="14" t="s">
        <v>1972</v>
      </c>
      <c r="K549" s="14" t="s">
        <v>944</v>
      </c>
      <c r="M549" s="14">
        <v>28</v>
      </c>
      <c r="Q549" s="14">
        <v>58.32</v>
      </c>
      <c r="R549" s="14">
        <v>10.82</v>
      </c>
      <c r="S549" s="14">
        <v>60</v>
      </c>
      <c r="T549" s="14">
        <v>52.75</v>
      </c>
      <c r="U549" s="14">
        <v>66</v>
      </c>
      <c r="V549" s="14">
        <v>21</v>
      </c>
      <c r="W549" s="14">
        <f t="shared" ref="W549:W589" si="52">V549/M549</f>
        <v>0.75</v>
      </c>
      <c r="BE549" s="14"/>
      <c r="BF549" s="14"/>
      <c r="CW549" s="14" t="s">
        <v>396</v>
      </c>
      <c r="CX549" s="14" t="s">
        <v>1466</v>
      </c>
      <c r="CY549" s="14">
        <v>2023</v>
      </c>
      <c r="DA549" s="14" t="s">
        <v>135</v>
      </c>
      <c r="DB549" s="14">
        <v>5</v>
      </c>
      <c r="DC549" s="14">
        <v>1</v>
      </c>
      <c r="DD549" s="14" t="s">
        <v>1467</v>
      </c>
      <c r="DE549" s="14" t="s">
        <v>398</v>
      </c>
    </row>
    <row r="550" spans="1:109">
      <c r="A550" s="14" t="s">
        <v>1887</v>
      </c>
      <c r="B550" s="14" t="s">
        <v>1724</v>
      </c>
      <c r="C550" s="14" t="s">
        <v>1468</v>
      </c>
      <c r="D550" s="14" t="s">
        <v>829</v>
      </c>
      <c r="E550" s="14" t="s">
        <v>673</v>
      </c>
      <c r="F550" s="14" t="s">
        <v>946</v>
      </c>
      <c r="H550" s="14" t="s">
        <v>629</v>
      </c>
      <c r="I550" s="14" t="s">
        <v>3160</v>
      </c>
      <c r="J550" s="14" t="s">
        <v>1972</v>
      </c>
      <c r="K550" s="14" t="s">
        <v>944</v>
      </c>
      <c r="M550" s="14">
        <v>28</v>
      </c>
      <c r="Q550" s="14">
        <v>58.32</v>
      </c>
      <c r="R550" s="14">
        <v>10.82</v>
      </c>
      <c r="S550" s="14">
        <v>60</v>
      </c>
      <c r="T550" s="14">
        <v>52.75</v>
      </c>
      <c r="U550" s="14">
        <v>66</v>
      </c>
      <c r="V550" s="14">
        <v>21</v>
      </c>
      <c r="W550" s="14">
        <f t="shared" si="52"/>
        <v>0.75</v>
      </c>
      <c r="BE550" s="14"/>
      <c r="BF550" s="14"/>
      <c r="CW550" s="14" t="s">
        <v>396</v>
      </c>
      <c r="CX550" s="14" t="s">
        <v>1466</v>
      </c>
      <c r="CY550" s="14">
        <v>2023</v>
      </c>
      <c r="DA550" s="14" t="s">
        <v>135</v>
      </c>
      <c r="DB550" s="14">
        <v>5</v>
      </c>
      <c r="DC550" s="14">
        <v>1</v>
      </c>
      <c r="DD550" s="14" t="s">
        <v>1467</v>
      </c>
      <c r="DE550" s="14" t="s">
        <v>398</v>
      </c>
    </row>
    <row r="551" spans="1:109">
      <c r="A551" s="14" t="s">
        <v>1887</v>
      </c>
      <c r="B551" s="14" t="s">
        <v>1724</v>
      </c>
      <c r="C551" s="14" t="s">
        <v>1468</v>
      </c>
      <c r="D551" s="14" t="s">
        <v>829</v>
      </c>
      <c r="E551" s="14" t="s">
        <v>673</v>
      </c>
      <c r="F551" s="14" t="s">
        <v>675</v>
      </c>
      <c r="H551" s="14" t="s">
        <v>629</v>
      </c>
      <c r="I551" s="14" t="s">
        <v>3160</v>
      </c>
      <c r="J551" s="14" t="s">
        <v>1972</v>
      </c>
      <c r="K551" s="14" t="s">
        <v>944</v>
      </c>
      <c r="M551" s="14">
        <v>28</v>
      </c>
      <c r="Q551" s="14">
        <v>58.32</v>
      </c>
      <c r="R551" s="14">
        <v>10.82</v>
      </c>
      <c r="S551" s="14">
        <v>60</v>
      </c>
      <c r="T551" s="14">
        <v>52.75</v>
      </c>
      <c r="U551" s="14">
        <v>66</v>
      </c>
      <c r="V551" s="14">
        <v>21</v>
      </c>
      <c r="W551" s="14">
        <f t="shared" si="52"/>
        <v>0.75</v>
      </c>
      <c r="BE551" s="14"/>
      <c r="BF551" s="14"/>
      <c r="CW551" s="14" t="s">
        <v>396</v>
      </c>
      <c r="CX551" s="14" t="s">
        <v>1466</v>
      </c>
      <c r="CY551" s="14">
        <v>2023</v>
      </c>
      <c r="DA551" s="14" t="s">
        <v>135</v>
      </c>
      <c r="DB551" s="14">
        <v>5</v>
      </c>
      <c r="DC551" s="14">
        <v>1</v>
      </c>
      <c r="DD551" s="14" t="s">
        <v>1467</v>
      </c>
      <c r="DE551" s="14" t="s">
        <v>398</v>
      </c>
    </row>
    <row r="552" spans="1:109">
      <c r="A552" s="14" t="s">
        <v>1887</v>
      </c>
      <c r="B552" s="14" t="s">
        <v>1724</v>
      </c>
      <c r="C552" s="14" t="s">
        <v>1468</v>
      </c>
      <c r="D552" s="14" t="s">
        <v>829</v>
      </c>
      <c r="E552" s="14" t="s">
        <v>673</v>
      </c>
      <c r="F552" s="14" t="s">
        <v>686</v>
      </c>
      <c r="H552" s="14" t="s">
        <v>629</v>
      </c>
      <c r="I552" s="14" t="s">
        <v>4081</v>
      </c>
      <c r="J552" s="14" t="s">
        <v>1972</v>
      </c>
      <c r="K552" s="14" t="s">
        <v>944</v>
      </c>
      <c r="M552" s="14">
        <v>28</v>
      </c>
      <c r="Q552" s="14">
        <v>58.32</v>
      </c>
      <c r="R552" s="14">
        <v>10.82</v>
      </c>
      <c r="S552" s="14">
        <v>60</v>
      </c>
      <c r="T552" s="14">
        <v>52.75</v>
      </c>
      <c r="U552" s="14">
        <v>66</v>
      </c>
      <c r="V552" s="14">
        <v>21</v>
      </c>
      <c r="W552" s="14">
        <f t="shared" si="52"/>
        <v>0.75</v>
      </c>
      <c r="BE552" s="14"/>
      <c r="BF552" s="14"/>
      <c r="CW552" s="14" t="s">
        <v>396</v>
      </c>
      <c r="CX552" s="14" t="s">
        <v>1466</v>
      </c>
      <c r="CY552" s="14">
        <v>2023</v>
      </c>
      <c r="DA552" s="14" t="s">
        <v>135</v>
      </c>
      <c r="DB552" s="14">
        <v>5</v>
      </c>
      <c r="DC552" s="14">
        <v>1</v>
      </c>
      <c r="DD552" s="14" t="s">
        <v>1467</v>
      </c>
      <c r="DE552" s="14" t="s">
        <v>398</v>
      </c>
    </row>
    <row r="553" spans="1:109">
      <c r="A553" s="14" t="s">
        <v>1888</v>
      </c>
      <c r="B553" s="14" t="s">
        <v>1725</v>
      </c>
      <c r="C553" s="14" t="s">
        <v>403</v>
      </c>
      <c r="D553" s="14" t="s">
        <v>827</v>
      </c>
      <c r="E553" s="14" t="s">
        <v>725</v>
      </c>
      <c r="F553" s="14" t="s">
        <v>948</v>
      </c>
      <c r="H553" s="14" t="s">
        <v>703</v>
      </c>
      <c r="I553" s="14" t="s">
        <v>3081</v>
      </c>
      <c r="J553" s="14" t="s">
        <v>1973</v>
      </c>
      <c r="K553" s="14" t="s">
        <v>947</v>
      </c>
      <c r="L553" s="14" t="s">
        <v>949</v>
      </c>
      <c r="M553" s="14">
        <v>92</v>
      </c>
      <c r="S553" s="14">
        <v>65</v>
      </c>
      <c r="T553" s="14">
        <v>58</v>
      </c>
      <c r="U553" s="14">
        <v>71</v>
      </c>
      <c r="V553" s="14">
        <v>51</v>
      </c>
      <c r="W553" s="14">
        <f t="shared" si="52"/>
        <v>0.55434782608695654</v>
      </c>
      <c r="Z553" s="14">
        <v>37</v>
      </c>
      <c r="AA553" s="14">
        <v>32</v>
      </c>
      <c r="AB553" s="14">
        <v>42</v>
      </c>
      <c r="AC553" s="14">
        <v>62</v>
      </c>
      <c r="AD553" s="34">
        <f>AC553/M553</f>
        <v>0.67391304347826086</v>
      </c>
      <c r="AG553" s="35">
        <v>15</v>
      </c>
      <c r="AH553" s="35">
        <v>9</v>
      </c>
      <c r="AI553" s="35">
        <v>29</v>
      </c>
      <c r="BE553" s="14"/>
      <c r="BF553" s="14"/>
      <c r="BN553" s="14" t="s">
        <v>2231</v>
      </c>
      <c r="BQ553" s="14">
        <v>-0.1</v>
      </c>
      <c r="BU553" s="14">
        <v>0.4</v>
      </c>
      <c r="CC553" s="14">
        <v>-0.03</v>
      </c>
      <c r="CG553" s="14">
        <v>0.77</v>
      </c>
      <c r="CV553" s="14" t="s">
        <v>2777</v>
      </c>
      <c r="CW553" s="14" t="s">
        <v>400</v>
      </c>
      <c r="CX553" s="14" t="s">
        <v>401</v>
      </c>
      <c r="CY553" s="14">
        <v>2023</v>
      </c>
      <c r="CZ553" s="36">
        <v>45452</v>
      </c>
      <c r="DA553" s="14" t="s">
        <v>377</v>
      </c>
      <c r="DB553" s="14">
        <v>23</v>
      </c>
      <c r="DC553" s="14">
        <v>1</v>
      </c>
      <c r="DD553" s="14" t="s">
        <v>2166</v>
      </c>
      <c r="DE553" s="14" t="s">
        <v>402</v>
      </c>
    </row>
    <row r="554" spans="1:109">
      <c r="A554" s="14" t="s">
        <v>1889</v>
      </c>
      <c r="C554" s="14" t="s">
        <v>1474</v>
      </c>
      <c r="D554" s="14" t="s">
        <v>818</v>
      </c>
      <c r="E554" s="14" t="s">
        <v>673</v>
      </c>
      <c r="F554" s="14" t="s">
        <v>2785</v>
      </c>
      <c r="H554" s="14" t="s">
        <v>703</v>
      </c>
      <c r="I554" s="14" t="s">
        <v>3161</v>
      </c>
      <c r="J554" s="14" t="s">
        <v>585</v>
      </c>
      <c r="L554" s="14" t="s">
        <v>639</v>
      </c>
      <c r="M554" s="14">
        <v>35</v>
      </c>
      <c r="P554" s="14">
        <v>0</v>
      </c>
      <c r="Q554" s="14">
        <v>59.61</v>
      </c>
      <c r="R554" s="14">
        <v>18.27</v>
      </c>
      <c r="V554" s="14">
        <v>26</v>
      </c>
      <c r="W554" s="14">
        <f t="shared" si="52"/>
        <v>0.74285714285714288</v>
      </c>
      <c r="X554" s="14">
        <v>36.69</v>
      </c>
      <c r="Y554" s="14">
        <v>8.57</v>
      </c>
      <c r="AC554" s="14">
        <v>25</v>
      </c>
      <c r="AD554" s="34">
        <f>AC554/M554</f>
        <v>0.7142857142857143</v>
      </c>
      <c r="AE554" s="35">
        <v>40</v>
      </c>
      <c r="AF554" s="35">
        <v>60.44</v>
      </c>
      <c r="BE554" s="14"/>
      <c r="BF554" s="14"/>
      <c r="CW554" s="14" t="s">
        <v>1469</v>
      </c>
      <c r="CX554" s="14" t="s">
        <v>1470</v>
      </c>
      <c r="CY554" s="14">
        <v>2020</v>
      </c>
      <c r="CZ554" s="36" t="s">
        <v>32</v>
      </c>
      <c r="DA554" s="14" t="s">
        <v>1471</v>
      </c>
      <c r="DB554" s="14">
        <v>10</v>
      </c>
      <c r="DC554" s="14">
        <v>8</v>
      </c>
      <c r="DD554" s="14" t="s">
        <v>1472</v>
      </c>
      <c r="DE554" s="14" t="s">
        <v>1473</v>
      </c>
    </row>
    <row r="555" spans="1:109">
      <c r="A555" s="14" t="s">
        <v>1890</v>
      </c>
      <c r="C555" s="14" t="s">
        <v>1479</v>
      </c>
      <c r="D555" s="14" t="s">
        <v>827</v>
      </c>
      <c r="E555" s="14" t="s">
        <v>674</v>
      </c>
      <c r="F555" s="14" t="s">
        <v>2382</v>
      </c>
      <c r="H555" s="14" t="s">
        <v>716</v>
      </c>
      <c r="I555" s="14" t="s">
        <v>3100</v>
      </c>
      <c r="J555" s="14" t="s">
        <v>2790</v>
      </c>
      <c r="K555" s="14" t="s">
        <v>2789</v>
      </c>
      <c r="L555" s="14" t="s">
        <v>639</v>
      </c>
      <c r="M555" s="14">
        <v>82</v>
      </c>
      <c r="Q555" s="14">
        <v>60.5</v>
      </c>
      <c r="R555" s="14">
        <v>9.9</v>
      </c>
      <c r="V555" s="14">
        <v>48</v>
      </c>
      <c r="W555" s="14">
        <f t="shared" si="52"/>
        <v>0.58536585365853655</v>
      </c>
      <c r="X555" s="14">
        <v>39.200000000000003</v>
      </c>
      <c r="Y555" s="14">
        <v>7.7</v>
      </c>
      <c r="AC555" s="14">
        <v>65</v>
      </c>
      <c r="AD555" s="34">
        <f>AC555/M555</f>
        <v>0.79268292682926833</v>
      </c>
      <c r="AE555" s="35">
        <v>27.5</v>
      </c>
      <c r="AF555" s="35">
        <v>43.7</v>
      </c>
      <c r="BE555" s="14"/>
      <c r="BF555" s="14"/>
      <c r="CW555" s="14" t="s">
        <v>1475</v>
      </c>
      <c r="CX555" s="14" t="s">
        <v>1476</v>
      </c>
      <c r="CY555" s="14">
        <v>2019</v>
      </c>
      <c r="CZ555" s="36">
        <v>45366</v>
      </c>
      <c r="DA555" s="14" t="s">
        <v>1132</v>
      </c>
      <c r="DB555" s="14">
        <v>398</v>
      </c>
      <c r="DD555" s="14" t="s">
        <v>1477</v>
      </c>
      <c r="DE555" s="14" t="s">
        <v>1478</v>
      </c>
    </row>
    <row r="556" spans="1:109">
      <c r="A556" s="14" t="s">
        <v>1891</v>
      </c>
      <c r="C556" s="14" t="s">
        <v>1484</v>
      </c>
      <c r="D556" s="14" t="s">
        <v>827</v>
      </c>
      <c r="E556" s="14" t="s">
        <v>674</v>
      </c>
      <c r="F556" s="14" t="s">
        <v>2793</v>
      </c>
      <c r="H556" s="14" t="s">
        <v>716</v>
      </c>
      <c r="I556" s="14" t="s">
        <v>3100</v>
      </c>
      <c r="J556" s="14" t="s">
        <v>585</v>
      </c>
      <c r="L556" s="14" t="s">
        <v>2455</v>
      </c>
      <c r="M556" s="14">
        <v>67</v>
      </c>
      <c r="P556" s="14">
        <v>6</v>
      </c>
      <c r="Q556" s="14">
        <v>63.3</v>
      </c>
      <c r="R556" s="14">
        <v>12.3</v>
      </c>
      <c r="V556" s="14">
        <v>40</v>
      </c>
      <c r="W556" s="14">
        <f t="shared" si="52"/>
        <v>0.59701492537313428</v>
      </c>
      <c r="X556" s="14">
        <v>30.52</v>
      </c>
      <c r="Y556" s="14">
        <v>6.66</v>
      </c>
      <c r="AD556" s="34">
        <v>0.61199999999999999</v>
      </c>
      <c r="AE556" s="35">
        <v>24.4</v>
      </c>
      <c r="AF556" s="35">
        <v>21.4</v>
      </c>
      <c r="AU556" s="14" t="s">
        <v>2447</v>
      </c>
      <c r="BE556" s="14" t="s">
        <v>2794</v>
      </c>
      <c r="BG556" s="14">
        <v>0.98599999999999999</v>
      </c>
      <c r="BJ556" s="14" t="s">
        <v>2795</v>
      </c>
      <c r="BK556" s="14">
        <v>0.26100000000000001</v>
      </c>
      <c r="CW556" s="14" t="s">
        <v>1480</v>
      </c>
      <c r="CX556" s="14" t="s">
        <v>1481</v>
      </c>
      <c r="CY556" s="14">
        <v>2021</v>
      </c>
      <c r="DA556" s="14" t="s">
        <v>1482</v>
      </c>
      <c r="DB556" s="14">
        <v>8</v>
      </c>
      <c r="DD556" s="14" t="s">
        <v>2164</v>
      </c>
      <c r="DE556" s="14" t="s">
        <v>1483</v>
      </c>
    </row>
    <row r="557" spans="1:109" ht="20">
      <c r="A557" s="13" t="s">
        <v>3413</v>
      </c>
      <c r="B557" s="13"/>
      <c r="C557" s="13" t="s">
        <v>3341</v>
      </c>
      <c r="D557" s="14" t="s">
        <v>830</v>
      </c>
      <c r="E557" s="13" t="s">
        <v>674</v>
      </c>
      <c r="F557" s="13" t="s">
        <v>3912</v>
      </c>
      <c r="G557" s="13"/>
      <c r="H557" s="14" t="s">
        <v>868</v>
      </c>
      <c r="I557" s="13" t="s">
        <v>3895</v>
      </c>
      <c r="J557" s="13" t="s">
        <v>902</v>
      </c>
      <c r="K557" s="13"/>
      <c r="L557" s="13"/>
      <c r="M557" s="13">
        <v>270</v>
      </c>
      <c r="N557" s="13"/>
      <c r="O557" s="15"/>
      <c r="P557" s="13">
        <v>37</v>
      </c>
      <c r="Q557" s="13">
        <v>65.900000000000006</v>
      </c>
      <c r="R557" s="13">
        <v>11.1</v>
      </c>
      <c r="S557" s="13"/>
      <c r="T557" s="13"/>
      <c r="U557" s="13"/>
      <c r="V557" s="13">
        <v>136</v>
      </c>
      <c r="W557" s="2">
        <f t="shared" si="52"/>
        <v>0.50370370370370365</v>
      </c>
      <c r="X557" s="13"/>
      <c r="Y557" s="13"/>
      <c r="Z557" s="13"/>
      <c r="AA557" s="13"/>
      <c r="AB557" s="13"/>
      <c r="AC557" s="13">
        <v>171</v>
      </c>
      <c r="AD557" s="13">
        <f t="shared" ref="AD557:AD585" si="53">AC557/M557</f>
        <v>0.6333333333333333</v>
      </c>
      <c r="AE557" s="13"/>
      <c r="AF557" s="13"/>
      <c r="AG557" s="13">
        <v>12.77</v>
      </c>
      <c r="AH557" s="13">
        <f t="shared" ref="AH557:AH585" si="54">AG557-10.55/2</f>
        <v>7.4949999999999992</v>
      </c>
      <c r="AI557" s="13">
        <f t="shared" ref="AI557:AI585" si="55">AG557+10.55/2</f>
        <v>18.045000000000002</v>
      </c>
      <c r="AJ557" s="13"/>
      <c r="AK557" s="13"/>
      <c r="AL557" s="13"/>
      <c r="AM557" s="13"/>
      <c r="AN557" s="13"/>
      <c r="AO557" s="13"/>
      <c r="AP557" s="13"/>
      <c r="AQ557" s="13"/>
      <c r="AR557" s="13"/>
      <c r="AS557" s="13"/>
      <c r="AT557" s="13"/>
      <c r="AU557" s="13" t="s">
        <v>3928</v>
      </c>
      <c r="AV557" s="13"/>
      <c r="AW557" s="13">
        <v>270</v>
      </c>
      <c r="AX557" s="13">
        <v>0.92</v>
      </c>
      <c r="AY557" s="13">
        <v>0.79</v>
      </c>
      <c r="AZ557" s="13">
        <v>1.08</v>
      </c>
      <c r="BA557" s="16"/>
      <c r="BB557" s="13"/>
      <c r="BC557" s="13"/>
      <c r="BD557" s="13"/>
      <c r="BE557" s="16" t="s">
        <v>3911</v>
      </c>
      <c r="BF557" s="13">
        <v>270</v>
      </c>
      <c r="BG557" s="13">
        <v>1.08</v>
      </c>
      <c r="BH557" s="13">
        <v>0.92</v>
      </c>
      <c r="BI557" s="13">
        <v>1.28</v>
      </c>
      <c r="BJ557" s="16"/>
      <c r="BK557" s="13"/>
      <c r="BL557" s="13"/>
      <c r="BM557" s="13"/>
      <c r="BN557" s="16"/>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t="s">
        <v>3929</v>
      </c>
      <c r="CW557" s="13" t="s">
        <v>3575</v>
      </c>
      <c r="CX557" s="13" t="s">
        <v>3576</v>
      </c>
      <c r="CY557" s="13">
        <v>2024</v>
      </c>
      <c r="CZ557" s="21">
        <v>46003</v>
      </c>
      <c r="DA557" s="13" t="s">
        <v>13</v>
      </c>
      <c r="DB557" s="13">
        <v>272</v>
      </c>
      <c r="DC557" s="13">
        <v>1</v>
      </c>
      <c r="DD557" s="13">
        <v>7</v>
      </c>
      <c r="DE557" s="13" t="s">
        <v>3268</v>
      </c>
    </row>
    <row r="558" spans="1:109" ht="20">
      <c r="A558" s="13" t="s">
        <v>3413</v>
      </c>
      <c r="B558" s="13"/>
      <c r="C558" s="13" t="s">
        <v>3341</v>
      </c>
      <c r="D558" s="14" t="s">
        <v>830</v>
      </c>
      <c r="E558" s="13" t="s">
        <v>674</v>
      </c>
      <c r="F558" s="13" t="s">
        <v>3913</v>
      </c>
      <c r="G558" s="13"/>
      <c r="H558" s="14" t="s">
        <v>868</v>
      </c>
      <c r="I558" s="13" t="s">
        <v>3895</v>
      </c>
      <c r="J558" s="13" t="s">
        <v>902</v>
      </c>
      <c r="K558" s="13"/>
      <c r="L558" s="13"/>
      <c r="M558" s="13">
        <v>270</v>
      </c>
      <c r="N558" s="13"/>
      <c r="O558" s="15"/>
      <c r="P558" s="13">
        <v>37</v>
      </c>
      <c r="Q558" s="13">
        <v>65.900000000000006</v>
      </c>
      <c r="R558" s="13">
        <v>11.1</v>
      </c>
      <c r="S558" s="13"/>
      <c r="T558" s="13"/>
      <c r="U558" s="13"/>
      <c r="V558" s="13">
        <v>136</v>
      </c>
      <c r="W558" s="2">
        <f t="shared" si="52"/>
        <v>0.50370370370370365</v>
      </c>
      <c r="X558" s="13"/>
      <c r="Y558" s="13"/>
      <c r="Z558" s="13"/>
      <c r="AA558" s="13"/>
      <c r="AB558" s="13"/>
      <c r="AC558" s="13">
        <v>171</v>
      </c>
      <c r="AD558" s="13">
        <f t="shared" si="53"/>
        <v>0.6333333333333333</v>
      </c>
      <c r="AE558" s="13"/>
      <c r="AF558" s="13"/>
      <c r="AG558" s="13">
        <v>12.77</v>
      </c>
      <c r="AH558" s="13">
        <f t="shared" si="54"/>
        <v>7.4949999999999992</v>
      </c>
      <c r="AI558" s="13">
        <f t="shared" si="55"/>
        <v>18.045000000000002</v>
      </c>
      <c r="AJ558" s="13"/>
      <c r="AK558" s="13"/>
      <c r="AL558" s="13"/>
      <c r="AM558" s="13"/>
      <c r="AN558" s="13"/>
      <c r="AO558" s="13"/>
      <c r="AP558" s="13"/>
      <c r="AQ558" s="13"/>
      <c r="AR558" s="13"/>
      <c r="AS558" s="13"/>
      <c r="AT558" s="13"/>
      <c r="AU558" s="13" t="s">
        <v>3928</v>
      </c>
      <c r="AV558" s="13"/>
      <c r="AW558" s="13">
        <v>270</v>
      </c>
      <c r="AX558" s="13">
        <v>1.04</v>
      </c>
      <c r="AY558" s="13">
        <v>0.9</v>
      </c>
      <c r="AZ558" s="13">
        <v>1.21</v>
      </c>
      <c r="BA558" s="16"/>
      <c r="BB558" s="13"/>
      <c r="BC558" s="13"/>
      <c r="BD558" s="13"/>
      <c r="BE558" s="16" t="s">
        <v>3911</v>
      </c>
      <c r="BF558" s="13">
        <v>270</v>
      </c>
      <c r="BG558" s="13">
        <v>1.07</v>
      </c>
      <c r="BH558" s="13">
        <v>0.92</v>
      </c>
      <c r="BI558" s="13">
        <v>1.23</v>
      </c>
      <c r="BJ558" s="16"/>
      <c r="BK558" s="13"/>
      <c r="BL558" s="13"/>
      <c r="BM558" s="13"/>
      <c r="BN558" s="16"/>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t="s">
        <v>3929</v>
      </c>
      <c r="CW558" s="13" t="s">
        <v>3575</v>
      </c>
      <c r="CX558" s="13" t="s">
        <v>3576</v>
      </c>
      <c r="CY558" s="13">
        <v>2024</v>
      </c>
      <c r="CZ558" s="21">
        <v>46003</v>
      </c>
      <c r="DA558" s="13" t="s">
        <v>13</v>
      </c>
      <c r="DB558" s="13">
        <v>272</v>
      </c>
      <c r="DC558" s="13">
        <v>1</v>
      </c>
      <c r="DD558" s="13">
        <v>7</v>
      </c>
      <c r="DE558" s="13" t="s">
        <v>3268</v>
      </c>
    </row>
    <row r="559" spans="1:109" ht="20">
      <c r="A559" s="13" t="s">
        <v>3413</v>
      </c>
      <c r="B559" s="13"/>
      <c r="C559" s="13" t="s">
        <v>3341</v>
      </c>
      <c r="D559" s="14" t="s">
        <v>830</v>
      </c>
      <c r="E559" s="13" t="s">
        <v>674</v>
      </c>
      <c r="F559" s="13" t="s">
        <v>2378</v>
      </c>
      <c r="G559" s="13"/>
      <c r="H559" s="14" t="s">
        <v>868</v>
      </c>
      <c r="I559" s="13" t="s">
        <v>3895</v>
      </c>
      <c r="J559" s="13" t="s">
        <v>902</v>
      </c>
      <c r="K559" s="13"/>
      <c r="L559" s="13"/>
      <c r="M559" s="13">
        <v>270</v>
      </c>
      <c r="N559" s="13"/>
      <c r="O559" s="15"/>
      <c r="P559" s="13">
        <v>37</v>
      </c>
      <c r="Q559" s="13">
        <v>65.900000000000006</v>
      </c>
      <c r="R559" s="13">
        <v>11.1</v>
      </c>
      <c r="S559" s="13"/>
      <c r="T559" s="13"/>
      <c r="U559" s="13"/>
      <c r="V559" s="13">
        <v>136</v>
      </c>
      <c r="W559" s="2">
        <f t="shared" si="52"/>
        <v>0.50370370370370365</v>
      </c>
      <c r="X559" s="13"/>
      <c r="Y559" s="13"/>
      <c r="Z559" s="13"/>
      <c r="AA559" s="13"/>
      <c r="AB559" s="13"/>
      <c r="AC559" s="13">
        <v>171</v>
      </c>
      <c r="AD559" s="13">
        <f t="shared" si="53"/>
        <v>0.6333333333333333</v>
      </c>
      <c r="AE559" s="13"/>
      <c r="AF559" s="13"/>
      <c r="AG559" s="13">
        <v>12.77</v>
      </c>
      <c r="AH559" s="13">
        <f t="shared" si="54"/>
        <v>7.4949999999999992</v>
      </c>
      <c r="AI559" s="13">
        <f t="shared" si="55"/>
        <v>18.045000000000002</v>
      </c>
      <c r="AJ559" s="13"/>
      <c r="AK559" s="13"/>
      <c r="AL559" s="13"/>
      <c r="AM559" s="13"/>
      <c r="AN559" s="13"/>
      <c r="AO559" s="13"/>
      <c r="AP559" s="13"/>
      <c r="AQ559" s="13"/>
      <c r="AR559" s="13"/>
      <c r="AS559" s="13"/>
      <c r="AT559" s="13"/>
      <c r="AU559" s="13" t="s">
        <v>3928</v>
      </c>
      <c r="AV559" s="13"/>
      <c r="AW559" s="13">
        <v>270</v>
      </c>
      <c r="AX559" s="13">
        <v>0.81</v>
      </c>
      <c r="AY559" s="13">
        <v>0.7</v>
      </c>
      <c r="AZ559" s="13">
        <v>0.95</v>
      </c>
      <c r="BA559" s="16"/>
      <c r="BB559" s="13"/>
      <c r="BC559" s="13"/>
      <c r="BD559" s="13"/>
      <c r="BE559" s="16" t="s">
        <v>3911</v>
      </c>
      <c r="BF559" s="13">
        <v>270</v>
      </c>
      <c r="BG559" s="13">
        <v>1.05</v>
      </c>
      <c r="BH559" s="13">
        <v>0.88</v>
      </c>
      <c r="BI559" s="13">
        <v>1.25</v>
      </c>
      <c r="BJ559" s="16"/>
      <c r="BK559" s="13"/>
      <c r="BL559" s="13"/>
      <c r="BM559" s="13"/>
      <c r="BN559" s="16"/>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t="s">
        <v>3929</v>
      </c>
      <c r="CW559" s="13" t="s">
        <v>3575</v>
      </c>
      <c r="CX559" s="13" t="s">
        <v>3576</v>
      </c>
      <c r="CY559" s="13">
        <v>2024</v>
      </c>
      <c r="CZ559" s="21">
        <v>46003</v>
      </c>
      <c r="DA559" s="13" t="s">
        <v>13</v>
      </c>
      <c r="DB559" s="13">
        <v>272</v>
      </c>
      <c r="DC559" s="13">
        <v>1</v>
      </c>
      <c r="DD559" s="13">
        <v>7</v>
      </c>
      <c r="DE559" s="13" t="s">
        <v>3268</v>
      </c>
    </row>
    <row r="560" spans="1:109" ht="20">
      <c r="A560" s="13" t="s">
        <v>3413</v>
      </c>
      <c r="B560" s="13"/>
      <c r="C560" s="13" t="s">
        <v>3341</v>
      </c>
      <c r="D560" s="14" t="s">
        <v>830</v>
      </c>
      <c r="E560" s="13" t="s">
        <v>674</v>
      </c>
      <c r="F560" s="13" t="s">
        <v>2273</v>
      </c>
      <c r="G560" s="13"/>
      <c r="H560" s="14" t="s">
        <v>868</v>
      </c>
      <c r="I560" s="13" t="s">
        <v>3895</v>
      </c>
      <c r="J560" s="13" t="s">
        <v>902</v>
      </c>
      <c r="K560" s="13"/>
      <c r="L560" s="13"/>
      <c r="M560" s="13">
        <v>270</v>
      </c>
      <c r="N560" s="13"/>
      <c r="O560" s="15"/>
      <c r="P560" s="13">
        <v>37</v>
      </c>
      <c r="Q560" s="13">
        <v>65.900000000000006</v>
      </c>
      <c r="R560" s="13">
        <v>11.1</v>
      </c>
      <c r="S560" s="13"/>
      <c r="T560" s="13"/>
      <c r="U560" s="13"/>
      <c r="V560" s="13">
        <v>136</v>
      </c>
      <c r="W560" s="2">
        <f t="shared" si="52"/>
        <v>0.50370370370370365</v>
      </c>
      <c r="X560" s="13"/>
      <c r="Y560" s="13"/>
      <c r="Z560" s="13"/>
      <c r="AA560" s="13"/>
      <c r="AB560" s="13"/>
      <c r="AC560" s="13">
        <v>171</v>
      </c>
      <c r="AD560" s="13">
        <f t="shared" si="53"/>
        <v>0.6333333333333333</v>
      </c>
      <c r="AE560" s="13"/>
      <c r="AF560" s="13"/>
      <c r="AG560" s="13">
        <v>12.77</v>
      </c>
      <c r="AH560" s="13">
        <f t="shared" si="54"/>
        <v>7.4949999999999992</v>
      </c>
      <c r="AI560" s="13">
        <f t="shared" si="55"/>
        <v>18.045000000000002</v>
      </c>
      <c r="AJ560" s="13"/>
      <c r="AK560" s="13"/>
      <c r="AL560" s="13"/>
      <c r="AM560" s="13"/>
      <c r="AN560" s="13"/>
      <c r="AO560" s="13"/>
      <c r="AP560" s="13"/>
      <c r="AQ560" s="13"/>
      <c r="AR560" s="13"/>
      <c r="AS560" s="13"/>
      <c r="AT560" s="13"/>
      <c r="AU560" s="13" t="s">
        <v>3928</v>
      </c>
      <c r="AV560" s="13"/>
      <c r="AW560" s="13">
        <v>270</v>
      </c>
      <c r="AX560" s="13">
        <v>1.1100000000000001</v>
      </c>
      <c r="AY560" s="13">
        <v>0.96</v>
      </c>
      <c r="AZ560" s="13">
        <v>1.28</v>
      </c>
      <c r="BA560" s="16"/>
      <c r="BB560" s="13"/>
      <c r="BC560" s="13"/>
      <c r="BD560" s="13"/>
      <c r="BE560" s="16" t="s">
        <v>3911</v>
      </c>
      <c r="BF560" s="13">
        <v>270</v>
      </c>
      <c r="BG560" s="13">
        <v>1.07</v>
      </c>
      <c r="BH560" s="13">
        <v>0.92</v>
      </c>
      <c r="BI560" s="13">
        <v>1.24</v>
      </c>
      <c r="BJ560" s="16"/>
      <c r="BK560" s="13"/>
      <c r="BL560" s="13"/>
      <c r="BM560" s="13"/>
      <c r="BN560" s="16"/>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t="s">
        <v>3929</v>
      </c>
      <c r="CW560" s="13" t="s">
        <v>3575</v>
      </c>
      <c r="CX560" s="13" t="s">
        <v>3576</v>
      </c>
      <c r="CY560" s="13">
        <v>2024</v>
      </c>
      <c r="CZ560" s="21">
        <v>46003</v>
      </c>
      <c r="DA560" s="13" t="s">
        <v>13</v>
      </c>
      <c r="DB560" s="13">
        <v>272</v>
      </c>
      <c r="DC560" s="13">
        <v>1</v>
      </c>
      <c r="DD560" s="13">
        <v>7</v>
      </c>
      <c r="DE560" s="13" t="s">
        <v>3268</v>
      </c>
    </row>
    <row r="561" spans="1:109" ht="20">
      <c r="A561" s="13" t="s">
        <v>3413</v>
      </c>
      <c r="B561" s="13"/>
      <c r="C561" s="13" t="s">
        <v>3341</v>
      </c>
      <c r="D561" s="14" t="s">
        <v>830</v>
      </c>
      <c r="E561" s="13" t="s">
        <v>674</v>
      </c>
      <c r="F561" s="13" t="s">
        <v>3914</v>
      </c>
      <c r="G561" s="13"/>
      <c r="H561" s="14" t="s">
        <v>868</v>
      </c>
      <c r="I561" s="13" t="s">
        <v>3895</v>
      </c>
      <c r="J561" s="13" t="s">
        <v>902</v>
      </c>
      <c r="K561" s="13"/>
      <c r="L561" s="13"/>
      <c r="M561" s="13">
        <v>270</v>
      </c>
      <c r="N561" s="13"/>
      <c r="O561" s="15"/>
      <c r="P561" s="13">
        <v>37</v>
      </c>
      <c r="Q561" s="13">
        <v>65.900000000000006</v>
      </c>
      <c r="R561" s="13">
        <v>11.1</v>
      </c>
      <c r="S561" s="13"/>
      <c r="T561" s="13"/>
      <c r="U561" s="13"/>
      <c r="V561" s="13">
        <v>136</v>
      </c>
      <c r="W561" s="2">
        <f t="shared" si="52"/>
        <v>0.50370370370370365</v>
      </c>
      <c r="X561" s="13"/>
      <c r="Y561" s="13"/>
      <c r="Z561" s="13"/>
      <c r="AA561" s="13"/>
      <c r="AB561" s="13"/>
      <c r="AC561" s="13">
        <v>171</v>
      </c>
      <c r="AD561" s="13">
        <f t="shared" si="53"/>
        <v>0.6333333333333333</v>
      </c>
      <c r="AE561" s="13"/>
      <c r="AF561" s="13"/>
      <c r="AG561" s="13">
        <v>12.77</v>
      </c>
      <c r="AH561" s="13">
        <f t="shared" si="54"/>
        <v>7.4949999999999992</v>
      </c>
      <c r="AI561" s="13">
        <f t="shared" si="55"/>
        <v>18.045000000000002</v>
      </c>
      <c r="AJ561" s="13"/>
      <c r="AK561" s="13"/>
      <c r="AL561" s="13"/>
      <c r="AM561" s="13"/>
      <c r="AN561" s="13"/>
      <c r="AO561" s="13"/>
      <c r="AP561" s="13"/>
      <c r="AQ561" s="13"/>
      <c r="AR561" s="13"/>
      <c r="AS561" s="13"/>
      <c r="AT561" s="13"/>
      <c r="AU561" s="13" t="s">
        <v>3928</v>
      </c>
      <c r="AV561" s="13"/>
      <c r="AW561" s="13">
        <v>270</v>
      </c>
      <c r="AX561" s="13">
        <v>1.01</v>
      </c>
      <c r="AY561" s="13">
        <v>0.86</v>
      </c>
      <c r="AZ561" s="13">
        <v>1.19</v>
      </c>
      <c r="BA561" s="16"/>
      <c r="BB561" s="13"/>
      <c r="BC561" s="13"/>
      <c r="BD561" s="13"/>
      <c r="BE561" s="16" t="s">
        <v>3911</v>
      </c>
      <c r="BF561" s="13">
        <v>270</v>
      </c>
      <c r="BG561" s="13">
        <v>1</v>
      </c>
      <c r="BH561" s="13">
        <v>0.85</v>
      </c>
      <c r="BI561" s="13">
        <v>1.19</v>
      </c>
      <c r="BJ561" s="16"/>
      <c r="BK561" s="13"/>
      <c r="BL561" s="13"/>
      <c r="BM561" s="13"/>
      <c r="BN561" s="16"/>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t="s">
        <v>3929</v>
      </c>
      <c r="CW561" s="13" t="s">
        <v>3575</v>
      </c>
      <c r="CX561" s="13" t="s">
        <v>3576</v>
      </c>
      <c r="CY561" s="13">
        <v>2024</v>
      </c>
      <c r="CZ561" s="21">
        <v>46003</v>
      </c>
      <c r="DA561" s="13" t="s">
        <v>13</v>
      </c>
      <c r="DB561" s="13">
        <v>272</v>
      </c>
      <c r="DC561" s="13">
        <v>1</v>
      </c>
      <c r="DD561" s="13">
        <v>7</v>
      </c>
      <c r="DE561" s="13" t="s">
        <v>3268</v>
      </c>
    </row>
    <row r="562" spans="1:109" ht="20">
      <c r="A562" s="13" t="s">
        <v>3413</v>
      </c>
      <c r="B562" s="13"/>
      <c r="C562" s="13" t="s">
        <v>3341</v>
      </c>
      <c r="D562" s="14" t="s">
        <v>830</v>
      </c>
      <c r="E562" s="13" t="s">
        <v>674</v>
      </c>
      <c r="F562" s="13" t="s">
        <v>3915</v>
      </c>
      <c r="G562" s="13"/>
      <c r="H562" s="14" t="s">
        <v>868</v>
      </c>
      <c r="I562" s="13" t="s">
        <v>3895</v>
      </c>
      <c r="J562" s="13" t="s">
        <v>902</v>
      </c>
      <c r="K562" s="13"/>
      <c r="L562" s="13"/>
      <c r="M562" s="13">
        <v>270</v>
      </c>
      <c r="N562" s="13"/>
      <c r="O562" s="15"/>
      <c r="P562" s="13">
        <v>37</v>
      </c>
      <c r="Q562" s="13">
        <v>65.900000000000006</v>
      </c>
      <c r="R562" s="13">
        <v>11.1</v>
      </c>
      <c r="S562" s="13"/>
      <c r="T562" s="13"/>
      <c r="U562" s="13"/>
      <c r="V562" s="13">
        <v>136</v>
      </c>
      <c r="W562" s="2">
        <f t="shared" si="52"/>
        <v>0.50370370370370365</v>
      </c>
      <c r="X562" s="13"/>
      <c r="Y562" s="13"/>
      <c r="Z562" s="13"/>
      <c r="AA562" s="13"/>
      <c r="AB562" s="13"/>
      <c r="AC562" s="13">
        <v>171</v>
      </c>
      <c r="AD562" s="13">
        <f t="shared" si="53"/>
        <v>0.6333333333333333</v>
      </c>
      <c r="AE562" s="13"/>
      <c r="AF562" s="13"/>
      <c r="AG562" s="13">
        <v>12.77</v>
      </c>
      <c r="AH562" s="13">
        <f t="shared" si="54"/>
        <v>7.4949999999999992</v>
      </c>
      <c r="AI562" s="13">
        <f t="shared" si="55"/>
        <v>18.045000000000002</v>
      </c>
      <c r="AJ562" s="13"/>
      <c r="AK562" s="13"/>
      <c r="AL562" s="13"/>
      <c r="AM562" s="13"/>
      <c r="AN562" s="13"/>
      <c r="AO562" s="13"/>
      <c r="AP562" s="13"/>
      <c r="AQ562" s="13"/>
      <c r="AR562" s="13"/>
      <c r="AS562" s="13"/>
      <c r="AT562" s="13"/>
      <c r="AU562" s="13" t="s">
        <v>3928</v>
      </c>
      <c r="AV562" s="13"/>
      <c r="AW562" s="13">
        <v>270</v>
      </c>
      <c r="AX562" s="13">
        <v>0.93</v>
      </c>
      <c r="AY562" s="13">
        <v>0.72</v>
      </c>
      <c r="AZ562" s="13">
        <v>1.2</v>
      </c>
      <c r="BA562" s="16"/>
      <c r="BB562" s="13"/>
      <c r="BC562" s="13"/>
      <c r="BD562" s="13"/>
      <c r="BE562" s="16" t="s">
        <v>3911</v>
      </c>
      <c r="BF562" s="13">
        <v>270</v>
      </c>
      <c r="BG562" s="13">
        <v>0.89</v>
      </c>
      <c r="BH562" s="13">
        <v>0.7</v>
      </c>
      <c r="BI562" s="13">
        <v>1.1399999999999999</v>
      </c>
      <c r="BJ562" s="16"/>
      <c r="BK562" s="13"/>
      <c r="BL562" s="13"/>
      <c r="BM562" s="13"/>
      <c r="BN562" s="16"/>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t="s">
        <v>3929</v>
      </c>
      <c r="CW562" s="13" t="s">
        <v>3575</v>
      </c>
      <c r="CX562" s="13" t="s">
        <v>3576</v>
      </c>
      <c r="CY562" s="13">
        <v>2024</v>
      </c>
      <c r="CZ562" s="21">
        <v>46003</v>
      </c>
      <c r="DA562" s="13" t="s">
        <v>13</v>
      </c>
      <c r="DB562" s="13">
        <v>272</v>
      </c>
      <c r="DC562" s="13">
        <v>1</v>
      </c>
      <c r="DD562" s="13">
        <v>7</v>
      </c>
      <c r="DE562" s="13" t="s">
        <v>3268</v>
      </c>
    </row>
    <row r="563" spans="1:109" ht="20">
      <c r="A563" s="13" t="s">
        <v>3413</v>
      </c>
      <c r="B563" s="13"/>
      <c r="C563" s="13" t="s">
        <v>3341</v>
      </c>
      <c r="D563" s="14" t="s">
        <v>830</v>
      </c>
      <c r="E563" s="13" t="s">
        <v>674</v>
      </c>
      <c r="F563" s="13" t="s">
        <v>2198</v>
      </c>
      <c r="G563" s="13"/>
      <c r="H563" s="14" t="s">
        <v>868</v>
      </c>
      <c r="I563" s="13" t="s">
        <v>3895</v>
      </c>
      <c r="J563" s="13" t="s">
        <v>902</v>
      </c>
      <c r="K563" s="13"/>
      <c r="L563" s="13"/>
      <c r="M563" s="13">
        <v>270</v>
      </c>
      <c r="N563" s="13"/>
      <c r="O563" s="15"/>
      <c r="P563" s="13">
        <v>37</v>
      </c>
      <c r="Q563" s="13">
        <v>65.900000000000006</v>
      </c>
      <c r="R563" s="13">
        <v>11.1</v>
      </c>
      <c r="S563" s="13"/>
      <c r="T563" s="13"/>
      <c r="U563" s="13"/>
      <c r="V563" s="13">
        <v>136</v>
      </c>
      <c r="W563" s="2">
        <f t="shared" si="52"/>
        <v>0.50370370370370365</v>
      </c>
      <c r="X563" s="13"/>
      <c r="Y563" s="13"/>
      <c r="Z563" s="13"/>
      <c r="AA563" s="13"/>
      <c r="AB563" s="13"/>
      <c r="AC563" s="13">
        <v>171</v>
      </c>
      <c r="AD563" s="13">
        <f t="shared" si="53"/>
        <v>0.6333333333333333</v>
      </c>
      <c r="AE563" s="13"/>
      <c r="AF563" s="13"/>
      <c r="AG563" s="13">
        <v>12.77</v>
      </c>
      <c r="AH563" s="13">
        <f t="shared" si="54"/>
        <v>7.4949999999999992</v>
      </c>
      <c r="AI563" s="13">
        <f t="shared" si="55"/>
        <v>18.045000000000002</v>
      </c>
      <c r="AJ563" s="13"/>
      <c r="AK563" s="13"/>
      <c r="AL563" s="13"/>
      <c r="AM563" s="13"/>
      <c r="AN563" s="13"/>
      <c r="AO563" s="13"/>
      <c r="AP563" s="13"/>
      <c r="AQ563" s="13"/>
      <c r="AR563" s="13"/>
      <c r="AS563" s="13"/>
      <c r="AT563" s="13"/>
      <c r="AU563" s="13" t="s">
        <v>3928</v>
      </c>
      <c r="AV563" s="13"/>
      <c r="AW563" s="13">
        <v>270</v>
      </c>
      <c r="AX563" s="13">
        <v>0.92</v>
      </c>
      <c r="AY563" s="13">
        <v>0.79</v>
      </c>
      <c r="AZ563" s="13">
        <v>1.08</v>
      </c>
      <c r="BA563" s="16"/>
      <c r="BB563" s="13"/>
      <c r="BC563" s="13"/>
      <c r="BD563" s="13"/>
      <c r="BE563" s="16" t="s">
        <v>3911</v>
      </c>
      <c r="BF563" s="13">
        <v>270</v>
      </c>
      <c r="BG563" s="13">
        <v>1.03</v>
      </c>
      <c r="BH563" s="13">
        <v>0.87</v>
      </c>
      <c r="BI563" s="13">
        <v>1.21</v>
      </c>
      <c r="BJ563" s="16"/>
      <c r="BK563" s="13"/>
      <c r="BL563" s="13"/>
      <c r="BM563" s="13"/>
      <c r="BN563" s="16"/>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t="s">
        <v>3929</v>
      </c>
      <c r="CW563" s="13" t="s">
        <v>3575</v>
      </c>
      <c r="CX563" s="13" t="s">
        <v>3576</v>
      </c>
      <c r="CY563" s="13">
        <v>2024</v>
      </c>
      <c r="CZ563" s="21">
        <v>46003</v>
      </c>
      <c r="DA563" s="13" t="s">
        <v>13</v>
      </c>
      <c r="DB563" s="13">
        <v>272</v>
      </c>
      <c r="DC563" s="13">
        <v>1</v>
      </c>
      <c r="DD563" s="13">
        <v>7</v>
      </c>
      <c r="DE563" s="13" t="s">
        <v>3268</v>
      </c>
    </row>
    <row r="564" spans="1:109" ht="20">
      <c r="A564" s="13" t="s">
        <v>3413</v>
      </c>
      <c r="B564" s="13"/>
      <c r="C564" s="13" t="s">
        <v>3341</v>
      </c>
      <c r="D564" s="14" t="s">
        <v>830</v>
      </c>
      <c r="E564" s="13" t="s">
        <v>674</v>
      </c>
      <c r="F564" s="13" t="s">
        <v>2337</v>
      </c>
      <c r="G564" s="13"/>
      <c r="H564" s="14" t="s">
        <v>868</v>
      </c>
      <c r="I564" s="13" t="s">
        <v>3895</v>
      </c>
      <c r="J564" s="13" t="s">
        <v>902</v>
      </c>
      <c r="K564" s="13"/>
      <c r="L564" s="13"/>
      <c r="M564" s="13">
        <v>270</v>
      </c>
      <c r="N564" s="13"/>
      <c r="O564" s="15"/>
      <c r="P564" s="13">
        <v>37</v>
      </c>
      <c r="Q564" s="13">
        <v>65.900000000000006</v>
      </c>
      <c r="R564" s="13">
        <v>11.1</v>
      </c>
      <c r="S564" s="13"/>
      <c r="T564" s="13"/>
      <c r="U564" s="13"/>
      <c r="V564" s="13">
        <v>136</v>
      </c>
      <c r="W564" s="2">
        <f t="shared" si="52"/>
        <v>0.50370370370370365</v>
      </c>
      <c r="X564" s="13"/>
      <c r="Y564" s="13"/>
      <c r="Z564" s="13"/>
      <c r="AA564" s="13"/>
      <c r="AB564" s="13"/>
      <c r="AC564" s="13">
        <v>171</v>
      </c>
      <c r="AD564" s="13">
        <f t="shared" si="53"/>
        <v>0.6333333333333333</v>
      </c>
      <c r="AE564" s="13"/>
      <c r="AF564" s="13"/>
      <c r="AG564" s="13">
        <v>12.77</v>
      </c>
      <c r="AH564" s="13">
        <f t="shared" si="54"/>
        <v>7.4949999999999992</v>
      </c>
      <c r="AI564" s="13">
        <f t="shared" si="55"/>
        <v>18.045000000000002</v>
      </c>
      <c r="AJ564" s="13"/>
      <c r="AK564" s="13"/>
      <c r="AL564" s="13"/>
      <c r="AM564" s="13"/>
      <c r="AN564" s="13"/>
      <c r="AO564" s="13"/>
      <c r="AP564" s="13"/>
      <c r="AQ564" s="13"/>
      <c r="AR564" s="13"/>
      <c r="AS564" s="13"/>
      <c r="AT564" s="13"/>
      <c r="AU564" s="13" t="s">
        <v>3928</v>
      </c>
      <c r="AV564" s="13"/>
      <c r="AW564" s="13">
        <v>270</v>
      </c>
      <c r="AX564" s="13">
        <v>0.98</v>
      </c>
      <c r="AY564" s="13">
        <v>0.85</v>
      </c>
      <c r="AZ564" s="13">
        <v>1.1499999999999999</v>
      </c>
      <c r="BA564" s="16"/>
      <c r="BB564" s="13"/>
      <c r="BC564" s="13"/>
      <c r="BD564" s="13"/>
      <c r="BE564" s="16" t="s">
        <v>3911</v>
      </c>
      <c r="BF564" s="13">
        <v>270</v>
      </c>
      <c r="BG564" s="13">
        <v>0.93</v>
      </c>
      <c r="BH564" s="13">
        <v>0.78</v>
      </c>
      <c r="BI564" s="13">
        <v>1.1100000000000001</v>
      </c>
      <c r="BJ564" s="16"/>
      <c r="BK564" s="13"/>
      <c r="BL564" s="13"/>
      <c r="BM564" s="13"/>
      <c r="BN564" s="16"/>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t="s">
        <v>3929</v>
      </c>
      <c r="CW564" s="13" t="s">
        <v>3575</v>
      </c>
      <c r="CX564" s="13" t="s">
        <v>3576</v>
      </c>
      <c r="CY564" s="13">
        <v>2024</v>
      </c>
      <c r="CZ564" s="21">
        <v>46003</v>
      </c>
      <c r="DA564" s="13" t="s">
        <v>13</v>
      </c>
      <c r="DB564" s="13">
        <v>272</v>
      </c>
      <c r="DC564" s="13">
        <v>1</v>
      </c>
      <c r="DD564" s="13">
        <v>7</v>
      </c>
      <c r="DE564" s="13" t="s">
        <v>3268</v>
      </c>
    </row>
    <row r="565" spans="1:109" ht="20">
      <c r="A565" s="13" t="s">
        <v>3413</v>
      </c>
      <c r="B565" s="13"/>
      <c r="C565" s="13" t="s">
        <v>3341</v>
      </c>
      <c r="D565" s="14" t="s">
        <v>830</v>
      </c>
      <c r="E565" s="13" t="s">
        <v>674</v>
      </c>
      <c r="F565" s="13" t="s">
        <v>2476</v>
      </c>
      <c r="G565" s="13"/>
      <c r="H565" s="14" t="s">
        <v>868</v>
      </c>
      <c r="I565" s="13" t="s">
        <v>3895</v>
      </c>
      <c r="J565" s="13" t="s">
        <v>902</v>
      </c>
      <c r="K565" s="13"/>
      <c r="L565" s="13"/>
      <c r="M565" s="13">
        <v>270</v>
      </c>
      <c r="N565" s="13"/>
      <c r="O565" s="15"/>
      <c r="P565" s="13">
        <v>37</v>
      </c>
      <c r="Q565" s="13">
        <v>65.900000000000006</v>
      </c>
      <c r="R565" s="13">
        <v>11.1</v>
      </c>
      <c r="S565" s="13"/>
      <c r="T565" s="13"/>
      <c r="U565" s="13"/>
      <c r="V565" s="13">
        <v>136</v>
      </c>
      <c r="W565" s="2">
        <f t="shared" si="52"/>
        <v>0.50370370370370365</v>
      </c>
      <c r="X565" s="13"/>
      <c r="Y565" s="13"/>
      <c r="Z565" s="13"/>
      <c r="AA565" s="13"/>
      <c r="AB565" s="13"/>
      <c r="AC565" s="13">
        <v>171</v>
      </c>
      <c r="AD565" s="13">
        <f t="shared" si="53"/>
        <v>0.6333333333333333</v>
      </c>
      <c r="AE565" s="13"/>
      <c r="AF565" s="13"/>
      <c r="AG565" s="13">
        <v>12.77</v>
      </c>
      <c r="AH565" s="13">
        <f t="shared" si="54"/>
        <v>7.4949999999999992</v>
      </c>
      <c r="AI565" s="13">
        <f t="shared" si="55"/>
        <v>18.045000000000002</v>
      </c>
      <c r="AJ565" s="13"/>
      <c r="AK565" s="13"/>
      <c r="AL565" s="13"/>
      <c r="AM565" s="13"/>
      <c r="AN565" s="13"/>
      <c r="AO565" s="13"/>
      <c r="AP565" s="13"/>
      <c r="AQ565" s="13"/>
      <c r="AR565" s="13"/>
      <c r="AS565" s="13"/>
      <c r="AT565" s="13"/>
      <c r="AU565" s="13" t="s">
        <v>3928</v>
      </c>
      <c r="AV565" s="13"/>
      <c r="AW565" s="13">
        <v>270</v>
      </c>
      <c r="AX565" s="13">
        <v>0.94</v>
      </c>
      <c r="AY565" s="13">
        <v>0.79</v>
      </c>
      <c r="AZ565" s="13">
        <v>1.1000000000000001</v>
      </c>
      <c r="BA565" s="16"/>
      <c r="BB565" s="13"/>
      <c r="BC565" s="13"/>
      <c r="BD565" s="13"/>
      <c r="BE565" s="16" t="s">
        <v>3911</v>
      </c>
      <c r="BF565" s="13">
        <v>270</v>
      </c>
      <c r="BG565" s="13">
        <v>1.03</v>
      </c>
      <c r="BH565" s="13">
        <v>0.86</v>
      </c>
      <c r="BI565" s="13">
        <v>1.23</v>
      </c>
      <c r="BJ565" s="16"/>
      <c r="BK565" s="13"/>
      <c r="BL565" s="13"/>
      <c r="BM565" s="13"/>
      <c r="BN565" s="16"/>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t="s">
        <v>3929</v>
      </c>
      <c r="CW565" s="13" t="s">
        <v>3575</v>
      </c>
      <c r="CX565" s="13" t="s">
        <v>3576</v>
      </c>
      <c r="CY565" s="13">
        <v>2024</v>
      </c>
      <c r="CZ565" s="21">
        <v>46003</v>
      </c>
      <c r="DA565" s="13" t="s">
        <v>13</v>
      </c>
      <c r="DB565" s="13">
        <v>272</v>
      </c>
      <c r="DC565" s="13">
        <v>1</v>
      </c>
      <c r="DD565" s="13">
        <v>7</v>
      </c>
      <c r="DE565" s="13" t="s">
        <v>3268</v>
      </c>
    </row>
    <row r="566" spans="1:109" ht="20">
      <c r="A566" s="13" t="s">
        <v>3413</v>
      </c>
      <c r="B566" s="13"/>
      <c r="C566" s="13" t="s">
        <v>3341</v>
      </c>
      <c r="D566" s="14" t="s">
        <v>830</v>
      </c>
      <c r="E566" s="13" t="s">
        <v>674</v>
      </c>
      <c r="F566" s="13" t="s">
        <v>2530</v>
      </c>
      <c r="G566" s="13"/>
      <c r="H566" s="14" t="s">
        <v>868</v>
      </c>
      <c r="I566" s="13" t="s">
        <v>3895</v>
      </c>
      <c r="J566" s="13" t="s">
        <v>902</v>
      </c>
      <c r="K566" s="13"/>
      <c r="L566" s="13"/>
      <c r="M566" s="13">
        <v>270</v>
      </c>
      <c r="N566" s="13"/>
      <c r="O566" s="15"/>
      <c r="P566" s="13">
        <v>37</v>
      </c>
      <c r="Q566" s="13">
        <v>65.900000000000006</v>
      </c>
      <c r="R566" s="13">
        <v>11.1</v>
      </c>
      <c r="S566" s="13"/>
      <c r="T566" s="13"/>
      <c r="U566" s="13"/>
      <c r="V566" s="13">
        <v>136</v>
      </c>
      <c r="W566" s="2">
        <f t="shared" si="52"/>
        <v>0.50370370370370365</v>
      </c>
      <c r="X566" s="13"/>
      <c r="Y566" s="13"/>
      <c r="Z566" s="13"/>
      <c r="AA566" s="13"/>
      <c r="AB566" s="13"/>
      <c r="AC566" s="13">
        <v>171</v>
      </c>
      <c r="AD566" s="13">
        <f t="shared" si="53"/>
        <v>0.6333333333333333</v>
      </c>
      <c r="AE566" s="13"/>
      <c r="AF566" s="13"/>
      <c r="AG566" s="13">
        <v>12.77</v>
      </c>
      <c r="AH566" s="13">
        <f t="shared" si="54"/>
        <v>7.4949999999999992</v>
      </c>
      <c r="AI566" s="13">
        <f t="shared" si="55"/>
        <v>18.045000000000002</v>
      </c>
      <c r="AJ566" s="13"/>
      <c r="AK566" s="13"/>
      <c r="AL566" s="13"/>
      <c r="AM566" s="13"/>
      <c r="AN566" s="13"/>
      <c r="AO566" s="13"/>
      <c r="AP566" s="13"/>
      <c r="AQ566" s="13"/>
      <c r="AR566" s="13"/>
      <c r="AS566" s="13"/>
      <c r="AT566" s="13"/>
      <c r="AU566" s="13" t="s">
        <v>3928</v>
      </c>
      <c r="AV566" s="13"/>
      <c r="AW566" s="13">
        <v>270</v>
      </c>
      <c r="AX566" s="13">
        <v>0.94</v>
      </c>
      <c r="AY566" s="13">
        <v>0.8</v>
      </c>
      <c r="AZ566" s="13">
        <v>1.0900000000000001</v>
      </c>
      <c r="BA566" s="16"/>
      <c r="BB566" s="13"/>
      <c r="BC566" s="13"/>
      <c r="BD566" s="13"/>
      <c r="BE566" s="16" t="s">
        <v>3911</v>
      </c>
      <c r="BF566" s="13">
        <v>270</v>
      </c>
      <c r="BG566" s="13">
        <v>0.97</v>
      </c>
      <c r="BH566" s="13">
        <v>0.82</v>
      </c>
      <c r="BI566" s="13">
        <v>1.1399999999999999</v>
      </c>
      <c r="BJ566" s="16"/>
      <c r="BK566" s="13"/>
      <c r="BL566" s="13"/>
      <c r="BM566" s="13"/>
      <c r="BN566" s="16"/>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t="s">
        <v>3929</v>
      </c>
      <c r="CW566" s="13" t="s">
        <v>3575</v>
      </c>
      <c r="CX566" s="13" t="s">
        <v>3576</v>
      </c>
      <c r="CY566" s="13">
        <v>2024</v>
      </c>
      <c r="CZ566" s="21">
        <v>46003</v>
      </c>
      <c r="DA566" s="13" t="s">
        <v>13</v>
      </c>
      <c r="DB566" s="13">
        <v>272</v>
      </c>
      <c r="DC566" s="13">
        <v>1</v>
      </c>
      <c r="DD566" s="13">
        <v>7</v>
      </c>
      <c r="DE566" s="13" t="s">
        <v>3268</v>
      </c>
    </row>
    <row r="567" spans="1:109" ht="20">
      <c r="A567" s="13" t="s">
        <v>3413</v>
      </c>
      <c r="B567" s="13"/>
      <c r="C567" s="13" t="s">
        <v>3341</v>
      </c>
      <c r="D567" s="14" t="s">
        <v>830</v>
      </c>
      <c r="E567" s="13" t="s">
        <v>674</v>
      </c>
      <c r="F567" s="13" t="s">
        <v>2543</v>
      </c>
      <c r="G567" s="13"/>
      <c r="H567" s="14" t="s">
        <v>868</v>
      </c>
      <c r="I567" s="13" t="s">
        <v>3895</v>
      </c>
      <c r="J567" s="13" t="s">
        <v>902</v>
      </c>
      <c r="K567" s="13"/>
      <c r="L567" s="13"/>
      <c r="M567" s="13">
        <v>270</v>
      </c>
      <c r="N567" s="13"/>
      <c r="O567" s="15"/>
      <c r="P567" s="13">
        <v>37</v>
      </c>
      <c r="Q567" s="13">
        <v>65.900000000000006</v>
      </c>
      <c r="R567" s="13">
        <v>11.1</v>
      </c>
      <c r="S567" s="13"/>
      <c r="T567" s="13"/>
      <c r="U567" s="13"/>
      <c r="V567" s="13">
        <v>136</v>
      </c>
      <c r="W567" s="2">
        <f t="shared" si="52"/>
        <v>0.50370370370370365</v>
      </c>
      <c r="X567" s="13"/>
      <c r="Y567" s="13"/>
      <c r="Z567" s="13"/>
      <c r="AA567" s="13"/>
      <c r="AB567" s="13"/>
      <c r="AC567" s="13">
        <v>171</v>
      </c>
      <c r="AD567" s="13">
        <f t="shared" si="53"/>
        <v>0.6333333333333333</v>
      </c>
      <c r="AE567" s="13"/>
      <c r="AF567" s="13"/>
      <c r="AG567" s="13">
        <v>12.77</v>
      </c>
      <c r="AH567" s="13">
        <f t="shared" si="54"/>
        <v>7.4949999999999992</v>
      </c>
      <c r="AI567" s="13">
        <f t="shared" si="55"/>
        <v>18.045000000000002</v>
      </c>
      <c r="AJ567" s="13"/>
      <c r="AK567" s="13"/>
      <c r="AL567" s="13"/>
      <c r="AM567" s="13"/>
      <c r="AN567" s="13"/>
      <c r="AO567" s="13"/>
      <c r="AP567" s="13"/>
      <c r="AQ567" s="13"/>
      <c r="AR567" s="13"/>
      <c r="AS567" s="13"/>
      <c r="AT567" s="13"/>
      <c r="AU567" s="13" t="s">
        <v>3928</v>
      </c>
      <c r="AV567" s="13"/>
      <c r="AW567" s="13">
        <v>270</v>
      </c>
      <c r="AX567" s="13">
        <v>1.04</v>
      </c>
      <c r="AY567" s="13">
        <v>0.89</v>
      </c>
      <c r="AZ567" s="13">
        <v>1.21</v>
      </c>
      <c r="BA567" s="16"/>
      <c r="BB567" s="13"/>
      <c r="BC567" s="13"/>
      <c r="BD567" s="13"/>
      <c r="BE567" s="16" t="s">
        <v>3911</v>
      </c>
      <c r="BF567" s="13">
        <v>270</v>
      </c>
      <c r="BG567" s="13">
        <v>1.05</v>
      </c>
      <c r="BH567" s="13">
        <v>0.88</v>
      </c>
      <c r="BI567" s="13">
        <v>1.25</v>
      </c>
      <c r="BJ567" s="16"/>
      <c r="BK567" s="13"/>
      <c r="BL567" s="13"/>
      <c r="BM567" s="13"/>
      <c r="BN567" s="16"/>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t="s">
        <v>3929</v>
      </c>
      <c r="CW567" s="13" t="s">
        <v>3575</v>
      </c>
      <c r="CX567" s="13" t="s">
        <v>3576</v>
      </c>
      <c r="CY567" s="13">
        <v>2024</v>
      </c>
      <c r="CZ567" s="21">
        <v>46003</v>
      </c>
      <c r="DA567" s="13" t="s">
        <v>13</v>
      </c>
      <c r="DB567" s="13">
        <v>272</v>
      </c>
      <c r="DC567" s="13">
        <v>1</v>
      </c>
      <c r="DD567" s="13">
        <v>7</v>
      </c>
      <c r="DE567" s="13" t="s">
        <v>3268</v>
      </c>
    </row>
    <row r="568" spans="1:109" ht="20">
      <c r="A568" s="13" t="s">
        <v>3413</v>
      </c>
      <c r="B568" s="13"/>
      <c r="C568" s="13" t="s">
        <v>3341</v>
      </c>
      <c r="D568" s="14" t="s">
        <v>830</v>
      </c>
      <c r="E568" s="13" t="s">
        <v>674</v>
      </c>
      <c r="F568" s="13" t="s">
        <v>2525</v>
      </c>
      <c r="G568" s="13"/>
      <c r="H568" s="14" t="s">
        <v>868</v>
      </c>
      <c r="I568" s="13" t="s">
        <v>3895</v>
      </c>
      <c r="J568" s="13" t="s">
        <v>902</v>
      </c>
      <c r="K568" s="13"/>
      <c r="L568" s="13"/>
      <c r="M568" s="13">
        <v>270</v>
      </c>
      <c r="N568" s="13"/>
      <c r="O568" s="15"/>
      <c r="P568" s="13">
        <v>37</v>
      </c>
      <c r="Q568" s="13">
        <v>65.900000000000006</v>
      </c>
      <c r="R568" s="13">
        <v>11.1</v>
      </c>
      <c r="S568" s="13"/>
      <c r="T568" s="13"/>
      <c r="U568" s="13"/>
      <c r="V568" s="13">
        <v>136</v>
      </c>
      <c r="W568" s="2">
        <f t="shared" si="52"/>
        <v>0.50370370370370365</v>
      </c>
      <c r="X568" s="13"/>
      <c r="Y568" s="13"/>
      <c r="Z568" s="13"/>
      <c r="AA568" s="13"/>
      <c r="AB568" s="13"/>
      <c r="AC568" s="13">
        <v>171</v>
      </c>
      <c r="AD568" s="13">
        <f t="shared" si="53"/>
        <v>0.6333333333333333</v>
      </c>
      <c r="AE568" s="13"/>
      <c r="AF568" s="13"/>
      <c r="AG568" s="13">
        <v>12.77</v>
      </c>
      <c r="AH568" s="13">
        <f t="shared" si="54"/>
        <v>7.4949999999999992</v>
      </c>
      <c r="AI568" s="13">
        <f t="shared" si="55"/>
        <v>18.045000000000002</v>
      </c>
      <c r="AJ568" s="13"/>
      <c r="AK568" s="13"/>
      <c r="AL568" s="13"/>
      <c r="AM568" s="13"/>
      <c r="AN568" s="13"/>
      <c r="AO568" s="13"/>
      <c r="AP568" s="13"/>
      <c r="AQ568" s="13"/>
      <c r="AR568" s="13"/>
      <c r="AS568" s="13"/>
      <c r="AT568" s="13"/>
      <c r="AU568" s="13" t="s">
        <v>3928</v>
      </c>
      <c r="AV568" s="13"/>
      <c r="AW568" s="13">
        <v>270</v>
      </c>
      <c r="AX568" s="13">
        <v>0.93</v>
      </c>
      <c r="AY568" s="13">
        <v>0.79</v>
      </c>
      <c r="AZ568" s="13">
        <v>1.1000000000000001</v>
      </c>
      <c r="BA568" s="16"/>
      <c r="BB568" s="13"/>
      <c r="BC568" s="13"/>
      <c r="BD568" s="13"/>
      <c r="BE568" s="16" t="s">
        <v>3911</v>
      </c>
      <c r="BF568" s="13">
        <v>270</v>
      </c>
      <c r="BG568" s="13">
        <v>1.03</v>
      </c>
      <c r="BH568" s="13">
        <v>0.86</v>
      </c>
      <c r="BI568" s="13">
        <v>1.22</v>
      </c>
      <c r="BJ568" s="16"/>
      <c r="BK568" s="13"/>
      <c r="BL568" s="13"/>
      <c r="BM568" s="13"/>
      <c r="BN568" s="16"/>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t="s">
        <v>3929</v>
      </c>
      <c r="CW568" s="13" t="s">
        <v>3575</v>
      </c>
      <c r="CX568" s="13" t="s">
        <v>3576</v>
      </c>
      <c r="CY568" s="13">
        <v>2024</v>
      </c>
      <c r="CZ568" s="21">
        <v>46003</v>
      </c>
      <c r="DA568" s="13" t="s">
        <v>13</v>
      </c>
      <c r="DB568" s="13">
        <v>272</v>
      </c>
      <c r="DC568" s="13">
        <v>1</v>
      </c>
      <c r="DD568" s="13">
        <v>7</v>
      </c>
      <c r="DE568" s="13" t="s">
        <v>3268</v>
      </c>
    </row>
    <row r="569" spans="1:109" ht="20">
      <c r="A569" s="13" t="s">
        <v>3413</v>
      </c>
      <c r="B569" s="13"/>
      <c r="C569" s="13" t="s">
        <v>3341</v>
      </c>
      <c r="D569" s="14" t="s">
        <v>830</v>
      </c>
      <c r="E569" s="13" t="s">
        <v>674</v>
      </c>
      <c r="F569" s="13" t="s">
        <v>2528</v>
      </c>
      <c r="G569" s="13"/>
      <c r="H569" s="14" t="s">
        <v>868</v>
      </c>
      <c r="I569" s="13" t="s">
        <v>3895</v>
      </c>
      <c r="J569" s="13" t="s">
        <v>902</v>
      </c>
      <c r="K569" s="13"/>
      <c r="L569" s="13"/>
      <c r="M569" s="13">
        <v>270</v>
      </c>
      <c r="N569" s="13"/>
      <c r="O569" s="15"/>
      <c r="P569" s="13">
        <v>37</v>
      </c>
      <c r="Q569" s="13">
        <v>65.900000000000006</v>
      </c>
      <c r="R569" s="13">
        <v>11.1</v>
      </c>
      <c r="S569" s="13"/>
      <c r="T569" s="13"/>
      <c r="U569" s="13"/>
      <c r="V569" s="13">
        <v>136</v>
      </c>
      <c r="W569" s="2">
        <f t="shared" si="52"/>
        <v>0.50370370370370365</v>
      </c>
      <c r="X569" s="13"/>
      <c r="Y569" s="13"/>
      <c r="Z569" s="13"/>
      <c r="AA569" s="13"/>
      <c r="AB569" s="13"/>
      <c r="AC569" s="13">
        <v>171</v>
      </c>
      <c r="AD569" s="13">
        <f t="shared" si="53"/>
        <v>0.6333333333333333</v>
      </c>
      <c r="AE569" s="13"/>
      <c r="AF569" s="13"/>
      <c r="AG569" s="13">
        <v>12.77</v>
      </c>
      <c r="AH569" s="13">
        <f t="shared" si="54"/>
        <v>7.4949999999999992</v>
      </c>
      <c r="AI569" s="13">
        <f t="shared" si="55"/>
        <v>18.045000000000002</v>
      </c>
      <c r="AJ569" s="13"/>
      <c r="AK569" s="13"/>
      <c r="AL569" s="13"/>
      <c r="AM569" s="13"/>
      <c r="AN569" s="13"/>
      <c r="AO569" s="13"/>
      <c r="AP569" s="13"/>
      <c r="AQ569" s="13"/>
      <c r="AR569" s="13"/>
      <c r="AS569" s="13"/>
      <c r="AT569" s="13"/>
      <c r="AU569" s="13" t="s">
        <v>3928</v>
      </c>
      <c r="AV569" s="13"/>
      <c r="AW569" s="13">
        <v>270</v>
      </c>
      <c r="AX569" s="13">
        <v>0.92</v>
      </c>
      <c r="AY569" s="13">
        <v>0.79</v>
      </c>
      <c r="AZ569" s="13">
        <v>1.08</v>
      </c>
      <c r="BA569" s="16"/>
      <c r="BB569" s="13"/>
      <c r="BC569" s="13"/>
      <c r="BD569" s="13"/>
      <c r="BE569" s="16" t="s">
        <v>3911</v>
      </c>
      <c r="BF569" s="13">
        <v>270</v>
      </c>
      <c r="BG569" s="13">
        <v>1.03</v>
      </c>
      <c r="BH569" s="13">
        <v>0.87</v>
      </c>
      <c r="BI569" s="13">
        <v>1.22</v>
      </c>
      <c r="BJ569" s="16"/>
      <c r="BK569" s="13"/>
      <c r="BL569" s="13"/>
      <c r="BM569" s="13"/>
      <c r="BN569" s="16"/>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t="s">
        <v>3929</v>
      </c>
      <c r="CW569" s="13" t="s">
        <v>3575</v>
      </c>
      <c r="CX569" s="13" t="s">
        <v>3576</v>
      </c>
      <c r="CY569" s="13">
        <v>2024</v>
      </c>
      <c r="CZ569" s="21">
        <v>46003</v>
      </c>
      <c r="DA569" s="13" t="s">
        <v>13</v>
      </c>
      <c r="DB569" s="13">
        <v>272</v>
      </c>
      <c r="DC569" s="13">
        <v>1</v>
      </c>
      <c r="DD569" s="13">
        <v>7</v>
      </c>
      <c r="DE569" s="13" t="s">
        <v>3268</v>
      </c>
    </row>
    <row r="570" spans="1:109" ht="20">
      <c r="A570" s="13" t="s">
        <v>3413</v>
      </c>
      <c r="B570" s="13"/>
      <c r="C570" s="13" t="s">
        <v>3341</v>
      </c>
      <c r="D570" s="14" t="s">
        <v>830</v>
      </c>
      <c r="E570" s="13" t="s">
        <v>674</v>
      </c>
      <c r="F570" s="13" t="s">
        <v>3916</v>
      </c>
      <c r="G570" s="13"/>
      <c r="H570" s="14" t="s">
        <v>868</v>
      </c>
      <c r="I570" s="13" t="s">
        <v>3895</v>
      </c>
      <c r="J570" s="13" t="s">
        <v>902</v>
      </c>
      <c r="K570" s="13"/>
      <c r="L570" s="13"/>
      <c r="M570" s="13">
        <v>270</v>
      </c>
      <c r="N570" s="13"/>
      <c r="O570" s="15"/>
      <c r="P570" s="13">
        <v>37</v>
      </c>
      <c r="Q570" s="13">
        <v>65.900000000000006</v>
      </c>
      <c r="R570" s="13">
        <v>11.1</v>
      </c>
      <c r="S570" s="13"/>
      <c r="T570" s="13"/>
      <c r="U570" s="13"/>
      <c r="V570" s="13">
        <v>136</v>
      </c>
      <c r="W570" s="2">
        <f t="shared" si="52"/>
        <v>0.50370370370370365</v>
      </c>
      <c r="X570" s="13"/>
      <c r="Y570" s="13"/>
      <c r="Z570" s="13"/>
      <c r="AA570" s="13"/>
      <c r="AB570" s="13"/>
      <c r="AC570" s="13">
        <v>171</v>
      </c>
      <c r="AD570" s="13">
        <f t="shared" si="53"/>
        <v>0.6333333333333333</v>
      </c>
      <c r="AE570" s="13"/>
      <c r="AF570" s="13"/>
      <c r="AG570" s="13">
        <v>12.77</v>
      </c>
      <c r="AH570" s="13">
        <f t="shared" si="54"/>
        <v>7.4949999999999992</v>
      </c>
      <c r="AI570" s="13">
        <f t="shared" si="55"/>
        <v>18.045000000000002</v>
      </c>
      <c r="AJ570" s="13"/>
      <c r="AK570" s="13"/>
      <c r="AL570" s="13"/>
      <c r="AM570" s="13"/>
      <c r="AN570" s="13"/>
      <c r="AO570" s="13"/>
      <c r="AP570" s="13"/>
      <c r="AQ570" s="13"/>
      <c r="AR570" s="13"/>
      <c r="AS570" s="13"/>
      <c r="AT570" s="13"/>
      <c r="AU570" s="13" t="s">
        <v>3928</v>
      </c>
      <c r="AV570" s="13"/>
      <c r="AW570" s="13">
        <v>270</v>
      </c>
      <c r="AX570" s="13">
        <v>0.99</v>
      </c>
      <c r="AY570" s="13">
        <v>0.85</v>
      </c>
      <c r="AZ570" s="13">
        <v>1.1599999999999999</v>
      </c>
      <c r="BA570" s="16"/>
      <c r="BB570" s="13"/>
      <c r="BC570" s="13"/>
      <c r="BD570" s="13"/>
      <c r="BE570" s="16" t="s">
        <v>3911</v>
      </c>
      <c r="BF570" s="13">
        <v>270</v>
      </c>
      <c r="BG570" s="13">
        <v>1.03</v>
      </c>
      <c r="BH570" s="13">
        <v>0.86</v>
      </c>
      <c r="BI570" s="13">
        <v>1.23</v>
      </c>
      <c r="BJ570" s="16"/>
      <c r="BK570" s="13"/>
      <c r="BL570" s="13"/>
      <c r="BM570" s="13"/>
      <c r="BN570" s="16"/>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t="s">
        <v>3929</v>
      </c>
      <c r="CW570" s="13" t="s">
        <v>3575</v>
      </c>
      <c r="CX570" s="13" t="s">
        <v>3576</v>
      </c>
      <c r="CY570" s="13">
        <v>2024</v>
      </c>
      <c r="CZ570" s="21">
        <v>46003</v>
      </c>
      <c r="DA570" s="13" t="s">
        <v>13</v>
      </c>
      <c r="DB570" s="13">
        <v>272</v>
      </c>
      <c r="DC570" s="13">
        <v>1</v>
      </c>
      <c r="DD570" s="13">
        <v>7</v>
      </c>
      <c r="DE570" s="13" t="s">
        <v>3268</v>
      </c>
    </row>
    <row r="571" spans="1:109" ht="20">
      <c r="A571" s="13" t="s">
        <v>3413</v>
      </c>
      <c r="B571" s="13"/>
      <c r="C571" s="13" t="s">
        <v>3341</v>
      </c>
      <c r="D571" s="14" t="s">
        <v>830</v>
      </c>
      <c r="E571" s="13" t="s">
        <v>674</v>
      </c>
      <c r="F571" s="13" t="s">
        <v>3917</v>
      </c>
      <c r="G571" s="13"/>
      <c r="H571" s="14" t="s">
        <v>868</v>
      </c>
      <c r="I571" s="13" t="s">
        <v>3895</v>
      </c>
      <c r="J571" s="13" t="s">
        <v>902</v>
      </c>
      <c r="K571" s="13"/>
      <c r="L571" s="13"/>
      <c r="M571" s="13">
        <v>270</v>
      </c>
      <c r="N571" s="13"/>
      <c r="O571" s="15"/>
      <c r="P571" s="13">
        <v>37</v>
      </c>
      <c r="Q571" s="13">
        <v>65.900000000000006</v>
      </c>
      <c r="R571" s="13">
        <v>11.1</v>
      </c>
      <c r="S571" s="13"/>
      <c r="T571" s="13"/>
      <c r="U571" s="13"/>
      <c r="V571" s="13">
        <v>136</v>
      </c>
      <c r="W571" s="2">
        <f t="shared" si="52"/>
        <v>0.50370370370370365</v>
      </c>
      <c r="X571" s="13"/>
      <c r="Y571" s="13"/>
      <c r="Z571" s="13"/>
      <c r="AA571" s="13"/>
      <c r="AB571" s="13"/>
      <c r="AC571" s="13">
        <v>171</v>
      </c>
      <c r="AD571" s="13">
        <f t="shared" si="53"/>
        <v>0.6333333333333333</v>
      </c>
      <c r="AE571" s="13"/>
      <c r="AF571" s="13"/>
      <c r="AG571" s="13">
        <v>12.77</v>
      </c>
      <c r="AH571" s="13">
        <f t="shared" si="54"/>
        <v>7.4949999999999992</v>
      </c>
      <c r="AI571" s="13">
        <f t="shared" si="55"/>
        <v>18.045000000000002</v>
      </c>
      <c r="AJ571" s="13"/>
      <c r="AK571" s="13"/>
      <c r="AL571" s="13"/>
      <c r="AM571" s="13"/>
      <c r="AN571" s="13"/>
      <c r="AO571" s="13"/>
      <c r="AP571" s="13"/>
      <c r="AQ571" s="13"/>
      <c r="AR571" s="13"/>
      <c r="AS571" s="13"/>
      <c r="AT571" s="13"/>
      <c r="AU571" s="13" t="s">
        <v>3928</v>
      </c>
      <c r="AV571" s="13"/>
      <c r="AW571" s="13">
        <v>270</v>
      </c>
      <c r="AX571" s="13">
        <v>0.99</v>
      </c>
      <c r="AY571" s="13">
        <v>0.84</v>
      </c>
      <c r="AZ571" s="13">
        <v>1.1599999999999999</v>
      </c>
      <c r="BA571" s="16"/>
      <c r="BB571" s="13"/>
      <c r="BC571" s="13"/>
      <c r="BD571" s="13"/>
      <c r="BE571" s="16" t="s">
        <v>3911</v>
      </c>
      <c r="BF571" s="13">
        <v>270</v>
      </c>
      <c r="BG571" s="13">
        <v>1.07</v>
      </c>
      <c r="BH571" s="13">
        <v>0.91</v>
      </c>
      <c r="BI571" s="13">
        <v>1.27</v>
      </c>
      <c r="BJ571" s="16"/>
      <c r="BK571" s="13"/>
      <c r="BL571" s="13"/>
      <c r="BM571" s="13"/>
      <c r="BN571" s="16"/>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t="s">
        <v>3929</v>
      </c>
      <c r="CW571" s="13" t="s">
        <v>3575</v>
      </c>
      <c r="CX571" s="13" t="s">
        <v>3576</v>
      </c>
      <c r="CY571" s="13">
        <v>2024</v>
      </c>
      <c r="CZ571" s="21">
        <v>46003</v>
      </c>
      <c r="DA571" s="13" t="s">
        <v>13</v>
      </c>
      <c r="DB571" s="13">
        <v>272</v>
      </c>
      <c r="DC571" s="13">
        <v>1</v>
      </c>
      <c r="DD571" s="13">
        <v>7</v>
      </c>
      <c r="DE571" s="13" t="s">
        <v>3268</v>
      </c>
    </row>
    <row r="572" spans="1:109" ht="20">
      <c r="A572" s="13" t="s">
        <v>3413</v>
      </c>
      <c r="B572" s="13"/>
      <c r="C572" s="13" t="s">
        <v>3341</v>
      </c>
      <c r="D572" s="14" t="s">
        <v>830</v>
      </c>
      <c r="E572" s="13" t="s">
        <v>673</v>
      </c>
      <c r="F572" s="13" t="s">
        <v>2954</v>
      </c>
      <c r="G572" s="13"/>
      <c r="H572" s="14" t="s">
        <v>868</v>
      </c>
      <c r="I572" s="13" t="s">
        <v>3895</v>
      </c>
      <c r="J572" s="13" t="s">
        <v>902</v>
      </c>
      <c r="K572" s="13"/>
      <c r="L572" s="13"/>
      <c r="M572" s="13">
        <v>270</v>
      </c>
      <c r="N572" s="13"/>
      <c r="O572" s="15"/>
      <c r="P572" s="13">
        <v>37</v>
      </c>
      <c r="Q572" s="13">
        <v>65.900000000000006</v>
      </c>
      <c r="R572" s="13">
        <v>11.1</v>
      </c>
      <c r="S572" s="13"/>
      <c r="T572" s="13"/>
      <c r="U572" s="13"/>
      <c r="V572" s="13">
        <v>136</v>
      </c>
      <c r="W572" s="2">
        <f t="shared" si="52"/>
        <v>0.50370370370370365</v>
      </c>
      <c r="X572" s="13"/>
      <c r="Y572" s="13"/>
      <c r="Z572" s="13"/>
      <c r="AA572" s="13"/>
      <c r="AB572" s="13"/>
      <c r="AC572" s="13">
        <v>171</v>
      </c>
      <c r="AD572" s="13">
        <f t="shared" si="53"/>
        <v>0.6333333333333333</v>
      </c>
      <c r="AE572" s="13"/>
      <c r="AF572" s="13"/>
      <c r="AG572" s="13">
        <v>12.77</v>
      </c>
      <c r="AH572" s="13">
        <f t="shared" si="54"/>
        <v>7.4949999999999992</v>
      </c>
      <c r="AI572" s="13">
        <f t="shared" si="55"/>
        <v>18.045000000000002</v>
      </c>
      <c r="AJ572" s="13"/>
      <c r="AK572" s="13"/>
      <c r="AL572" s="13"/>
      <c r="AM572" s="13"/>
      <c r="AN572" s="13"/>
      <c r="AO572" s="13"/>
      <c r="AP572" s="13"/>
      <c r="AQ572" s="13"/>
      <c r="AR572" s="13"/>
      <c r="AS572" s="13"/>
      <c r="AT572" s="13"/>
      <c r="AU572" s="13" t="s">
        <v>3928</v>
      </c>
      <c r="AV572" s="13"/>
      <c r="AW572" s="13">
        <v>270</v>
      </c>
      <c r="AX572" s="13">
        <v>0.93</v>
      </c>
      <c r="AY572" s="13">
        <v>0.79</v>
      </c>
      <c r="AZ572" s="13">
        <v>1.0900000000000001</v>
      </c>
      <c r="BA572" s="16"/>
      <c r="BB572" s="13"/>
      <c r="BC572" s="13"/>
      <c r="BD572" s="13"/>
      <c r="BE572" s="16" t="s">
        <v>3911</v>
      </c>
      <c r="BF572" s="13">
        <v>270</v>
      </c>
      <c r="BG572" s="13">
        <v>0.93</v>
      </c>
      <c r="BH572" s="13">
        <v>0.78</v>
      </c>
      <c r="BI572" s="13">
        <v>1.1000000000000001</v>
      </c>
      <c r="BJ572" s="16"/>
      <c r="BK572" s="13"/>
      <c r="BL572" s="13"/>
      <c r="BM572" s="13"/>
      <c r="BN572" s="16"/>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t="s">
        <v>3929</v>
      </c>
      <c r="CW572" s="13" t="s">
        <v>3575</v>
      </c>
      <c r="CX572" s="13" t="s">
        <v>3576</v>
      </c>
      <c r="CY572" s="13">
        <v>2024</v>
      </c>
      <c r="CZ572" s="21">
        <v>46003</v>
      </c>
      <c r="DA572" s="13" t="s">
        <v>13</v>
      </c>
      <c r="DB572" s="13">
        <v>272</v>
      </c>
      <c r="DC572" s="13">
        <v>1</v>
      </c>
      <c r="DD572" s="13">
        <v>7</v>
      </c>
      <c r="DE572" s="13" t="s">
        <v>3268</v>
      </c>
    </row>
    <row r="573" spans="1:109" ht="20">
      <c r="A573" s="13" t="s">
        <v>3413</v>
      </c>
      <c r="B573" s="13"/>
      <c r="C573" s="13" t="s">
        <v>3341</v>
      </c>
      <c r="D573" s="14" t="s">
        <v>830</v>
      </c>
      <c r="E573" s="13" t="s">
        <v>673</v>
      </c>
      <c r="F573" s="13" t="s">
        <v>2958</v>
      </c>
      <c r="G573" s="13"/>
      <c r="H573" s="14" t="s">
        <v>868</v>
      </c>
      <c r="I573" s="13" t="s">
        <v>3895</v>
      </c>
      <c r="J573" s="13" t="s">
        <v>902</v>
      </c>
      <c r="K573" s="13"/>
      <c r="L573" s="13"/>
      <c r="M573" s="13">
        <v>270</v>
      </c>
      <c r="N573" s="13"/>
      <c r="O573" s="15"/>
      <c r="P573" s="13">
        <v>37</v>
      </c>
      <c r="Q573" s="13">
        <v>65.900000000000006</v>
      </c>
      <c r="R573" s="13">
        <v>11.1</v>
      </c>
      <c r="S573" s="13"/>
      <c r="T573" s="13"/>
      <c r="U573" s="13"/>
      <c r="V573" s="13">
        <v>136</v>
      </c>
      <c r="W573" s="2">
        <f t="shared" si="52"/>
        <v>0.50370370370370365</v>
      </c>
      <c r="X573" s="13"/>
      <c r="Y573" s="13"/>
      <c r="Z573" s="13"/>
      <c r="AA573" s="13"/>
      <c r="AB573" s="13"/>
      <c r="AC573" s="13">
        <v>171</v>
      </c>
      <c r="AD573" s="13">
        <f t="shared" si="53"/>
        <v>0.6333333333333333</v>
      </c>
      <c r="AE573" s="13"/>
      <c r="AF573" s="13"/>
      <c r="AG573" s="13">
        <v>12.77</v>
      </c>
      <c r="AH573" s="13">
        <f t="shared" si="54"/>
        <v>7.4949999999999992</v>
      </c>
      <c r="AI573" s="13">
        <f t="shared" si="55"/>
        <v>18.045000000000002</v>
      </c>
      <c r="AJ573" s="13"/>
      <c r="AK573" s="13"/>
      <c r="AL573" s="13"/>
      <c r="AM573" s="13"/>
      <c r="AN573" s="13"/>
      <c r="AO573" s="13"/>
      <c r="AP573" s="13"/>
      <c r="AQ573" s="13"/>
      <c r="AR573" s="13"/>
      <c r="AS573" s="13"/>
      <c r="AT573" s="13"/>
      <c r="AU573" s="13" t="s">
        <v>3928</v>
      </c>
      <c r="AV573" s="13"/>
      <c r="AW573" s="13">
        <v>270</v>
      </c>
      <c r="AX573" s="13">
        <v>0.92</v>
      </c>
      <c r="AY573" s="13">
        <v>0.77</v>
      </c>
      <c r="AZ573" s="13">
        <v>1.1000000000000001</v>
      </c>
      <c r="BA573" s="16"/>
      <c r="BB573" s="13"/>
      <c r="BC573" s="13"/>
      <c r="BD573" s="13"/>
      <c r="BE573" s="16" t="s">
        <v>3911</v>
      </c>
      <c r="BF573" s="13">
        <v>270</v>
      </c>
      <c r="BG573" s="13">
        <v>0.95</v>
      </c>
      <c r="BH573" s="13">
        <v>0.8</v>
      </c>
      <c r="BI573" s="13">
        <v>1.1299999999999999</v>
      </c>
      <c r="BJ573" s="16"/>
      <c r="BK573" s="13"/>
      <c r="BL573" s="13"/>
      <c r="BM573" s="13"/>
      <c r="BN573" s="16"/>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t="s">
        <v>3929</v>
      </c>
      <c r="CW573" s="13" t="s">
        <v>3575</v>
      </c>
      <c r="CX573" s="13" t="s">
        <v>3576</v>
      </c>
      <c r="CY573" s="13">
        <v>2024</v>
      </c>
      <c r="CZ573" s="21">
        <v>46003</v>
      </c>
      <c r="DA573" s="13" t="s">
        <v>13</v>
      </c>
      <c r="DB573" s="13">
        <v>272</v>
      </c>
      <c r="DC573" s="13">
        <v>1</v>
      </c>
      <c r="DD573" s="13">
        <v>7</v>
      </c>
      <c r="DE573" s="13" t="s">
        <v>3268</v>
      </c>
    </row>
    <row r="574" spans="1:109" ht="20">
      <c r="A574" s="13" t="s">
        <v>3413</v>
      </c>
      <c r="B574" s="13"/>
      <c r="C574" s="13" t="s">
        <v>3341</v>
      </c>
      <c r="D574" s="14" t="s">
        <v>830</v>
      </c>
      <c r="E574" s="13" t="s">
        <v>673</v>
      </c>
      <c r="F574" s="13" t="s">
        <v>2957</v>
      </c>
      <c r="G574" s="13"/>
      <c r="H574" s="14" t="s">
        <v>868</v>
      </c>
      <c r="I574" s="13" t="s">
        <v>3895</v>
      </c>
      <c r="J574" s="13" t="s">
        <v>902</v>
      </c>
      <c r="K574" s="13"/>
      <c r="L574" s="13"/>
      <c r="M574" s="13">
        <v>270</v>
      </c>
      <c r="N574" s="13"/>
      <c r="O574" s="15"/>
      <c r="P574" s="13">
        <v>37</v>
      </c>
      <c r="Q574" s="13">
        <v>65.900000000000006</v>
      </c>
      <c r="R574" s="13">
        <v>11.1</v>
      </c>
      <c r="S574" s="13"/>
      <c r="T574" s="13"/>
      <c r="U574" s="13"/>
      <c r="V574" s="13">
        <v>136</v>
      </c>
      <c r="W574" s="2">
        <f t="shared" si="52"/>
        <v>0.50370370370370365</v>
      </c>
      <c r="X574" s="13"/>
      <c r="Y574" s="13"/>
      <c r="Z574" s="13"/>
      <c r="AA574" s="13"/>
      <c r="AB574" s="13"/>
      <c r="AC574" s="13">
        <v>171</v>
      </c>
      <c r="AD574" s="13">
        <f t="shared" si="53"/>
        <v>0.6333333333333333</v>
      </c>
      <c r="AE574" s="13"/>
      <c r="AF574" s="13"/>
      <c r="AG574" s="13">
        <v>12.77</v>
      </c>
      <c r="AH574" s="13">
        <f t="shared" si="54"/>
        <v>7.4949999999999992</v>
      </c>
      <c r="AI574" s="13">
        <f t="shared" si="55"/>
        <v>18.045000000000002</v>
      </c>
      <c r="AJ574" s="13"/>
      <c r="AK574" s="13"/>
      <c r="AL574" s="13"/>
      <c r="AM574" s="13"/>
      <c r="AN574" s="13"/>
      <c r="AO574" s="13"/>
      <c r="AP574" s="13"/>
      <c r="AQ574" s="13"/>
      <c r="AR574" s="13"/>
      <c r="AS574" s="13"/>
      <c r="AT574" s="13"/>
      <c r="AU574" s="13" t="s">
        <v>3928</v>
      </c>
      <c r="AV574" s="13"/>
      <c r="AW574" s="13">
        <v>270</v>
      </c>
      <c r="AX574" s="13">
        <v>1.08</v>
      </c>
      <c r="AY574" s="13">
        <v>0.92</v>
      </c>
      <c r="AZ574" s="13">
        <v>1.27</v>
      </c>
      <c r="BA574" s="16"/>
      <c r="BB574" s="13"/>
      <c r="BC574" s="13"/>
      <c r="BD574" s="13"/>
      <c r="BE574" s="16" t="s">
        <v>3911</v>
      </c>
      <c r="BF574" s="13">
        <v>270</v>
      </c>
      <c r="BG574" s="13">
        <v>1.08</v>
      </c>
      <c r="BH574" s="13">
        <v>0.9</v>
      </c>
      <c r="BI574" s="13">
        <v>1.29</v>
      </c>
      <c r="BJ574" s="16"/>
      <c r="BK574" s="13"/>
      <c r="BL574" s="13"/>
      <c r="BM574" s="13"/>
      <c r="BN574" s="16"/>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t="s">
        <v>3929</v>
      </c>
      <c r="CW574" s="13" t="s">
        <v>3575</v>
      </c>
      <c r="CX574" s="13" t="s">
        <v>3576</v>
      </c>
      <c r="CY574" s="13">
        <v>2024</v>
      </c>
      <c r="CZ574" s="21">
        <v>46003</v>
      </c>
      <c r="DA574" s="13" t="s">
        <v>13</v>
      </c>
      <c r="DB574" s="13">
        <v>272</v>
      </c>
      <c r="DC574" s="13">
        <v>1</v>
      </c>
      <c r="DD574" s="13">
        <v>7</v>
      </c>
      <c r="DE574" s="13" t="s">
        <v>3268</v>
      </c>
    </row>
    <row r="575" spans="1:109" ht="20">
      <c r="A575" s="13" t="s">
        <v>3413</v>
      </c>
      <c r="B575" s="13"/>
      <c r="C575" s="13" t="s">
        <v>3341</v>
      </c>
      <c r="D575" s="14" t="s">
        <v>830</v>
      </c>
      <c r="E575" s="13" t="s">
        <v>673</v>
      </c>
      <c r="F575" s="13" t="s">
        <v>3918</v>
      </c>
      <c r="G575" s="13"/>
      <c r="H575" s="14" t="s">
        <v>868</v>
      </c>
      <c r="I575" s="13" t="s">
        <v>3895</v>
      </c>
      <c r="J575" s="13" t="s">
        <v>902</v>
      </c>
      <c r="K575" s="13"/>
      <c r="L575" s="13"/>
      <c r="M575" s="13">
        <v>270</v>
      </c>
      <c r="N575" s="13"/>
      <c r="O575" s="15"/>
      <c r="P575" s="13">
        <v>37</v>
      </c>
      <c r="Q575" s="13">
        <v>65.900000000000006</v>
      </c>
      <c r="R575" s="13">
        <v>11.1</v>
      </c>
      <c r="S575" s="13"/>
      <c r="T575" s="13"/>
      <c r="U575" s="13"/>
      <c r="V575" s="13">
        <v>136</v>
      </c>
      <c r="W575" s="2">
        <f t="shared" si="52"/>
        <v>0.50370370370370365</v>
      </c>
      <c r="X575" s="13"/>
      <c r="Y575" s="13"/>
      <c r="Z575" s="13"/>
      <c r="AA575" s="13"/>
      <c r="AB575" s="13"/>
      <c r="AC575" s="13">
        <v>171</v>
      </c>
      <c r="AD575" s="13">
        <f t="shared" si="53"/>
        <v>0.6333333333333333</v>
      </c>
      <c r="AE575" s="13"/>
      <c r="AF575" s="13"/>
      <c r="AG575" s="13">
        <v>12.77</v>
      </c>
      <c r="AH575" s="13">
        <f t="shared" si="54"/>
        <v>7.4949999999999992</v>
      </c>
      <c r="AI575" s="13">
        <f t="shared" si="55"/>
        <v>18.045000000000002</v>
      </c>
      <c r="AJ575" s="13"/>
      <c r="AK575" s="13"/>
      <c r="AL575" s="13"/>
      <c r="AM575" s="13"/>
      <c r="AN575" s="13"/>
      <c r="AO575" s="13"/>
      <c r="AP575" s="13"/>
      <c r="AQ575" s="13"/>
      <c r="AR575" s="13"/>
      <c r="AS575" s="13"/>
      <c r="AT575" s="13"/>
      <c r="AU575" s="13" t="s">
        <v>3928</v>
      </c>
      <c r="AV575" s="13"/>
      <c r="AW575" s="13">
        <v>270</v>
      </c>
      <c r="AX575" s="13">
        <v>1.1100000000000001</v>
      </c>
      <c r="AY575" s="13">
        <v>0.94</v>
      </c>
      <c r="AZ575" s="13">
        <v>1.3</v>
      </c>
      <c r="BA575" s="16"/>
      <c r="BB575" s="13"/>
      <c r="BC575" s="13"/>
      <c r="BD575" s="13"/>
      <c r="BE575" s="16" t="s">
        <v>3911</v>
      </c>
      <c r="BF575" s="13">
        <v>270</v>
      </c>
      <c r="BG575" s="13">
        <v>1.05</v>
      </c>
      <c r="BH575" s="13">
        <v>0.89</v>
      </c>
      <c r="BI575" s="13">
        <v>1.23</v>
      </c>
      <c r="BJ575" s="16"/>
      <c r="BK575" s="13"/>
      <c r="BL575" s="13"/>
      <c r="BM575" s="13"/>
      <c r="BN575" s="16"/>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t="s">
        <v>3929</v>
      </c>
      <c r="CW575" s="13" t="s">
        <v>3575</v>
      </c>
      <c r="CX575" s="13" t="s">
        <v>3576</v>
      </c>
      <c r="CY575" s="13">
        <v>2024</v>
      </c>
      <c r="CZ575" s="21">
        <v>46003</v>
      </c>
      <c r="DA575" s="13" t="s">
        <v>13</v>
      </c>
      <c r="DB575" s="13">
        <v>272</v>
      </c>
      <c r="DC575" s="13">
        <v>1</v>
      </c>
      <c r="DD575" s="13">
        <v>7</v>
      </c>
      <c r="DE575" s="13" t="s">
        <v>3268</v>
      </c>
    </row>
    <row r="576" spans="1:109" ht="20">
      <c r="A576" s="13" t="s">
        <v>3413</v>
      </c>
      <c r="B576" s="13"/>
      <c r="C576" s="13" t="s">
        <v>3341</v>
      </c>
      <c r="D576" s="14" t="s">
        <v>830</v>
      </c>
      <c r="E576" s="13" t="s">
        <v>673</v>
      </c>
      <c r="F576" s="13" t="s">
        <v>2378</v>
      </c>
      <c r="G576" s="13"/>
      <c r="H576" s="14" t="s">
        <v>868</v>
      </c>
      <c r="I576" s="13" t="s">
        <v>3895</v>
      </c>
      <c r="J576" s="13" t="s">
        <v>902</v>
      </c>
      <c r="K576" s="13"/>
      <c r="L576" s="13"/>
      <c r="M576" s="13">
        <v>270</v>
      </c>
      <c r="N576" s="13"/>
      <c r="O576" s="15"/>
      <c r="P576" s="13">
        <v>37</v>
      </c>
      <c r="Q576" s="13">
        <v>65.900000000000006</v>
      </c>
      <c r="R576" s="13">
        <v>11.1</v>
      </c>
      <c r="S576" s="13"/>
      <c r="T576" s="13"/>
      <c r="U576" s="13"/>
      <c r="V576" s="13">
        <v>136</v>
      </c>
      <c r="W576" s="2">
        <f t="shared" si="52"/>
        <v>0.50370370370370365</v>
      </c>
      <c r="X576" s="13"/>
      <c r="Y576" s="13"/>
      <c r="Z576" s="13"/>
      <c r="AA576" s="13"/>
      <c r="AB576" s="13"/>
      <c r="AC576" s="13">
        <v>171</v>
      </c>
      <c r="AD576" s="13">
        <f t="shared" si="53"/>
        <v>0.6333333333333333</v>
      </c>
      <c r="AE576" s="13"/>
      <c r="AF576" s="13"/>
      <c r="AG576" s="13">
        <v>12.77</v>
      </c>
      <c r="AH576" s="13">
        <f t="shared" si="54"/>
        <v>7.4949999999999992</v>
      </c>
      <c r="AI576" s="13">
        <f t="shared" si="55"/>
        <v>18.045000000000002</v>
      </c>
      <c r="AJ576" s="13"/>
      <c r="AK576" s="13"/>
      <c r="AL576" s="13"/>
      <c r="AM576" s="13"/>
      <c r="AN576" s="13"/>
      <c r="AO576" s="13"/>
      <c r="AP576" s="13"/>
      <c r="AQ576" s="13"/>
      <c r="AR576" s="13"/>
      <c r="AS576" s="13"/>
      <c r="AT576" s="13"/>
      <c r="AU576" s="13" t="s">
        <v>3928</v>
      </c>
      <c r="AV576" s="13"/>
      <c r="AW576" s="13">
        <v>270</v>
      </c>
      <c r="AX576" s="13">
        <v>0.82</v>
      </c>
      <c r="AY576" s="13">
        <v>0.69</v>
      </c>
      <c r="AZ576" s="13">
        <v>0.96</v>
      </c>
      <c r="BA576" s="16"/>
      <c r="BB576" s="13"/>
      <c r="BC576" s="13"/>
      <c r="BD576" s="13"/>
      <c r="BE576" s="16" t="s">
        <v>3911</v>
      </c>
      <c r="BF576" s="13">
        <v>270</v>
      </c>
      <c r="BG576" s="13">
        <v>0.99</v>
      </c>
      <c r="BH576" s="13">
        <v>0.81</v>
      </c>
      <c r="BI576" s="13">
        <v>1.2</v>
      </c>
      <c r="BJ576" s="16"/>
      <c r="BK576" s="13"/>
      <c r="BL576" s="13"/>
      <c r="BM576" s="13"/>
      <c r="BN576" s="16"/>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t="s">
        <v>3929</v>
      </c>
      <c r="CW576" s="13" t="s">
        <v>3575</v>
      </c>
      <c r="CX576" s="13" t="s">
        <v>3576</v>
      </c>
      <c r="CY576" s="13">
        <v>2024</v>
      </c>
      <c r="CZ576" s="21">
        <v>46003</v>
      </c>
      <c r="DA576" s="13" t="s">
        <v>13</v>
      </c>
      <c r="DB576" s="13">
        <v>272</v>
      </c>
      <c r="DC576" s="13">
        <v>1</v>
      </c>
      <c r="DD576" s="13">
        <v>7</v>
      </c>
      <c r="DE576" s="13" t="s">
        <v>3268</v>
      </c>
    </row>
    <row r="577" spans="1:109" ht="20">
      <c r="A577" s="13" t="s">
        <v>3413</v>
      </c>
      <c r="B577" s="13"/>
      <c r="C577" s="13" t="s">
        <v>3341</v>
      </c>
      <c r="D577" s="14" t="s">
        <v>830</v>
      </c>
      <c r="E577" s="13" t="s">
        <v>3927</v>
      </c>
      <c r="F577" s="13" t="s">
        <v>3919</v>
      </c>
      <c r="G577" s="13"/>
      <c r="H577" s="14" t="s">
        <v>868</v>
      </c>
      <c r="I577" s="13" t="s">
        <v>3895</v>
      </c>
      <c r="J577" s="13" t="s">
        <v>902</v>
      </c>
      <c r="K577" s="13"/>
      <c r="L577" s="13"/>
      <c r="M577" s="13">
        <v>270</v>
      </c>
      <c r="N577" s="13"/>
      <c r="O577" s="15"/>
      <c r="P577" s="13">
        <v>37</v>
      </c>
      <c r="Q577" s="13">
        <v>65.900000000000006</v>
      </c>
      <c r="R577" s="13">
        <v>11.1</v>
      </c>
      <c r="S577" s="13"/>
      <c r="T577" s="13"/>
      <c r="U577" s="13"/>
      <c r="V577" s="13">
        <v>136</v>
      </c>
      <c r="W577" s="2">
        <f t="shared" si="52"/>
        <v>0.50370370370370365</v>
      </c>
      <c r="X577" s="13"/>
      <c r="Y577" s="13"/>
      <c r="Z577" s="13"/>
      <c r="AA577" s="13"/>
      <c r="AB577" s="13"/>
      <c r="AC577" s="13">
        <v>171</v>
      </c>
      <c r="AD577" s="13">
        <f t="shared" si="53"/>
        <v>0.6333333333333333</v>
      </c>
      <c r="AE577" s="13"/>
      <c r="AF577" s="13"/>
      <c r="AG577" s="13">
        <v>12.77</v>
      </c>
      <c r="AH577" s="13">
        <f t="shared" si="54"/>
        <v>7.4949999999999992</v>
      </c>
      <c r="AI577" s="13">
        <f t="shared" si="55"/>
        <v>18.045000000000002</v>
      </c>
      <c r="AJ577" s="13"/>
      <c r="AK577" s="13"/>
      <c r="AL577" s="13"/>
      <c r="AM577" s="13"/>
      <c r="AN577" s="13"/>
      <c r="AO577" s="13"/>
      <c r="AP577" s="13"/>
      <c r="AQ577" s="13"/>
      <c r="AR577" s="13"/>
      <c r="AS577" s="13"/>
      <c r="AT577" s="13"/>
      <c r="AU577" s="13" t="s">
        <v>3928</v>
      </c>
      <c r="AV577" s="13"/>
      <c r="AW577" s="13">
        <v>270</v>
      </c>
      <c r="AX577" s="13">
        <v>1.19</v>
      </c>
      <c r="AY577" s="13">
        <v>1.02</v>
      </c>
      <c r="AZ577" s="13">
        <v>1.38</v>
      </c>
      <c r="BA577" s="16"/>
      <c r="BB577" s="13"/>
      <c r="BC577" s="13"/>
      <c r="BD577" s="13"/>
      <c r="BE577" s="16" t="s">
        <v>3911</v>
      </c>
      <c r="BF577" s="13">
        <v>270</v>
      </c>
      <c r="BG577" s="13">
        <v>1.04</v>
      </c>
      <c r="BH577" s="13">
        <v>0.9</v>
      </c>
      <c r="BI577" s="13">
        <v>1.21</v>
      </c>
      <c r="BJ577" s="16"/>
      <c r="BK577" s="13"/>
      <c r="BL577" s="13"/>
      <c r="BM577" s="13"/>
      <c r="BN577" s="16"/>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t="s">
        <v>3929</v>
      </c>
      <c r="CW577" s="13" t="s">
        <v>3575</v>
      </c>
      <c r="CX577" s="13" t="s">
        <v>3576</v>
      </c>
      <c r="CY577" s="13">
        <v>2024</v>
      </c>
      <c r="CZ577" s="21">
        <v>46003</v>
      </c>
      <c r="DA577" s="13" t="s">
        <v>13</v>
      </c>
      <c r="DB577" s="13">
        <v>272</v>
      </c>
      <c r="DC577" s="13">
        <v>1</v>
      </c>
      <c r="DD577" s="13">
        <v>7</v>
      </c>
      <c r="DE577" s="13" t="s">
        <v>3268</v>
      </c>
    </row>
    <row r="578" spans="1:109" ht="20">
      <c r="A578" s="13" t="s">
        <v>3413</v>
      </c>
      <c r="B578" s="13"/>
      <c r="C578" s="13" t="s">
        <v>3341</v>
      </c>
      <c r="D578" s="14" t="s">
        <v>830</v>
      </c>
      <c r="E578" s="13" t="s">
        <v>3927</v>
      </c>
      <c r="F578" s="13" t="s">
        <v>3920</v>
      </c>
      <c r="G578" s="13"/>
      <c r="H578" s="14" t="s">
        <v>868</v>
      </c>
      <c r="I578" s="13" t="s">
        <v>3895</v>
      </c>
      <c r="J578" s="13" t="s">
        <v>902</v>
      </c>
      <c r="K578" s="13"/>
      <c r="L578" s="13"/>
      <c r="M578" s="13">
        <v>270</v>
      </c>
      <c r="N578" s="13"/>
      <c r="O578" s="15"/>
      <c r="P578" s="13">
        <v>37</v>
      </c>
      <c r="Q578" s="13">
        <v>65.900000000000006</v>
      </c>
      <c r="R578" s="13">
        <v>11.1</v>
      </c>
      <c r="S578" s="13"/>
      <c r="T578" s="13"/>
      <c r="U578" s="13"/>
      <c r="V578" s="13">
        <v>136</v>
      </c>
      <c r="W578" s="2">
        <f t="shared" si="52"/>
        <v>0.50370370370370365</v>
      </c>
      <c r="X578" s="13"/>
      <c r="Y578" s="13"/>
      <c r="Z578" s="13"/>
      <c r="AA578" s="13"/>
      <c r="AB578" s="13"/>
      <c r="AC578" s="13">
        <v>171</v>
      </c>
      <c r="AD578" s="13">
        <f t="shared" si="53"/>
        <v>0.6333333333333333</v>
      </c>
      <c r="AE578" s="13"/>
      <c r="AF578" s="13"/>
      <c r="AG578" s="13">
        <v>12.77</v>
      </c>
      <c r="AH578" s="13">
        <f t="shared" si="54"/>
        <v>7.4949999999999992</v>
      </c>
      <c r="AI578" s="13">
        <f t="shared" si="55"/>
        <v>18.045000000000002</v>
      </c>
      <c r="AJ578" s="13"/>
      <c r="AK578" s="13"/>
      <c r="AL578" s="13"/>
      <c r="AM578" s="13"/>
      <c r="AN578" s="13"/>
      <c r="AO578" s="13"/>
      <c r="AP578" s="13"/>
      <c r="AQ578" s="13"/>
      <c r="AR578" s="13"/>
      <c r="AS578" s="13"/>
      <c r="AT578" s="13"/>
      <c r="AU578" s="13" t="s">
        <v>3928</v>
      </c>
      <c r="AV578" s="13"/>
      <c r="AW578" s="13">
        <v>270</v>
      </c>
      <c r="AX578" s="13">
        <v>1.01</v>
      </c>
      <c r="AY578" s="13">
        <v>0.85</v>
      </c>
      <c r="AZ578" s="13">
        <v>1.19</v>
      </c>
      <c r="BA578" s="16"/>
      <c r="BB578" s="13"/>
      <c r="BC578" s="13"/>
      <c r="BD578" s="13"/>
      <c r="BE578" s="16" t="s">
        <v>3911</v>
      </c>
      <c r="BF578" s="13">
        <v>270</v>
      </c>
      <c r="BG578" s="13">
        <v>1.18</v>
      </c>
      <c r="BH578" s="13">
        <v>0.97</v>
      </c>
      <c r="BI578" s="13">
        <v>1.42</v>
      </c>
      <c r="BJ578" s="16"/>
      <c r="BK578" s="13"/>
      <c r="BL578" s="13"/>
      <c r="BM578" s="13"/>
      <c r="BN578" s="16"/>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t="s">
        <v>3929</v>
      </c>
      <c r="CW578" s="13" t="s">
        <v>3575</v>
      </c>
      <c r="CX578" s="13" t="s">
        <v>3576</v>
      </c>
      <c r="CY578" s="13">
        <v>2024</v>
      </c>
      <c r="CZ578" s="21">
        <v>46003</v>
      </c>
      <c r="DA578" s="13" t="s">
        <v>13</v>
      </c>
      <c r="DB578" s="13">
        <v>272</v>
      </c>
      <c r="DC578" s="13">
        <v>1</v>
      </c>
      <c r="DD578" s="13">
        <v>7</v>
      </c>
      <c r="DE578" s="13" t="s">
        <v>3268</v>
      </c>
    </row>
    <row r="579" spans="1:109" ht="20">
      <c r="A579" s="13" t="s">
        <v>3413</v>
      </c>
      <c r="B579" s="13"/>
      <c r="C579" s="13" t="s">
        <v>3341</v>
      </c>
      <c r="D579" s="14" t="s">
        <v>830</v>
      </c>
      <c r="E579" s="13" t="s">
        <v>3927</v>
      </c>
      <c r="F579" s="13" t="s">
        <v>3921</v>
      </c>
      <c r="G579" s="13"/>
      <c r="H579" s="14" t="s">
        <v>868</v>
      </c>
      <c r="I579" s="13" t="s">
        <v>3895</v>
      </c>
      <c r="J579" s="13" t="s">
        <v>902</v>
      </c>
      <c r="K579" s="13"/>
      <c r="L579" s="13"/>
      <c r="M579" s="13">
        <v>270</v>
      </c>
      <c r="N579" s="13"/>
      <c r="O579" s="15"/>
      <c r="P579" s="13">
        <v>37</v>
      </c>
      <c r="Q579" s="13">
        <v>65.900000000000006</v>
      </c>
      <c r="R579" s="13">
        <v>11.1</v>
      </c>
      <c r="S579" s="13"/>
      <c r="T579" s="13"/>
      <c r="U579" s="13"/>
      <c r="V579" s="13">
        <v>136</v>
      </c>
      <c r="W579" s="2">
        <f t="shared" si="52"/>
        <v>0.50370370370370365</v>
      </c>
      <c r="X579" s="13"/>
      <c r="Y579" s="13"/>
      <c r="Z579" s="13"/>
      <c r="AA579" s="13"/>
      <c r="AB579" s="13"/>
      <c r="AC579" s="13">
        <v>171</v>
      </c>
      <c r="AD579" s="13">
        <f t="shared" si="53"/>
        <v>0.6333333333333333</v>
      </c>
      <c r="AE579" s="13"/>
      <c r="AF579" s="13"/>
      <c r="AG579" s="13">
        <v>12.77</v>
      </c>
      <c r="AH579" s="13">
        <f t="shared" si="54"/>
        <v>7.4949999999999992</v>
      </c>
      <c r="AI579" s="13">
        <f t="shared" si="55"/>
        <v>18.045000000000002</v>
      </c>
      <c r="AJ579" s="13"/>
      <c r="AK579" s="13"/>
      <c r="AL579" s="13"/>
      <c r="AM579" s="13"/>
      <c r="AN579" s="13"/>
      <c r="AO579" s="13"/>
      <c r="AP579" s="13"/>
      <c r="AQ579" s="13"/>
      <c r="AR579" s="13"/>
      <c r="AS579" s="13"/>
      <c r="AT579" s="13"/>
      <c r="AU579" s="13" t="s">
        <v>3928</v>
      </c>
      <c r="AV579" s="13"/>
      <c r="AW579" s="13">
        <v>270</v>
      </c>
      <c r="AX579" s="13">
        <v>0.87</v>
      </c>
      <c r="AY579" s="13">
        <v>0.74</v>
      </c>
      <c r="AZ579" s="13">
        <v>1.02</v>
      </c>
      <c r="BA579" s="16"/>
      <c r="BB579" s="13"/>
      <c r="BC579" s="13"/>
      <c r="BD579" s="13"/>
      <c r="BE579" s="16" t="s">
        <v>3911</v>
      </c>
      <c r="BF579" s="13">
        <v>270</v>
      </c>
      <c r="BG579" s="13">
        <v>1.05</v>
      </c>
      <c r="BH579" s="13">
        <v>0.89</v>
      </c>
      <c r="BI579" s="13">
        <v>1.24</v>
      </c>
      <c r="BJ579" s="16"/>
      <c r="BK579" s="13"/>
      <c r="BL579" s="13"/>
      <c r="BM579" s="13"/>
      <c r="BN579" s="16"/>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t="s">
        <v>3929</v>
      </c>
      <c r="CW579" s="13" t="s">
        <v>3575</v>
      </c>
      <c r="CX579" s="13" t="s">
        <v>3576</v>
      </c>
      <c r="CY579" s="13">
        <v>2024</v>
      </c>
      <c r="CZ579" s="21">
        <v>46003</v>
      </c>
      <c r="DA579" s="13" t="s">
        <v>13</v>
      </c>
      <c r="DB579" s="13">
        <v>272</v>
      </c>
      <c r="DC579" s="13">
        <v>1</v>
      </c>
      <c r="DD579" s="13">
        <v>7</v>
      </c>
      <c r="DE579" s="13" t="s">
        <v>3268</v>
      </c>
    </row>
    <row r="580" spans="1:109" ht="20">
      <c r="A580" s="13" t="s">
        <v>3413</v>
      </c>
      <c r="B580" s="13"/>
      <c r="C580" s="13" t="s">
        <v>3341</v>
      </c>
      <c r="D580" s="14" t="s">
        <v>830</v>
      </c>
      <c r="E580" s="13" t="s">
        <v>3927</v>
      </c>
      <c r="F580" s="13" t="s">
        <v>3922</v>
      </c>
      <c r="G580" s="13"/>
      <c r="H580" s="14" t="s">
        <v>868</v>
      </c>
      <c r="I580" s="13" t="s">
        <v>3895</v>
      </c>
      <c r="J580" s="13" t="s">
        <v>902</v>
      </c>
      <c r="K580" s="13"/>
      <c r="L580" s="13"/>
      <c r="M580" s="13">
        <v>270</v>
      </c>
      <c r="N580" s="13"/>
      <c r="O580" s="15"/>
      <c r="P580" s="13">
        <v>37</v>
      </c>
      <c r="Q580" s="13">
        <v>65.900000000000006</v>
      </c>
      <c r="R580" s="13">
        <v>11.1</v>
      </c>
      <c r="S580" s="13"/>
      <c r="T580" s="13"/>
      <c r="U580" s="13"/>
      <c r="V580" s="13">
        <v>136</v>
      </c>
      <c r="W580" s="2">
        <f t="shared" si="52"/>
        <v>0.50370370370370365</v>
      </c>
      <c r="X580" s="13"/>
      <c r="Y580" s="13"/>
      <c r="Z580" s="13"/>
      <c r="AA580" s="13"/>
      <c r="AB580" s="13"/>
      <c r="AC580" s="13">
        <v>171</v>
      </c>
      <c r="AD580" s="13">
        <f t="shared" si="53"/>
        <v>0.6333333333333333</v>
      </c>
      <c r="AE580" s="13"/>
      <c r="AF580" s="13"/>
      <c r="AG580" s="13">
        <v>12.77</v>
      </c>
      <c r="AH580" s="13">
        <f t="shared" si="54"/>
        <v>7.4949999999999992</v>
      </c>
      <c r="AI580" s="13">
        <f t="shared" si="55"/>
        <v>18.045000000000002</v>
      </c>
      <c r="AJ580" s="13"/>
      <c r="AK580" s="13"/>
      <c r="AL580" s="13"/>
      <c r="AM580" s="13"/>
      <c r="AN580" s="13"/>
      <c r="AO580" s="13"/>
      <c r="AP580" s="13"/>
      <c r="AQ580" s="13"/>
      <c r="AR580" s="13"/>
      <c r="AS580" s="13"/>
      <c r="AT580" s="13"/>
      <c r="AU580" s="13" t="s">
        <v>3928</v>
      </c>
      <c r="AV580" s="13"/>
      <c r="AW580" s="13">
        <v>270</v>
      </c>
      <c r="AX580" s="13">
        <v>1</v>
      </c>
      <c r="AY580" s="13">
        <v>0.85</v>
      </c>
      <c r="AZ580" s="13">
        <v>1.17</v>
      </c>
      <c r="BA580" s="16"/>
      <c r="BB580" s="13"/>
      <c r="BC580" s="13"/>
      <c r="BD580" s="13"/>
      <c r="BE580" s="16" t="s">
        <v>3911</v>
      </c>
      <c r="BF580" s="13">
        <v>270</v>
      </c>
      <c r="BG580" s="13">
        <v>1.2</v>
      </c>
      <c r="BH580" s="13">
        <v>0.99</v>
      </c>
      <c r="BI580" s="13">
        <v>1.46</v>
      </c>
      <c r="BJ580" s="16"/>
      <c r="BK580" s="13"/>
      <c r="BL580" s="13"/>
      <c r="BM580" s="13"/>
      <c r="BN580" s="16"/>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t="s">
        <v>3929</v>
      </c>
      <c r="CW580" s="13" t="s">
        <v>3575</v>
      </c>
      <c r="CX580" s="13" t="s">
        <v>3576</v>
      </c>
      <c r="CY580" s="13">
        <v>2024</v>
      </c>
      <c r="CZ580" s="21">
        <v>46003</v>
      </c>
      <c r="DA580" s="13" t="s">
        <v>13</v>
      </c>
      <c r="DB580" s="13">
        <v>272</v>
      </c>
      <c r="DC580" s="13">
        <v>1</v>
      </c>
      <c r="DD580" s="13">
        <v>7</v>
      </c>
      <c r="DE580" s="13" t="s">
        <v>3268</v>
      </c>
    </row>
    <row r="581" spans="1:109" ht="20">
      <c r="A581" s="13" t="s">
        <v>3413</v>
      </c>
      <c r="B581" s="13"/>
      <c r="C581" s="13" t="s">
        <v>3341</v>
      </c>
      <c r="D581" s="14" t="s">
        <v>830</v>
      </c>
      <c r="E581" s="13" t="s">
        <v>3927</v>
      </c>
      <c r="F581" s="13" t="s">
        <v>3923</v>
      </c>
      <c r="G581" s="13"/>
      <c r="H581" s="14" t="s">
        <v>868</v>
      </c>
      <c r="I581" s="13" t="s">
        <v>3895</v>
      </c>
      <c r="J581" s="13" t="s">
        <v>902</v>
      </c>
      <c r="K581" s="13"/>
      <c r="L581" s="13"/>
      <c r="M581" s="13">
        <v>270</v>
      </c>
      <c r="N581" s="13"/>
      <c r="O581" s="15"/>
      <c r="P581" s="13">
        <v>37</v>
      </c>
      <c r="Q581" s="13">
        <v>65.900000000000006</v>
      </c>
      <c r="R581" s="13">
        <v>11.1</v>
      </c>
      <c r="S581" s="13"/>
      <c r="T581" s="13"/>
      <c r="U581" s="13"/>
      <c r="V581" s="13">
        <v>136</v>
      </c>
      <c r="W581" s="2">
        <f t="shared" si="52"/>
        <v>0.50370370370370365</v>
      </c>
      <c r="X581" s="13"/>
      <c r="Y581" s="13"/>
      <c r="Z581" s="13"/>
      <c r="AA581" s="13"/>
      <c r="AB581" s="13"/>
      <c r="AC581" s="13">
        <v>171</v>
      </c>
      <c r="AD581" s="13">
        <f t="shared" si="53"/>
        <v>0.6333333333333333</v>
      </c>
      <c r="AE581" s="13"/>
      <c r="AF581" s="13"/>
      <c r="AG581" s="13">
        <v>12.77</v>
      </c>
      <c r="AH581" s="13">
        <f t="shared" si="54"/>
        <v>7.4949999999999992</v>
      </c>
      <c r="AI581" s="13">
        <f t="shared" si="55"/>
        <v>18.045000000000002</v>
      </c>
      <c r="AJ581" s="13"/>
      <c r="AK581" s="13"/>
      <c r="AL581" s="13"/>
      <c r="AM581" s="13"/>
      <c r="AN581" s="13"/>
      <c r="AO581" s="13"/>
      <c r="AP581" s="13"/>
      <c r="AQ581" s="13"/>
      <c r="AR581" s="13"/>
      <c r="AS581" s="13"/>
      <c r="AT581" s="13"/>
      <c r="AU581" s="13" t="s">
        <v>3928</v>
      </c>
      <c r="AV581" s="13"/>
      <c r="AW581" s="13">
        <v>270</v>
      </c>
      <c r="AX581" s="13">
        <v>1.26</v>
      </c>
      <c r="AY581" s="13">
        <v>1.08</v>
      </c>
      <c r="AZ581" s="13">
        <v>1.46</v>
      </c>
      <c r="BA581" s="16"/>
      <c r="BB581" s="13"/>
      <c r="BC581" s="13"/>
      <c r="BD581" s="13"/>
      <c r="BE581" s="16" t="s">
        <v>3911</v>
      </c>
      <c r="BF581" s="13">
        <v>270</v>
      </c>
      <c r="BG581" s="13">
        <v>1.1200000000000001</v>
      </c>
      <c r="BH581" s="13">
        <v>0.96</v>
      </c>
      <c r="BI581" s="13">
        <v>1.31</v>
      </c>
      <c r="BJ581" s="16"/>
      <c r="BK581" s="13"/>
      <c r="BL581" s="13"/>
      <c r="BM581" s="13"/>
      <c r="BN581" s="16"/>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t="s">
        <v>3929</v>
      </c>
      <c r="CW581" s="13" t="s">
        <v>3575</v>
      </c>
      <c r="CX581" s="13" t="s">
        <v>3576</v>
      </c>
      <c r="CY581" s="13">
        <v>2024</v>
      </c>
      <c r="CZ581" s="21">
        <v>46003</v>
      </c>
      <c r="DA581" s="13" t="s">
        <v>13</v>
      </c>
      <c r="DB581" s="13">
        <v>272</v>
      </c>
      <c r="DC581" s="13">
        <v>1</v>
      </c>
      <c r="DD581" s="13">
        <v>7</v>
      </c>
      <c r="DE581" s="13" t="s">
        <v>3268</v>
      </c>
    </row>
    <row r="582" spans="1:109" ht="20">
      <c r="A582" s="13" t="s">
        <v>3413</v>
      </c>
      <c r="B582" s="13"/>
      <c r="C582" s="13" t="s">
        <v>3341</v>
      </c>
      <c r="D582" s="14" t="s">
        <v>830</v>
      </c>
      <c r="E582" s="13" t="s">
        <v>3927</v>
      </c>
      <c r="F582" s="13" t="s">
        <v>3924</v>
      </c>
      <c r="G582" s="13"/>
      <c r="H582" s="14" t="s">
        <v>868</v>
      </c>
      <c r="I582" s="13" t="s">
        <v>3895</v>
      </c>
      <c r="J582" s="13" t="s">
        <v>902</v>
      </c>
      <c r="K582" s="13"/>
      <c r="L582" s="13"/>
      <c r="M582" s="13">
        <v>270</v>
      </c>
      <c r="N582" s="13"/>
      <c r="O582" s="15"/>
      <c r="P582" s="13">
        <v>37</v>
      </c>
      <c r="Q582" s="13">
        <v>65.900000000000006</v>
      </c>
      <c r="R582" s="13">
        <v>11.1</v>
      </c>
      <c r="S582" s="13"/>
      <c r="T582" s="13"/>
      <c r="U582" s="13"/>
      <c r="V582" s="13">
        <v>136</v>
      </c>
      <c r="W582" s="2">
        <f t="shared" si="52"/>
        <v>0.50370370370370365</v>
      </c>
      <c r="X582" s="13"/>
      <c r="Y582" s="13"/>
      <c r="Z582" s="13"/>
      <c r="AA582" s="13"/>
      <c r="AB582" s="13"/>
      <c r="AC582" s="13">
        <v>171</v>
      </c>
      <c r="AD582" s="13">
        <f t="shared" si="53"/>
        <v>0.6333333333333333</v>
      </c>
      <c r="AE582" s="13"/>
      <c r="AF582" s="13"/>
      <c r="AG582" s="13">
        <v>12.77</v>
      </c>
      <c r="AH582" s="13">
        <f t="shared" si="54"/>
        <v>7.4949999999999992</v>
      </c>
      <c r="AI582" s="13">
        <f t="shared" si="55"/>
        <v>18.045000000000002</v>
      </c>
      <c r="AJ582" s="13"/>
      <c r="AK582" s="13"/>
      <c r="AL582" s="13"/>
      <c r="AM582" s="13"/>
      <c r="AN582" s="13"/>
      <c r="AO582" s="13"/>
      <c r="AP582" s="13"/>
      <c r="AQ582" s="13"/>
      <c r="AR582" s="13"/>
      <c r="AS582" s="13"/>
      <c r="AT582" s="13"/>
      <c r="AU582" s="13" t="s">
        <v>3928</v>
      </c>
      <c r="AV582" s="13"/>
      <c r="AW582" s="13">
        <v>270</v>
      </c>
      <c r="AX582" s="13">
        <v>1.33</v>
      </c>
      <c r="AY582" s="13">
        <v>1.1399999999999999</v>
      </c>
      <c r="AZ582" s="13">
        <v>1.56</v>
      </c>
      <c r="BA582" s="16"/>
      <c r="BB582" s="13"/>
      <c r="BC582" s="13"/>
      <c r="BD582" s="13"/>
      <c r="BE582" s="16" t="s">
        <v>3911</v>
      </c>
      <c r="BF582" s="13">
        <v>270</v>
      </c>
      <c r="BG582" s="13">
        <v>1.1200000000000001</v>
      </c>
      <c r="BH582" s="13">
        <v>0.94</v>
      </c>
      <c r="BI582" s="13">
        <v>1.33</v>
      </c>
      <c r="BJ582" s="16"/>
      <c r="BK582" s="13"/>
      <c r="BL582" s="13"/>
      <c r="BM582" s="13"/>
      <c r="BN582" s="16"/>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t="s">
        <v>3929</v>
      </c>
      <c r="CW582" s="13" t="s">
        <v>3575</v>
      </c>
      <c r="CX582" s="13" t="s">
        <v>3576</v>
      </c>
      <c r="CY582" s="13">
        <v>2024</v>
      </c>
      <c r="CZ582" s="21">
        <v>46003</v>
      </c>
      <c r="DA582" s="13" t="s">
        <v>13</v>
      </c>
      <c r="DB582" s="13">
        <v>272</v>
      </c>
      <c r="DC582" s="13">
        <v>1</v>
      </c>
      <c r="DD582" s="13">
        <v>7</v>
      </c>
      <c r="DE582" s="13" t="s">
        <v>3268</v>
      </c>
    </row>
    <row r="583" spans="1:109" ht="20">
      <c r="A583" s="13" t="s">
        <v>3413</v>
      </c>
      <c r="B583" s="13"/>
      <c r="C583" s="13" t="s">
        <v>3341</v>
      </c>
      <c r="D583" s="14" t="s">
        <v>830</v>
      </c>
      <c r="E583" s="13" t="s">
        <v>3927</v>
      </c>
      <c r="F583" s="13" t="s">
        <v>3925</v>
      </c>
      <c r="G583" s="13"/>
      <c r="H583" s="14" t="s">
        <v>868</v>
      </c>
      <c r="I583" s="13" t="s">
        <v>3895</v>
      </c>
      <c r="J583" s="13" t="s">
        <v>902</v>
      </c>
      <c r="K583" s="13"/>
      <c r="L583" s="13"/>
      <c r="M583" s="13">
        <v>270</v>
      </c>
      <c r="N583" s="13"/>
      <c r="O583" s="15"/>
      <c r="P583" s="13">
        <v>37</v>
      </c>
      <c r="Q583" s="13">
        <v>65.900000000000006</v>
      </c>
      <c r="R583" s="13">
        <v>11.1</v>
      </c>
      <c r="S583" s="13"/>
      <c r="T583" s="13"/>
      <c r="U583" s="13"/>
      <c r="V583" s="13">
        <v>136</v>
      </c>
      <c r="W583" s="2">
        <f t="shared" si="52"/>
        <v>0.50370370370370365</v>
      </c>
      <c r="X583" s="13"/>
      <c r="Y583" s="13"/>
      <c r="Z583" s="13"/>
      <c r="AA583" s="13"/>
      <c r="AB583" s="13"/>
      <c r="AC583" s="13">
        <v>171</v>
      </c>
      <c r="AD583" s="13">
        <f t="shared" si="53"/>
        <v>0.6333333333333333</v>
      </c>
      <c r="AE583" s="13"/>
      <c r="AF583" s="13"/>
      <c r="AG583" s="13">
        <v>12.77</v>
      </c>
      <c r="AH583" s="13">
        <f t="shared" si="54"/>
        <v>7.4949999999999992</v>
      </c>
      <c r="AI583" s="13">
        <f t="shared" si="55"/>
        <v>18.045000000000002</v>
      </c>
      <c r="AJ583" s="13"/>
      <c r="AK583" s="13"/>
      <c r="AL583" s="13"/>
      <c r="AM583" s="13"/>
      <c r="AN583" s="13"/>
      <c r="AO583" s="13"/>
      <c r="AP583" s="13"/>
      <c r="AQ583" s="13"/>
      <c r="AR583" s="13"/>
      <c r="AS583" s="13"/>
      <c r="AT583" s="13"/>
      <c r="AU583" s="13" t="s">
        <v>3928</v>
      </c>
      <c r="AV583" s="13"/>
      <c r="AW583" s="13">
        <v>270</v>
      </c>
      <c r="AX583" s="13">
        <v>0.95</v>
      </c>
      <c r="AY583" s="13">
        <v>0.82</v>
      </c>
      <c r="AZ583" s="13">
        <v>1.1100000000000001</v>
      </c>
      <c r="BA583" s="16"/>
      <c r="BB583" s="13"/>
      <c r="BC583" s="13"/>
      <c r="BD583" s="13"/>
      <c r="BE583" s="16" t="s">
        <v>3911</v>
      </c>
      <c r="BF583" s="13">
        <v>270</v>
      </c>
      <c r="BG583" s="13">
        <v>0.97</v>
      </c>
      <c r="BH583" s="13">
        <v>0.83</v>
      </c>
      <c r="BI583" s="13">
        <v>1.1299999999999999</v>
      </c>
      <c r="BJ583" s="16"/>
      <c r="BK583" s="13"/>
      <c r="BL583" s="13"/>
      <c r="BM583" s="13"/>
      <c r="BN583" s="16"/>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t="s">
        <v>3929</v>
      </c>
      <c r="CW583" s="13" t="s">
        <v>3575</v>
      </c>
      <c r="CX583" s="13" t="s">
        <v>3576</v>
      </c>
      <c r="CY583" s="13">
        <v>2024</v>
      </c>
      <c r="CZ583" s="21">
        <v>46003</v>
      </c>
      <c r="DA583" s="13" t="s">
        <v>13</v>
      </c>
      <c r="DB583" s="13">
        <v>272</v>
      </c>
      <c r="DC583" s="13">
        <v>1</v>
      </c>
      <c r="DD583" s="13">
        <v>7</v>
      </c>
      <c r="DE583" s="13" t="s">
        <v>3268</v>
      </c>
    </row>
    <row r="584" spans="1:109" ht="20">
      <c r="A584" s="13" t="s">
        <v>3413</v>
      </c>
      <c r="B584" s="13"/>
      <c r="C584" s="13" t="s">
        <v>3341</v>
      </c>
      <c r="D584" s="14" t="s">
        <v>830</v>
      </c>
      <c r="E584" s="13" t="s">
        <v>3927</v>
      </c>
      <c r="F584" s="13" t="s">
        <v>3926</v>
      </c>
      <c r="G584" s="13"/>
      <c r="H584" s="14" t="s">
        <v>868</v>
      </c>
      <c r="I584" s="13" t="s">
        <v>3895</v>
      </c>
      <c r="J584" s="13" t="s">
        <v>902</v>
      </c>
      <c r="K584" s="13"/>
      <c r="L584" s="13"/>
      <c r="M584" s="13">
        <v>270</v>
      </c>
      <c r="N584" s="13"/>
      <c r="O584" s="15"/>
      <c r="P584" s="13">
        <v>37</v>
      </c>
      <c r="Q584" s="13">
        <v>65.900000000000006</v>
      </c>
      <c r="R584" s="13">
        <v>11.1</v>
      </c>
      <c r="S584" s="13"/>
      <c r="T584" s="13"/>
      <c r="U584" s="13"/>
      <c r="V584" s="13">
        <v>136</v>
      </c>
      <c r="W584" s="2">
        <f t="shared" si="52"/>
        <v>0.50370370370370365</v>
      </c>
      <c r="X584" s="13"/>
      <c r="Y584" s="13"/>
      <c r="Z584" s="13"/>
      <c r="AA584" s="13"/>
      <c r="AB584" s="13"/>
      <c r="AC584" s="13">
        <v>171</v>
      </c>
      <c r="AD584" s="13">
        <f t="shared" si="53"/>
        <v>0.6333333333333333</v>
      </c>
      <c r="AE584" s="13"/>
      <c r="AF584" s="13"/>
      <c r="AG584" s="13">
        <v>12.77</v>
      </c>
      <c r="AH584" s="13">
        <f t="shared" si="54"/>
        <v>7.4949999999999992</v>
      </c>
      <c r="AI584" s="13">
        <f t="shared" si="55"/>
        <v>18.045000000000002</v>
      </c>
      <c r="AJ584" s="13"/>
      <c r="AK584" s="13"/>
      <c r="AL584" s="13"/>
      <c r="AM584" s="13"/>
      <c r="AN584" s="13"/>
      <c r="AO584" s="13"/>
      <c r="AP584" s="13"/>
      <c r="AQ584" s="13"/>
      <c r="AR584" s="13"/>
      <c r="AS584" s="13"/>
      <c r="AT584" s="13"/>
      <c r="AU584" s="13" t="s">
        <v>3928</v>
      </c>
      <c r="AV584" s="13"/>
      <c r="AW584" s="13">
        <v>270</v>
      </c>
      <c r="AX584" s="13">
        <v>1.23</v>
      </c>
      <c r="AY584" s="13">
        <v>1.05</v>
      </c>
      <c r="AZ584" s="13">
        <v>1.45</v>
      </c>
      <c r="BA584" s="16"/>
      <c r="BB584" s="13"/>
      <c r="BC584" s="13"/>
      <c r="BD584" s="13"/>
      <c r="BE584" s="16" t="s">
        <v>3911</v>
      </c>
      <c r="BF584" s="13">
        <v>270</v>
      </c>
      <c r="BG584" s="13">
        <v>1.06</v>
      </c>
      <c r="BH584" s="13">
        <v>0.9</v>
      </c>
      <c r="BI584" s="13">
        <v>1.25</v>
      </c>
      <c r="BJ584" s="16"/>
      <c r="BK584" s="13"/>
      <c r="BL584" s="13"/>
      <c r="BM584" s="13"/>
      <c r="BN584" s="16"/>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t="s">
        <v>3929</v>
      </c>
      <c r="CW584" s="13" t="s">
        <v>3575</v>
      </c>
      <c r="CX584" s="13" t="s">
        <v>3576</v>
      </c>
      <c r="CY584" s="13">
        <v>2024</v>
      </c>
      <c r="CZ584" s="21">
        <v>46003</v>
      </c>
      <c r="DA584" s="13" t="s">
        <v>13</v>
      </c>
      <c r="DB584" s="13">
        <v>272</v>
      </c>
      <c r="DC584" s="13">
        <v>1</v>
      </c>
      <c r="DD584" s="13">
        <v>7</v>
      </c>
      <c r="DE584" s="13" t="s">
        <v>3268</v>
      </c>
    </row>
    <row r="585" spans="1:109" ht="20">
      <c r="A585" s="13" t="s">
        <v>3413</v>
      </c>
      <c r="B585" s="13"/>
      <c r="C585" s="13" t="s">
        <v>3341</v>
      </c>
      <c r="D585" s="14" t="s">
        <v>830</v>
      </c>
      <c r="E585" s="13" t="s">
        <v>672</v>
      </c>
      <c r="F585" s="13" t="s">
        <v>675</v>
      </c>
      <c r="G585" s="13"/>
      <c r="H585" s="14" t="s">
        <v>868</v>
      </c>
      <c r="I585" s="13" t="s">
        <v>3895</v>
      </c>
      <c r="J585" s="13" t="s">
        <v>902</v>
      </c>
      <c r="K585" s="13"/>
      <c r="L585" s="13"/>
      <c r="M585" s="13">
        <v>270</v>
      </c>
      <c r="N585" s="13"/>
      <c r="O585" s="15"/>
      <c r="P585" s="13">
        <v>37</v>
      </c>
      <c r="Q585" s="13">
        <v>65.900000000000006</v>
      </c>
      <c r="R585" s="13">
        <v>11.1</v>
      </c>
      <c r="S585" s="13"/>
      <c r="T585" s="13"/>
      <c r="U585" s="13"/>
      <c r="V585" s="13">
        <v>136</v>
      </c>
      <c r="W585" s="2">
        <f t="shared" si="52"/>
        <v>0.50370370370370365</v>
      </c>
      <c r="X585" s="13"/>
      <c r="Y585" s="13"/>
      <c r="Z585" s="13"/>
      <c r="AA585" s="13"/>
      <c r="AB585" s="13"/>
      <c r="AC585" s="13">
        <v>171</v>
      </c>
      <c r="AD585" s="13">
        <f t="shared" si="53"/>
        <v>0.6333333333333333</v>
      </c>
      <c r="AE585" s="13"/>
      <c r="AF585" s="13"/>
      <c r="AG585" s="13">
        <v>12.77</v>
      </c>
      <c r="AH585" s="13">
        <f t="shared" si="54"/>
        <v>7.4949999999999992</v>
      </c>
      <c r="AI585" s="13">
        <f t="shared" si="55"/>
        <v>18.045000000000002</v>
      </c>
      <c r="AJ585" s="13"/>
      <c r="AK585" s="13"/>
      <c r="AL585" s="13"/>
      <c r="AM585" s="13"/>
      <c r="AN585" s="13"/>
      <c r="AO585" s="13"/>
      <c r="AP585" s="13"/>
      <c r="AQ585" s="13"/>
      <c r="AR585" s="13"/>
      <c r="AS585" s="13"/>
      <c r="AT585" s="13"/>
      <c r="AU585" s="13" t="s">
        <v>3928</v>
      </c>
      <c r="AV585" s="13"/>
      <c r="AW585" s="13">
        <v>270</v>
      </c>
      <c r="AX585" s="13">
        <v>1.57</v>
      </c>
      <c r="AY585" s="13">
        <v>1.33</v>
      </c>
      <c r="AZ585" s="13">
        <v>1.85</v>
      </c>
      <c r="BA585" s="16"/>
      <c r="BB585" s="13"/>
      <c r="BC585" s="13"/>
      <c r="BD585" s="13"/>
      <c r="BE585" s="16" t="s">
        <v>3911</v>
      </c>
      <c r="BF585" s="13">
        <v>270</v>
      </c>
      <c r="BG585" s="13">
        <v>1.48</v>
      </c>
      <c r="BH585" s="13">
        <v>1.24</v>
      </c>
      <c r="BI585" s="13">
        <v>1.75</v>
      </c>
      <c r="BJ585" s="16"/>
      <c r="BK585" s="13"/>
      <c r="BL585" s="13"/>
      <c r="BM585" s="13"/>
      <c r="BN585" s="16"/>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t="s">
        <v>3929</v>
      </c>
      <c r="CW585" s="13" t="s">
        <v>3575</v>
      </c>
      <c r="CX585" s="13" t="s">
        <v>3576</v>
      </c>
      <c r="CY585" s="13">
        <v>2024</v>
      </c>
      <c r="CZ585" s="21">
        <v>46003</v>
      </c>
      <c r="DA585" s="13" t="s">
        <v>13</v>
      </c>
      <c r="DB585" s="13">
        <v>272</v>
      </c>
      <c r="DC585" s="13">
        <v>1</v>
      </c>
      <c r="DD585" s="13">
        <v>7</v>
      </c>
      <c r="DE585" s="13" t="s">
        <v>3268</v>
      </c>
    </row>
    <row r="586" spans="1:109">
      <c r="A586" s="14" t="s">
        <v>1892</v>
      </c>
      <c r="B586" s="14" t="s">
        <v>1726</v>
      </c>
      <c r="C586" s="14" t="s">
        <v>408</v>
      </c>
      <c r="D586" s="14" t="s">
        <v>818</v>
      </c>
      <c r="E586" s="14" t="s">
        <v>674</v>
      </c>
      <c r="F586" s="14" t="s">
        <v>675</v>
      </c>
      <c r="H586" s="14" t="s">
        <v>586</v>
      </c>
      <c r="I586" s="14" t="s">
        <v>3162</v>
      </c>
      <c r="J586" s="14" t="s">
        <v>652</v>
      </c>
      <c r="M586" s="14">
        <v>107</v>
      </c>
      <c r="P586" s="14">
        <v>26</v>
      </c>
      <c r="Q586" s="14">
        <v>61.9</v>
      </c>
      <c r="R586" s="14">
        <v>10.7</v>
      </c>
      <c r="V586" s="14">
        <v>58</v>
      </c>
      <c r="W586" s="14">
        <f t="shared" si="52"/>
        <v>0.54205607476635509</v>
      </c>
      <c r="X586" s="14">
        <v>37.4</v>
      </c>
      <c r="Y586" s="14">
        <v>6.8</v>
      </c>
      <c r="AD586" s="34">
        <v>0.61699999999999999</v>
      </c>
      <c r="AU586" s="14" t="s">
        <v>2799</v>
      </c>
      <c r="AV586" s="14" t="s">
        <v>2380</v>
      </c>
      <c r="BE586" s="14" t="s">
        <v>2801</v>
      </c>
      <c r="BJ586" s="14" t="s">
        <v>2674</v>
      </c>
      <c r="BK586" s="14">
        <v>1.921</v>
      </c>
      <c r="BL586" s="14">
        <v>0.98599999999999999</v>
      </c>
      <c r="BM586" s="14">
        <v>4.056</v>
      </c>
      <c r="BN586" s="14" t="s">
        <v>2552</v>
      </c>
      <c r="BO586" s="14" t="s">
        <v>2800</v>
      </c>
      <c r="BP586" s="14" t="s">
        <v>2800</v>
      </c>
      <c r="BQ586" s="14">
        <v>0.502</v>
      </c>
      <c r="BU586" s="14">
        <v>1E-4</v>
      </c>
      <c r="CC586" s="14">
        <v>-0.38200000000000001</v>
      </c>
      <c r="CG586" s="14">
        <v>4.4000000000000003E-3</v>
      </c>
      <c r="CJ586" s="14" t="s">
        <v>2802</v>
      </c>
      <c r="CK586" s="14">
        <v>0.46600000000000003</v>
      </c>
      <c r="CN586" s="14">
        <v>4.0000000000000002E-4</v>
      </c>
      <c r="CV586" s="14" t="s">
        <v>2803</v>
      </c>
      <c r="CW586" s="14" t="s">
        <v>404</v>
      </c>
      <c r="CX586" s="14" t="s">
        <v>405</v>
      </c>
      <c r="CY586" s="14">
        <v>2021</v>
      </c>
      <c r="CZ586" s="36" t="s">
        <v>357</v>
      </c>
      <c r="DA586" s="14" t="s">
        <v>26</v>
      </c>
      <c r="DB586" s="14">
        <v>8</v>
      </c>
      <c r="DC586" s="14">
        <v>9</v>
      </c>
      <c r="DD586" s="14" t="s">
        <v>406</v>
      </c>
      <c r="DE586" s="14" t="s">
        <v>407</v>
      </c>
    </row>
    <row r="587" spans="1:109">
      <c r="A587" s="14" t="s">
        <v>1892</v>
      </c>
      <c r="B587" s="14" t="s">
        <v>1726</v>
      </c>
      <c r="C587" s="14" t="s">
        <v>408</v>
      </c>
      <c r="D587" s="14" t="s">
        <v>818</v>
      </c>
      <c r="E587" s="14" t="s">
        <v>674</v>
      </c>
      <c r="F587" s="14" t="s">
        <v>807</v>
      </c>
      <c r="H587" s="14" t="s">
        <v>586</v>
      </c>
      <c r="I587" s="14" t="s">
        <v>3162</v>
      </c>
      <c r="J587" s="14" t="s">
        <v>652</v>
      </c>
      <c r="M587" s="14">
        <v>107</v>
      </c>
      <c r="P587" s="14">
        <v>26</v>
      </c>
      <c r="Q587" s="14">
        <v>61.9</v>
      </c>
      <c r="R587" s="14">
        <v>10.7</v>
      </c>
      <c r="V587" s="14">
        <v>58</v>
      </c>
      <c r="W587" s="14">
        <f t="shared" si="52"/>
        <v>0.54205607476635509</v>
      </c>
      <c r="X587" s="14">
        <v>37.4</v>
      </c>
      <c r="Y587" s="14">
        <v>6.8</v>
      </c>
      <c r="AD587" s="34">
        <v>0.61699999999999999</v>
      </c>
      <c r="AU587" s="14" t="s">
        <v>2799</v>
      </c>
      <c r="AV587" s="14" t="s">
        <v>2380</v>
      </c>
      <c r="BE587" s="14" t="s">
        <v>2801</v>
      </c>
      <c r="BJ587" s="14" t="s">
        <v>2674</v>
      </c>
      <c r="BK587" s="14">
        <v>1.728</v>
      </c>
      <c r="BL587" s="14">
        <v>1.026</v>
      </c>
      <c r="BM587" s="14">
        <v>2.9089999999999998</v>
      </c>
      <c r="BN587" s="14" t="s">
        <v>2552</v>
      </c>
      <c r="BO587" s="14" t="s">
        <v>2800</v>
      </c>
      <c r="BP587" s="14" t="s">
        <v>2800</v>
      </c>
      <c r="BQ587" s="14">
        <v>0.17899999999999999</v>
      </c>
      <c r="BU587" s="14">
        <v>1.1639999999999999</v>
      </c>
      <c r="CC587" s="14">
        <v>-0.312</v>
      </c>
      <c r="CG587" s="14">
        <v>1.35E-2</v>
      </c>
      <c r="CJ587" s="14" t="s">
        <v>2802</v>
      </c>
      <c r="CK587" s="14">
        <v>0.376</v>
      </c>
      <c r="CN587" s="14">
        <v>2.5999999999999999E-3</v>
      </c>
      <c r="CW587" s="14" t="s">
        <v>404</v>
      </c>
      <c r="CX587" s="14" t="s">
        <v>405</v>
      </c>
      <c r="CY587" s="14">
        <v>2021</v>
      </c>
      <c r="CZ587" s="36" t="s">
        <v>357</v>
      </c>
      <c r="DA587" s="14" t="s">
        <v>26</v>
      </c>
      <c r="DB587" s="14">
        <v>8</v>
      </c>
      <c r="DC587" s="14">
        <v>9</v>
      </c>
      <c r="DD587" s="14" t="s">
        <v>406</v>
      </c>
      <c r="DE587" s="14" t="s">
        <v>407</v>
      </c>
    </row>
    <row r="588" spans="1:109">
      <c r="A588" s="14" t="s">
        <v>1892</v>
      </c>
      <c r="B588" s="14" t="s">
        <v>1726</v>
      </c>
      <c r="C588" s="14" t="s">
        <v>408</v>
      </c>
      <c r="D588" s="14" t="s">
        <v>818</v>
      </c>
      <c r="E588" s="14" t="s">
        <v>674</v>
      </c>
      <c r="F588" s="14" t="s">
        <v>952</v>
      </c>
      <c r="H588" s="14" t="s">
        <v>586</v>
      </c>
      <c r="I588" s="14" t="s">
        <v>3162</v>
      </c>
      <c r="J588" s="14" t="s">
        <v>585</v>
      </c>
      <c r="M588" s="14">
        <v>107</v>
      </c>
      <c r="P588" s="14">
        <v>26</v>
      </c>
      <c r="Q588" s="14">
        <v>61.9</v>
      </c>
      <c r="R588" s="14">
        <v>10.7</v>
      </c>
      <c r="V588" s="14">
        <v>58</v>
      </c>
      <c r="W588" s="14">
        <f t="shared" si="52"/>
        <v>0.54205607476635509</v>
      </c>
      <c r="X588" s="14">
        <v>37.4</v>
      </c>
      <c r="Y588" s="14">
        <v>6.8</v>
      </c>
      <c r="AD588" s="34">
        <v>0.61699999999999999</v>
      </c>
      <c r="AU588" s="14" t="s">
        <v>2799</v>
      </c>
      <c r="AV588" s="14" t="s">
        <v>2380</v>
      </c>
      <c r="BE588" s="14" t="s">
        <v>2801</v>
      </c>
      <c r="BJ588" s="14"/>
      <c r="BN588" s="14" t="s">
        <v>2552</v>
      </c>
      <c r="BO588" s="14" t="s">
        <v>2800</v>
      </c>
      <c r="BP588" s="14" t="s">
        <v>2800</v>
      </c>
      <c r="BQ588" s="14">
        <v>0.18</v>
      </c>
      <c r="BU588" s="14">
        <v>0.34100000000000003</v>
      </c>
      <c r="CC588" s="14">
        <v>-7.6700000000000004E-2</v>
      </c>
      <c r="CG588" s="14">
        <v>0.499</v>
      </c>
      <c r="CJ588" s="14" t="s">
        <v>2802</v>
      </c>
      <c r="CK588" s="14">
        <v>0.155</v>
      </c>
      <c r="CN588" s="14">
        <v>0.17</v>
      </c>
      <c r="CW588" s="14" t="s">
        <v>404</v>
      </c>
      <c r="CX588" s="14" t="s">
        <v>405</v>
      </c>
      <c r="CY588" s="14">
        <v>2021</v>
      </c>
      <c r="CZ588" s="36" t="s">
        <v>357</v>
      </c>
      <c r="DA588" s="14" t="s">
        <v>26</v>
      </c>
      <c r="DB588" s="14">
        <v>8</v>
      </c>
      <c r="DC588" s="14">
        <v>9</v>
      </c>
      <c r="DD588" s="14" t="s">
        <v>406</v>
      </c>
      <c r="DE588" s="14" t="s">
        <v>407</v>
      </c>
    </row>
    <row r="589" spans="1:109">
      <c r="A589" s="14" t="s">
        <v>1892</v>
      </c>
      <c r="B589" s="14" t="s">
        <v>1726</v>
      </c>
      <c r="C589" s="14" t="s">
        <v>408</v>
      </c>
      <c r="D589" s="14" t="s">
        <v>818</v>
      </c>
      <c r="E589" s="14" t="s">
        <v>674</v>
      </c>
      <c r="F589" s="14" t="s">
        <v>953</v>
      </c>
      <c r="H589" s="14" t="s">
        <v>586</v>
      </c>
      <c r="I589" s="14" t="s">
        <v>3162</v>
      </c>
      <c r="J589" s="14" t="s">
        <v>585</v>
      </c>
      <c r="M589" s="14">
        <v>107</v>
      </c>
      <c r="P589" s="14">
        <v>26</v>
      </c>
      <c r="Q589" s="14">
        <v>61.9</v>
      </c>
      <c r="R589" s="14">
        <v>10.7</v>
      </c>
      <c r="V589" s="14">
        <v>58</v>
      </c>
      <c r="W589" s="14">
        <f t="shared" si="52"/>
        <v>0.54205607476635509</v>
      </c>
      <c r="X589" s="14">
        <v>37.4</v>
      </c>
      <c r="Y589" s="14">
        <v>6.8</v>
      </c>
      <c r="AD589" s="34">
        <v>0.61699999999999999</v>
      </c>
      <c r="AU589" s="14" t="s">
        <v>2799</v>
      </c>
      <c r="AV589" s="14" t="s">
        <v>2380</v>
      </c>
      <c r="BE589" s="14" t="s">
        <v>2801</v>
      </c>
      <c r="BJ589" s="14"/>
      <c r="BN589" s="14" t="s">
        <v>2552</v>
      </c>
      <c r="BO589" s="14" t="s">
        <v>2800</v>
      </c>
      <c r="BP589" s="14" t="s">
        <v>2800</v>
      </c>
      <c r="BQ589" s="14">
        <v>0.2051</v>
      </c>
      <c r="BU589" s="14">
        <v>6.2E-2</v>
      </c>
      <c r="CC589" s="14">
        <v>-0.2122</v>
      </c>
      <c r="CG589" s="14">
        <v>0.90200000000000002</v>
      </c>
      <c r="CJ589" s="14" t="s">
        <v>2802</v>
      </c>
      <c r="CK589" s="14">
        <v>-0.2571</v>
      </c>
      <c r="CN589" s="14">
        <v>2.1299999999999999E-2</v>
      </c>
      <c r="CW589" s="14" t="s">
        <v>404</v>
      </c>
      <c r="CX589" s="14" t="s">
        <v>405</v>
      </c>
      <c r="CY589" s="14">
        <v>2021</v>
      </c>
      <c r="CZ589" s="36" t="s">
        <v>357</v>
      </c>
      <c r="DA589" s="14" t="s">
        <v>26</v>
      </c>
      <c r="DB589" s="14">
        <v>8</v>
      </c>
      <c r="DC589" s="14">
        <v>9</v>
      </c>
      <c r="DD589" s="14" t="s">
        <v>406</v>
      </c>
      <c r="DE589" s="14" t="s">
        <v>407</v>
      </c>
    </row>
    <row r="590" spans="1:109" ht="20">
      <c r="A590" s="13" t="s">
        <v>3414</v>
      </c>
      <c r="B590" s="16"/>
      <c r="C590" s="13" t="s">
        <v>3342</v>
      </c>
      <c r="D590" s="14" t="s">
        <v>831</v>
      </c>
      <c r="E590" s="13" t="s">
        <v>674</v>
      </c>
      <c r="F590" s="13" t="s">
        <v>675</v>
      </c>
      <c r="G590" s="13"/>
      <c r="H590" s="14" t="s">
        <v>703</v>
      </c>
      <c r="I590" s="13" t="s">
        <v>3930</v>
      </c>
      <c r="J590" s="13" t="s">
        <v>652</v>
      </c>
      <c r="K590" s="13"/>
      <c r="L590" s="13"/>
      <c r="M590" s="13"/>
      <c r="N590" s="13"/>
      <c r="O590" s="15"/>
      <c r="P590" s="13"/>
      <c r="Q590" s="13"/>
      <c r="R590" s="13"/>
      <c r="S590" s="13"/>
      <c r="T590" s="13"/>
      <c r="U590" s="13"/>
      <c r="V590" s="13"/>
      <c r="W590" s="2"/>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6"/>
      <c r="BB590" s="13"/>
      <c r="BC590" s="13"/>
      <c r="BD590" s="13"/>
      <c r="BE590" s="16"/>
      <c r="BF590" s="13"/>
      <c r="BG590" s="13"/>
      <c r="BH590" s="13"/>
      <c r="BI590" s="13"/>
      <c r="BJ590" s="16"/>
      <c r="BK590" s="13"/>
      <c r="BL590" s="13"/>
      <c r="BM590" s="13"/>
      <c r="BN590" s="16"/>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t="s">
        <v>3577</v>
      </c>
      <c r="CX590" s="13" t="s">
        <v>3578</v>
      </c>
      <c r="CY590" s="13">
        <v>2024</v>
      </c>
      <c r="CZ590" s="13" t="s">
        <v>44</v>
      </c>
      <c r="DA590" s="13" t="s">
        <v>260</v>
      </c>
      <c r="DB590" s="13">
        <v>122</v>
      </c>
      <c r="DC590" s="13"/>
      <c r="DD590" s="13" t="s">
        <v>3579</v>
      </c>
      <c r="DE590" s="13" t="s">
        <v>3269</v>
      </c>
    </row>
    <row r="591" spans="1:109" ht="20">
      <c r="A591" s="13" t="s">
        <v>3414</v>
      </c>
      <c r="B591" s="16"/>
      <c r="C591" s="13" t="s">
        <v>3342</v>
      </c>
      <c r="D591" s="14" t="s">
        <v>831</v>
      </c>
      <c r="E591" s="13" t="s">
        <v>674</v>
      </c>
      <c r="F591" s="13" t="s">
        <v>767</v>
      </c>
      <c r="G591" s="13"/>
      <c r="H591" s="14" t="s">
        <v>703</v>
      </c>
      <c r="I591" s="13" t="s">
        <v>3930</v>
      </c>
      <c r="J591" s="13" t="s">
        <v>902</v>
      </c>
      <c r="K591" s="13"/>
      <c r="L591" s="13"/>
      <c r="M591" s="13"/>
      <c r="N591" s="13"/>
      <c r="O591" s="15"/>
      <c r="P591" s="13"/>
      <c r="Q591" s="13"/>
      <c r="R591" s="13"/>
      <c r="S591" s="13"/>
      <c r="T591" s="13"/>
      <c r="U591" s="13"/>
      <c r="V591" s="13"/>
      <c r="W591" s="2"/>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6"/>
      <c r="BB591" s="13"/>
      <c r="BC591" s="13"/>
      <c r="BD591" s="13"/>
      <c r="BE591" s="16"/>
      <c r="BF591" s="13"/>
      <c r="BG591" s="13"/>
      <c r="BH591" s="13"/>
      <c r="BI591" s="13"/>
      <c r="BJ591" s="16"/>
      <c r="BK591" s="13"/>
      <c r="BL591" s="13"/>
      <c r="BM591" s="13"/>
      <c r="BN591" s="16"/>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t="s">
        <v>3577</v>
      </c>
      <c r="CX591" s="13" t="s">
        <v>3578</v>
      </c>
      <c r="CY591" s="13">
        <v>2024</v>
      </c>
      <c r="CZ591" s="13" t="s">
        <v>44</v>
      </c>
      <c r="DA591" s="13" t="s">
        <v>260</v>
      </c>
      <c r="DB591" s="13">
        <v>122</v>
      </c>
      <c r="DC591" s="13"/>
      <c r="DD591" s="13" t="s">
        <v>3579</v>
      </c>
      <c r="DE591" s="13" t="s">
        <v>3269</v>
      </c>
    </row>
    <row r="592" spans="1:109" ht="20">
      <c r="A592" s="13" t="s">
        <v>3415</v>
      </c>
      <c r="B592" s="13"/>
      <c r="C592" s="13" t="s">
        <v>3343</v>
      </c>
      <c r="D592" s="14" t="s">
        <v>2039</v>
      </c>
      <c r="E592" s="13" t="s">
        <v>673</v>
      </c>
      <c r="F592" s="13" t="s">
        <v>675</v>
      </c>
      <c r="G592" s="13"/>
      <c r="H592" s="14" t="s">
        <v>712</v>
      </c>
      <c r="I592" s="13" t="s">
        <v>3931</v>
      </c>
      <c r="J592" s="13" t="s">
        <v>585</v>
      </c>
      <c r="K592" s="13"/>
      <c r="L592" s="13"/>
      <c r="M592" s="13">
        <v>43</v>
      </c>
      <c r="N592" s="13"/>
      <c r="O592" s="15"/>
      <c r="P592" s="13"/>
      <c r="Q592" s="13">
        <v>59.51</v>
      </c>
      <c r="R592" s="13">
        <v>11.1</v>
      </c>
      <c r="S592" s="13"/>
      <c r="T592" s="13"/>
      <c r="U592" s="13"/>
      <c r="V592" s="13">
        <v>26</v>
      </c>
      <c r="W592" s="2">
        <f t="shared" ref="W592:W604" si="56">V592/M592</f>
        <v>0.60465116279069764</v>
      </c>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6"/>
      <c r="BB592" s="13"/>
      <c r="BC592" s="13"/>
      <c r="BD592" s="13"/>
      <c r="BE592" s="16"/>
      <c r="BF592" s="13"/>
      <c r="BG592" s="13"/>
      <c r="BH592" s="13"/>
      <c r="BI592" s="13"/>
      <c r="BJ592" s="16"/>
      <c r="BK592" s="13"/>
      <c r="BL592" s="13"/>
      <c r="BM592" s="13"/>
      <c r="BN592" s="16"/>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t="s">
        <v>3580</v>
      </c>
      <c r="CX592" s="13" t="s">
        <v>3581</v>
      </c>
      <c r="CY592" s="13">
        <v>2024</v>
      </c>
      <c r="CZ592" s="21">
        <v>45976</v>
      </c>
      <c r="DA592" s="13" t="s">
        <v>61</v>
      </c>
      <c r="DB592" s="13">
        <v>14</v>
      </c>
      <c r="DC592" s="13">
        <v>1</v>
      </c>
      <c r="DD592" s="13">
        <v>28110</v>
      </c>
      <c r="DE592" s="13" t="s">
        <v>3270</v>
      </c>
    </row>
    <row r="593" spans="1:109" ht="20">
      <c r="A593" s="14" t="s">
        <v>1893</v>
      </c>
      <c r="C593" s="14" t="s">
        <v>1489</v>
      </c>
      <c r="D593" s="14" t="s">
        <v>2371</v>
      </c>
      <c r="E593" s="14" t="s">
        <v>2806</v>
      </c>
      <c r="F593" s="14" t="s">
        <v>858</v>
      </c>
      <c r="H593" s="14" t="s">
        <v>703</v>
      </c>
      <c r="I593" s="14" t="s">
        <v>3081</v>
      </c>
      <c r="J593" s="13" t="s">
        <v>2804</v>
      </c>
      <c r="K593" s="13" t="s">
        <v>2804</v>
      </c>
      <c r="M593" s="14">
        <v>30</v>
      </c>
      <c r="P593" s="14">
        <v>1</v>
      </c>
      <c r="Q593" s="14">
        <v>57.2</v>
      </c>
      <c r="R593" s="14">
        <v>10.199999999999999</v>
      </c>
      <c r="V593" s="14">
        <v>17</v>
      </c>
      <c r="W593" s="14">
        <f t="shared" si="56"/>
        <v>0.56666666666666665</v>
      </c>
      <c r="BE593" s="14"/>
      <c r="BF593" s="14"/>
      <c r="BJ593" s="14"/>
      <c r="CV593" s="14" t="s">
        <v>2805</v>
      </c>
      <c r="CW593" s="14" t="s">
        <v>1485</v>
      </c>
      <c r="CX593" s="14" t="s">
        <v>1486</v>
      </c>
      <c r="CY593" s="14">
        <v>2022</v>
      </c>
      <c r="CZ593" s="36">
        <v>45350</v>
      </c>
      <c r="DA593" s="14" t="s">
        <v>1487</v>
      </c>
      <c r="DB593" s="14">
        <v>19</v>
      </c>
      <c r="DC593" s="14">
        <v>1</v>
      </c>
      <c r="DD593" s="14" t="s">
        <v>2142</v>
      </c>
      <c r="DE593" s="14" t="s">
        <v>1488</v>
      </c>
    </row>
    <row r="594" spans="1:109" ht="20">
      <c r="A594" s="13" t="s">
        <v>3416</v>
      </c>
      <c r="B594" s="13"/>
      <c r="C594" s="13" t="s">
        <v>3344</v>
      </c>
      <c r="D594" s="14" t="s">
        <v>830</v>
      </c>
      <c r="E594" s="13" t="s">
        <v>674</v>
      </c>
      <c r="F594" s="13" t="s">
        <v>3933</v>
      </c>
      <c r="G594" s="13"/>
      <c r="H594" s="14" t="s">
        <v>703</v>
      </c>
      <c r="I594" s="13" t="s">
        <v>3934</v>
      </c>
      <c r="J594" s="13" t="s">
        <v>2362</v>
      </c>
      <c r="K594" s="13" t="s">
        <v>3935</v>
      </c>
      <c r="L594" s="13" t="s">
        <v>3936</v>
      </c>
      <c r="M594" s="13">
        <v>61</v>
      </c>
      <c r="N594" s="13"/>
      <c r="O594" s="15"/>
      <c r="P594" s="13">
        <v>12</v>
      </c>
      <c r="Q594" s="13">
        <v>62.88</v>
      </c>
      <c r="R594" s="13">
        <v>12.6</v>
      </c>
      <c r="S594" s="13"/>
      <c r="T594" s="13"/>
      <c r="U594" s="13"/>
      <c r="V594" s="13">
        <v>39</v>
      </c>
      <c r="W594" s="2">
        <f t="shared" si="56"/>
        <v>0.63934426229508201</v>
      </c>
      <c r="X594" s="13"/>
      <c r="Y594" s="13"/>
      <c r="Z594" s="13"/>
      <c r="AA594" s="13"/>
      <c r="AB594" s="13"/>
      <c r="AC594" s="13">
        <v>41</v>
      </c>
      <c r="AD594" s="13">
        <f t="shared" ref="AD594:AD601" si="57">AC594/M594</f>
        <v>0.67213114754098358</v>
      </c>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6"/>
      <c r="BB594" s="13"/>
      <c r="BC594" s="13"/>
      <c r="BD594" s="13"/>
      <c r="BE594" s="16"/>
      <c r="BF594" s="13"/>
      <c r="BG594" s="13"/>
      <c r="BH594" s="13"/>
      <c r="BI594" s="13"/>
      <c r="BJ594" s="16"/>
      <c r="BK594" s="13"/>
      <c r="BL594" s="13"/>
      <c r="BM594" s="13"/>
      <c r="BN594" s="16"/>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t="s">
        <v>3582</v>
      </c>
      <c r="CX594" s="13" t="s">
        <v>3583</v>
      </c>
      <c r="CY594" s="13">
        <v>2024</v>
      </c>
      <c r="CZ594" s="13"/>
      <c r="DA594" s="13" t="s">
        <v>3584</v>
      </c>
      <c r="DB594" s="13">
        <v>11</v>
      </c>
      <c r="DC594" s="13"/>
      <c r="DD594" s="13">
        <v>1507498</v>
      </c>
      <c r="DE594" s="13" t="s">
        <v>3271</v>
      </c>
    </row>
    <row r="595" spans="1:109" ht="20">
      <c r="A595" s="13" t="s">
        <v>1727</v>
      </c>
      <c r="B595" s="13" t="s">
        <v>1727</v>
      </c>
      <c r="C595" s="13" t="s">
        <v>413</v>
      </c>
      <c r="D595" s="13" t="s">
        <v>818</v>
      </c>
      <c r="E595" s="13" t="s">
        <v>702</v>
      </c>
      <c r="F595" s="13" t="s">
        <v>958</v>
      </c>
      <c r="H595" s="13" t="s">
        <v>745</v>
      </c>
      <c r="I595" s="13"/>
      <c r="J595" s="13" t="s">
        <v>1974</v>
      </c>
      <c r="K595" s="13" t="s">
        <v>956</v>
      </c>
      <c r="M595" s="13">
        <v>60</v>
      </c>
      <c r="N595" s="13"/>
      <c r="O595" s="15"/>
      <c r="P595" s="13"/>
      <c r="Q595" s="13"/>
      <c r="R595" s="13"/>
      <c r="S595" s="13">
        <v>67</v>
      </c>
      <c r="T595" s="13"/>
      <c r="U595" s="13"/>
      <c r="V595" s="14">
        <v>30</v>
      </c>
      <c r="W595" s="14">
        <f t="shared" si="56"/>
        <v>0.5</v>
      </c>
      <c r="Z595" s="14">
        <v>34</v>
      </c>
      <c r="AC595" s="14">
        <v>45</v>
      </c>
      <c r="AD595" s="34">
        <f t="shared" si="57"/>
        <v>0.75</v>
      </c>
      <c r="AG595" s="35">
        <v>18</v>
      </c>
      <c r="CW595" s="13" t="s">
        <v>409</v>
      </c>
      <c r="CX595" s="13" t="s">
        <v>410</v>
      </c>
      <c r="CY595" s="13">
        <v>2023</v>
      </c>
      <c r="CZ595" s="13" t="s">
        <v>2185</v>
      </c>
      <c r="DA595" s="13" t="s">
        <v>411</v>
      </c>
      <c r="DB595" s="13">
        <v>11</v>
      </c>
      <c r="DC595" s="13">
        <v>5</v>
      </c>
      <c r="DD595" s="13"/>
      <c r="DE595" s="13" t="s">
        <v>412</v>
      </c>
    </row>
    <row r="596" spans="1:109" ht="20">
      <c r="A596" s="13" t="s">
        <v>1727</v>
      </c>
      <c r="B596" s="13" t="s">
        <v>1727</v>
      </c>
      <c r="C596" s="13" t="s">
        <v>413</v>
      </c>
      <c r="D596" s="13" t="s">
        <v>818</v>
      </c>
      <c r="E596" s="13" t="s">
        <v>702</v>
      </c>
      <c r="F596" s="13" t="s">
        <v>955</v>
      </c>
      <c r="H596" s="13" t="s">
        <v>745</v>
      </c>
      <c r="I596" s="13"/>
      <c r="J596" s="13" t="s">
        <v>1974</v>
      </c>
      <c r="K596" s="13" t="s">
        <v>956</v>
      </c>
      <c r="M596" s="13">
        <v>60</v>
      </c>
      <c r="N596" s="13"/>
      <c r="O596" s="15"/>
      <c r="P596" s="13"/>
      <c r="Q596" s="13"/>
      <c r="R596" s="13"/>
      <c r="S596" s="13">
        <v>67</v>
      </c>
      <c r="T596" s="13"/>
      <c r="U596" s="13"/>
      <c r="V596" s="14">
        <v>30</v>
      </c>
      <c r="W596" s="14">
        <f t="shared" si="56"/>
        <v>0.5</v>
      </c>
      <c r="Z596" s="14">
        <v>34</v>
      </c>
      <c r="AC596" s="14">
        <v>45</v>
      </c>
      <c r="AD596" s="34">
        <f t="shared" si="57"/>
        <v>0.75</v>
      </c>
      <c r="AG596" s="35">
        <v>18</v>
      </c>
      <c r="CW596" s="13" t="s">
        <v>409</v>
      </c>
      <c r="CX596" s="13" t="s">
        <v>410</v>
      </c>
      <c r="CY596" s="13">
        <v>2023</v>
      </c>
      <c r="CZ596" s="13" t="s">
        <v>2185</v>
      </c>
      <c r="DA596" s="13" t="s">
        <v>411</v>
      </c>
      <c r="DB596" s="13">
        <v>11</v>
      </c>
      <c r="DC596" s="13">
        <v>5</v>
      </c>
      <c r="DD596" s="13"/>
      <c r="DE596" s="13" t="s">
        <v>412</v>
      </c>
    </row>
    <row r="597" spans="1:109">
      <c r="A597" s="14" t="s">
        <v>1894</v>
      </c>
      <c r="B597" s="14" t="s">
        <v>1728</v>
      </c>
      <c r="C597" s="14" t="s">
        <v>418</v>
      </c>
      <c r="D597" s="14" t="s">
        <v>827</v>
      </c>
      <c r="E597" s="14" t="s">
        <v>674</v>
      </c>
      <c r="F597" s="14" t="s">
        <v>858</v>
      </c>
      <c r="H597" s="14" t="s">
        <v>712</v>
      </c>
      <c r="I597" s="14" t="s">
        <v>4088</v>
      </c>
      <c r="J597" s="14" t="s">
        <v>585</v>
      </c>
      <c r="L597" s="14" t="s">
        <v>639</v>
      </c>
      <c r="M597" s="14">
        <v>69</v>
      </c>
      <c r="P597" s="14">
        <v>0</v>
      </c>
      <c r="Q597" s="14">
        <v>51.46</v>
      </c>
      <c r="V597" s="14">
        <v>46</v>
      </c>
      <c r="W597" s="14">
        <f t="shared" si="56"/>
        <v>0.66666666666666663</v>
      </c>
      <c r="X597" s="14">
        <v>37.909999999999997</v>
      </c>
      <c r="AC597" s="14">
        <v>59</v>
      </c>
      <c r="AD597" s="34">
        <f t="shared" si="57"/>
        <v>0.85507246376811596</v>
      </c>
      <c r="AE597" s="35">
        <v>19.59</v>
      </c>
      <c r="BE597" s="14"/>
      <c r="BF597" s="14"/>
      <c r="BJ597" s="14"/>
      <c r="BN597" s="14" t="s">
        <v>2231</v>
      </c>
      <c r="BO597" s="14" t="s">
        <v>2807</v>
      </c>
      <c r="BP597" s="14" t="s">
        <v>2807</v>
      </c>
      <c r="BQ597" s="14">
        <v>-1.4E-2</v>
      </c>
      <c r="BU597" s="14">
        <v>0.90800000000000003</v>
      </c>
      <c r="CC597" s="14">
        <v>-0.04</v>
      </c>
      <c r="CG597" s="14">
        <v>0.74299999999999999</v>
      </c>
      <c r="CW597" s="14" t="s">
        <v>414</v>
      </c>
      <c r="CX597" s="14" t="s">
        <v>415</v>
      </c>
      <c r="CY597" s="14">
        <v>2021</v>
      </c>
      <c r="DA597" s="14" t="s">
        <v>416</v>
      </c>
      <c r="DB597" s="14">
        <v>12</v>
      </c>
      <c r="DD597" s="14" t="s">
        <v>2163</v>
      </c>
      <c r="DE597" s="14" t="s">
        <v>417</v>
      </c>
    </row>
    <row r="598" spans="1:109">
      <c r="A598" s="14" t="s">
        <v>1894</v>
      </c>
      <c r="B598" s="14" t="s">
        <v>1728</v>
      </c>
      <c r="C598" s="14" t="s">
        <v>418</v>
      </c>
      <c r="D598" s="14" t="s">
        <v>827</v>
      </c>
      <c r="E598" s="14" t="s">
        <v>672</v>
      </c>
      <c r="F598" s="14" t="s">
        <v>858</v>
      </c>
      <c r="H598" s="14" t="s">
        <v>712</v>
      </c>
      <c r="I598" s="14" t="s">
        <v>2875</v>
      </c>
      <c r="J598" s="14" t="s">
        <v>585</v>
      </c>
      <c r="L598" s="14" t="s">
        <v>639</v>
      </c>
      <c r="M598" s="14">
        <v>69</v>
      </c>
      <c r="P598" s="14">
        <v>0</v>
      </c>
      <c r="Q598" s="14">
        <v>51.46</v>
      </c>
      <c r="V598" s="14">
        <v>46</v>
      </c>
      <c r="W598" s="14">
        <f t="shared" si="56"/>
        <v>0.66666666666666663</v>
      </c>
      <c r="X598" s="14">
        <v>37.909999999999997</v>
      </c>
      <c r="AC598" s="14">
        <v>59</v>
      </c>
      <c r="AD598" s="34">
        <f t="shared" si="57"/>
        <v>0.85507246376811596</v>
      </c>
      <c r="AE598" s="35">
        <v>19.59</v>
      </c>
      <c r="BE598" s="14"/>
      <c r="BF598" s="14"/>
      <c r="BJ598" s="14"/>
      <c r="BN598" s="14" t="s">
        <v>2231</v>
      </c>
      <c r="BO598" s="14" t="s">
        <v>2807</v>
      </c>
      <c r="BP598" s="14" t="s">
        <v>2807</v>
      </c>
      <c r="BQ598" s="14">
        <v>9.7000000000000003E-2</v>
      </c>
      <c r="BU598" s="14">
        <v>0.42799999999999999</v>
      </c>
      <c r="CC598" s="14">
        <v>0.12</v>
      </c>
      <c r="CG598" s="14">
        <v>0.32500000000000001</v>
      </c>
      <c r="CW598" s="14" t="s">
        <v>414</v>
      </c>
      <c r="CX598" s="14" t="s">
        <v>415</v>
      </c>
      <c r="CY598" s="14">
        <v>2021</v>
      </c>
      <c r="DA598" s="14" t="s">
        <v>416</v>
      </c>
      <c r="DB598" s="14">
        <v>12</v>
      </c>
      <c r="DD598" s="14" t="s">
        <v>2163</v>
      </c>
      <c r="DE598" s="14" t="s">
        <v>417</v>
      </c>
    </row>
    <row r="599" spans="1:109">
      <c r="A599" s="14" t="s">
        <v>1894</v>
      </c>
      <c r="B599" s="14" t="s">
        <v>1728</v>
      </c>
      <c r="C599" s="14" t="s">
        <v>418</v>
      </c>
      <c r="D599" s="14" t="s">
        <v>827</v>
      </c>
      <c r="E599" s="14" t="s">
        <v>674</v>
      </c>
      <c r="F599" s="14" t="s">
        <v>960</v>
      </c>
      <c r="H599" s="14" t="s">
        <v>712</v>
      </c>
      <c r="I599" s="14" t="s">
        <v>2875</v>
      </c>
      <c r="J599" s="14" t="s">
        <v>585</v>
      </c>
      <c r="L599" s="14" t="s">
        <v>639</v>
      </c>
      <c r="M599" s="14">
        <v>69</v>
      </c>
      <c r="P599" s="14">
        <v>0</v>
      </c>
      <c r="Q599" s="14">
        <v>51.46</v>
      </c>
      <c r="V599" s="14">
        <v>46</v>
      </c>
      <c r="W599" s="14">
        <f t="shared" si="56"/>
        <v>0.66666666666666663</v>
      </c>
      <c r="X599" s="14">
        <v>37.909999999999997</v>
      </c>
      <c r="AC599" s="14">
        <v>59</v>
      </c>
      <c r="AD599" s="34">
        <f t="shared" si="57"/>
        <v>0.85507246376811596</v>
      </c>
      <c r="AE599" s="35">
        <v>19.59</v>
      </c>
      <c r="BE599" s="14"/>
      <c r="BF599" s="14"/>
      <c r="BJ599" s="14"/>
      <c r="BN599" s="14" t="s">
        <v>2231</v>
      </c>
      <c r="BO599" s="14" t="s">
        <v>2807</v>
      </c>
      <c r="BP599" s="14" t="s">
        <v>2807</v>
      </c>
      <c r="BQ599" s="14">
        <v>0.03</v>
      </c>
      <c r="BU599" s="14">
        <v>0.80400000000000005</v>
      </c>
      <c r="CC599" s="14">
        <v>1.7000000000000001E-2</v>
      </c>
      <c r="CG599" s="14">
        <v>0.88700000000000001</v>
      </c>
      <c r="CW599" s="14" t="s">
        <v>414</v>
      </c>
      <c r="CX599" s="14" t="s">
        <v>415</v>
      </c>
      <c r="CY599" s="14">
        <v>2021</v>
      </c>
      <c r="DA599" s="14" t="s">
        <v>416</v>
      </c>
      <c r="DB599" s="14">
        <v>12</v>
      </c>
      <c r="DD599" s="14" t="s">
        <v>2163</v>
      </c>
      <c r="DE599" s="14" t="s">
        <v>417</v>
      </c>
    </row>
    <row r="600" spans="1:109">
      <c r="A600" s="14" t="s">
        <v>1894</v>
      </c>
      <c r="B600" s="14" t="s">
        <v>1728</v>
      </c>
      <c r="C600" s="14" t="s">
        <v>418</v>
      </c>
      <c r="D600" s="14" t="s">
        <v>827</v>
      </c>
      <c r="E600" s="14" t="s">
        <v>672</v>
      </c>
      <c r="F600" s="14" t="s">
        <v>960</v>
      </c>
      <c r="H600" s="14" t="s">
        <v>712</v>
      </c>
      <c r="I600" s="14" t="s">
        <v>2875</v>
      </c>
      <c r="J600" s="14" t="s">
        <v>585</v>
      </c>
      <c r="L600" s="14" t="s">
        <v>961</v>
      </c>
      <c r="M600" s="14">
        <v>69</v>
      </c>
      <c r="P600" s="14">
        <v>0</v>
      </c>
      <c r="Q600" s="14">
        <v>51.46</v>
      </c>
      <c r="V600" s="14">
        <v>46</v>
      </c>
      <c r="W600" s="14">
        <f t="shared" si="56"/>
        <v>0.66666666666666663</v>
      </c>
      <c r="X600" s="14">
        <v>37.909999999999997</v>
      </c>
      <c r="AC600" s="14">
        <v>59</v>
      </c>
      <c r="AD600" s="34">
        <f t="shared" si="57"/>
        <v>0.85507246376811596</v>
      </c>
      <c r="AE600" s="35">
        <v>19.59</v>
      </c>
      <c r="BE600" s="14"/>
      <c r="BF600" s="14"/>
      <c r="BJ600" s="14"/>
      <c r="BN600" s="14" t="s">
        <v>2231</v>
      </c>
      <c r="BO600" s="14" t="s">
        <v>2807</v>
      </c>
      <c r="BP600" s="14" t="s">
        <v>2807</v>
      </c>
      <c r="BQ600" s="14">
        <v>0.14399999999999999</v>
      </c>
      <c r="BU600" s="14">
        <v>0.23699999999999999</v>
      </c>
      <c r="CC600" s="14">
        <v>-0.245</v>
      </c>
      <c r="CG600" s="14">
        <v>4.2000000000000003E-2</v>
      </c>
      <c r="CW600" s="14" t="s">
        <v>414</v>
      </c>
      <c r="CX600" s="14" t="s">
        <v>415</v>
      </c>
      <c r="CY600" s="14">
        <v>2021</v>
      </c>
      <c r="DA600" s="14" t="s">
        <v>416</v>
      </c>
      <c r="DB600" s="14">
        <v>12</v>
      </c>
      <c r="DD600" s="14" t="s">
        <v>2163</v>
      </c>
      <c r="DE600" s="14" t="s">
        <v>417</v>
      </c>
    </row>
    <row r="601" spans="1:109">
      <c r="A601" s="14" t="s">
        <v>1895</v>
      </c>
      <c r="B601" s="14" t="s">
        <v>1729</v>
      </c>
      <c r="C601" s="14" t="s">
        <v>423</v>
      </c>
      <c r="D601" s="14" t="s">
        <v>831</v>
      </c>
      <c r="E601" s="14" t="s">
        <v>673</v>
      </c>
      <c r="F601" s="14" t="s">
        <v>962</v>
      </c>
      <c r="H601" s="14" t="s">
        <v>703</v>
      </c>
      <c r="I601" s="14" t="s">
        <v>3163</v>
      </c>
      <c r="J601" s="14" t="s">
        <v>585</v>
      </c>
      <c r="K601" s="14" t="s">
        <v>877</v>
      </c>
      <c r="L601" s="14" t="s">
        <v>639</v>
      </c>
      <c r="M601" s="14">
        <v>75</v>
      </c>
      <c r="O601" s="34">
        <v>0.1</v>
      </c>
      <c r="P601" s="14">
        <v>12</v>
      </c>
      <c r="Q601" s="14">
        <v>64.099999999999895</v>
      </c>
      <c r="R601" s="14">
        <v>10.1</v>
      </c>
      <c r="V601" s="14">
        <v>36</v>
      </c>
      <c r="W601" s="14">
        <f t="shared" si="56"/>
        <v>0.48</v>
      </c>
      <c r="AC601" s="14">
        <v>60</v>
      </c>
      <c r="AD601" s="34">
        <f t="shared" si="57"/>
        <v>0.8</v>
      </c>
      <c r="AE601" s="35">
        <v>13.1</v>
      </c>
      <c r="AF601" s="35">
        <v>8.9</v>
      </c>
      <c r="BE601" s="14"/>
      <c r="BF601" s="14"/>
      <c r="BJ601" s="14"/>
      <c r="BN601" s="14" t="s">
        <v>2231</v>
      </c>
      <c r="CC601" s="14" t="s">
        <v>2268</v>
      </c>
      <c r="CG601" s="14">
        <v>0.152</v>
      </c>
      <c r="CV601" s="14" t="s">
        <v>2808</v>
      </c>
      <c r="CW601" s="14" t="s">
        <v>419</v>
      </c>
      <c r="CX601" s="14" t="s">
        <v>420</v>
      </c>
      <c r="CY601" s="14">
        <v>2022</v>
      </c>
      <c r="CZ601" s="36">
        <v>45421</v>
      </c>
      <c r="DA601" s="14" t="s">
        <v>551</v>
      </c>
      <c r="DB601" s="14">
        <v>12</v>
      </c>
      <c r="DC601" s="14">
        <v>5</v>
      </c>
      <c r="DE601" s="14" t="s">
        <v>422</v>
      </c>
    </row>
    <row r="602" spans="1:109">
      <c r="A602" s="14" t="s">
        <v>1895</v>
      </c>
      <c r="B602" s="14" t="s">
        <v>1729</v>
      </c>
      <c r="C602" s="14" t="s">
        <v>423</v>
      </c>
      <c r="D602" s="14" t="s">
        <v>831</v>
      </c>
      <c r="E602" s="14" t="s">
        <v>672</v>
      </c>
      <c r="F602" s="14" t="s">
        <v>962</v>
      </c>
      <c r="H602" s="14" t="s">
        <v>703</v>
      </c>
      <c r="I602" s="14" t="s">
        <v>3163</v>
      </c>
      <c r="J602" s="14" t="s">
        <v>652</v>
      </c>
      <c r="L602" s="14" t="s">
        <v>639</v>
      </c>
      <c r="M602" s="14">
        <v>34</v>
      </c>
      <c r="V602" s="14">
        <v>17</v>
      </c>
      <c r="W602" s="14">
        <f t="shared" si="56"/>
        <v>0.5</v>
      </c>
      <c r="AE602" s="35">
        <v>13.1</v>
      </c>
      <c r="AF602" s="35">
        <v>8.9</v>
      </c>
      <c r="BE602" s="14"/>
      <c r="BF602" s="14"/>
      <c r="BJ602" s="14"/>
      <c r="BN602" s="14" t="s">
        <v>2231</v>
      </c>
      <c r="CC602" s="14" t="s">
        <v>2268</v>
      </c>
      <c r="CG602" s="14">
        <v>0.35699999999999998</v>
      </c>
      <c r="CV602" s="14" t="s">
        <v>2808</v>
      </c>
      <c r="CW602" s="14" t="s">
        <v>419</v>
      </c>
      <c r="CX602" s="14" t="s">
        <v>420</v>
      </c>
      <c r="CY602" s="14">
        <v>2022</v>
      </c>
      <c r="CZ602" s="36">
        <v>45421</v>
      </c>
      <c r="DA602" s="14" t="s">
        <v>551</v>
      </c>
      <c r="DB602" s="14">
        <v>12</v>
      </c>
      <c r="DC602" s="14">
        <v>5</v>
      </c>
      <c r="DE602" s="14" t="s">
        <v>422</v>
      </c>
    </row>
    <row r="603" spans="1:109">
      <c r="A603" s="14" t="s">
        <v>1895</v>
      </c>
      <c r="B603" s="14" t="s">
        <v>1729</v>
      </c>
      <c r="C603" s="14" t="s">
        <v>423</v>
      </c>
      <c r="D603" s="14" t="s">
        <v>831</v>
      </c>
      <c r="E603" s="14" t="s">
        <v>673</v>
      </c>
      <c r="F603" s="14" t="s">
        <v>968</v>
      </c>
      <c r="H603" s="14" t="s">
        <v>703</v>
      </c>
      <c r="I603" s="14" t="s">
        <v>3163</v>
      </c>
      <c r="J603" s="14" t="s">
        <v>585</v>
      </c>
      <c r="L603" s="14" t="s">
        <v>639</v>
      </c>
      <c r="M603" s="14">
        <v>75</v>
      </c>
      <c r="O603" s="34">
        <v>0.1</v>
      </c>
      <c r="P603" s="14">
        <v>12</v>
      </c>
      <c r="Q603" s="14">
        <v>64.099999999999895</v>
      </c>
      <c r="R603" s="14">
        <v>10.1</v>
      </c>
      <c r="V603" s="14">
        <v>36</v>
      </c>
      <c r="W603" s="14">
        <f t="shared" si="56"/>
        <v>0.48</v>
      </c>
      <c r="AC603" s="14">
        <v>60</v>
      </c>
      <c r="AD603" s="34">
        <f>AC603/M603</f>
        <v>0.8</v>
      </c>
      <c r="AE603" s="35">
        <v>13.1</v>
      </c>
      <c r="AF603" s="35">
        <v>8.9</v>
      </c>
      <c r="BE603" s="14"/>
      <c r="BF603" s="14"/>
      <c r="BJ603" s="14"/>
      <c r="BN603" s="14" t="s">
        <v>2231</v>
      </c>
      <c r="CC603" s="14" t="s">
        <v>2268</v>
      </c>
      <c r="CG603" s="14">
        <v>0.151</v>
      </c>
      <c r="CV603" s="14" t="s">
        <v>2808</v>
      </c>
      <c r="CW603" s="14" t="s">
        <v>419</v>
      </c>
      <c r="CX603" s="14" t="s">
        <v>420</v>
      </c>
      <c r="CY603" s="14">
        <v>2022</v>
      </c>
      <c r="CZ603" s="36">
        <v>45421</v>
      </c>
      <c r="DA603" s="14" t="s">
        <v>551</v>
      </c>
      <c r="DB603" s="14">
        <v>12</v>
      </c>
      <c r="DC603" s="14">
        <v>5</v>
      </c>
      <c r="DE603" s="14" t="s">
        <v>422</v>
      </c>
    </row>
    <row r="604" spans="1:109">
      <c r="A604" s="14" t="s">
        <v>1895</v>
      </c>
      <c r="B604" s="14" t="s">
        <v>1729</v>
      </c>
      <c r="C604" s="14" t="s">
        <v>423</v>
      </c>
      <c r="D604" s="14" t="s">
        <v>831</v>
      </c>
      <c r="E604" s="14" t="s">
        <v>673</v>
      </c>
      <c r="F604" s="14" t="s">
        <v>969</v>
      </c>
      <c r="H604" s="14" t="s">
        <v>703</v>
      </c>
      <c r="I604" s="14" t="s">
        <v>4093</v>
      </c>
      <c r="J604" s="14" t="s">
        <v>585</v>
      </c>
      <c r="L604" s="14" t="s">
        <v>639</v>
      </c>
      <c r="M604" s="14">
        <v>75</v>
      </c>
      <c r="O604" s="34">
        <v>0.1</v>
      </c>
      <c r="P604" s="14">
        <v>12</v>
      </c>
      <c r="Q604" s="14">
        <v>64.099999999999895</v>
      </c>
      <c r="R604" s="14">
        <v>10.1</v>
      </c>
      <c r="V604" s="14">
        <v>36</v>
      </c>
      <c r="W604" s="14">
        <f t="shared" si="56"/>
        <v>0.48</v>
      </c>
      <c r="AC604" s="14">
        <v>60</v>
      </c>
      <c r="AD604" s="34">
        <f>AC604/M604</f>
        <v>0.8</v>
      </c>
      <c r="AE604" s="35">
        <v>13.1</v>
      </c>
      <c r="AF604" s="35">
        <v>8.9</v>
      </c>
      <c r="BE604" s="14"/>
      <c r="BF604" s="14"/>
      <c r="BJ604" s="14"/>
      <c r="BN604" s="14" t="s">
        <v>2231</v>
      </c>
      <c r="CV604" s="14" t="s">
        <v>2808</v>
      </c>
      <c r="CW604" s="14" t="s">
        <v>419</v>
      </c>
      <c r="CX604" s="14" t="s">
        <v>420</v>
      </c>
      <c r="CY604" s="14">
        <v>2022</v>
      </c>
      <c r="CZ604" s="36">
        <v>45421</v>
      </c>
      <c r="DA604" s="14" t="s">
        <v>551</v>
      </c>
      <c r="DB604" s="14">
        <v>12</v>
      </c>
      <c r="DC604" s="14">
        <v>5</v>
      </c>
      <c r="DE604" s="14" t="s">
        <v>422</v>
      </c>
    </row>
    <row r="605" spans="1:109" ht="20">
      <c r="A605" s="13" t="s">
        <v>3417</v>
      </c>
      <c r="B605" s="13"/>
      <c r="C605" s="13" t="s">
        <v>3345</v>
      </c>
      <c r="D605" s="23" t="s">
        <v>4178</v>
      </c>
      <c r="E605" s="13"/>
      <c r="F605" s="13" t="s">
        <v>3885</v>
      </c>
      <c r="G605" s="13"/>
      <c r="I605" s="13"/>
      <c r="J605" s="13"/>
      <c r="K605" s="13"/>
      <c r="L605" s="13"/>
      <c r="M605" s="13"/>
      <c r="N605" s="13"/>
      <c r="O605" s="15"/>
      <c r="P605" s="13"/>
      <c r="Q605" s="13"/>
      <c r="R605" s="13"/>
      <c r="S605" s="13"/>
      <c r="T605" s="13"/>
      <c r="U605" s="13"/>
      <c r="V605" s="13"/>
      <c r="W605" s="2"/>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6"/>
      <c r="BB605" s="13"/>
      <c r="BC605" s="13"/>
      <c r="BD605" s="13"/>
      <c r="BE605" s="16"/>
      <c r="BF605" s="13"/>
      <c r="BG605" s="13"/>
      <c r="BH605" s="13"/>
      <c r="BI605" s="13"/>
      <c r="BJ605" s="16"/>
      <c r="BK605" s="13"/>
      <c r="BL605" s="13"/>
      <c r="BM605" s="13"/>
      <c r="BN605" s="16"/>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t="s">
        <v>3585</v>
      </c>
      <c r="CX605" s="13" t="s">
        <v>3586</v>
      </c>
      <c r="CY605" s="13">
        <v>2025</v>
      </c>
      <c r="CZ605" s="13"/>
      <c r="DA605" s="13" t="s">
        <v>349</v>
      </c>
      <c r="DB605" s="13">
        <v>32</v>
      </c>
      <c r="DC605" s="13">
        <v>1</v>
      </c>
      <c r="DD605" s="13"/>
      <c r="DE605" s="13" t="s">
        <v>3272</v>
      </c>
    </row>
    <row r="606" spans="1:109" ht="20">
      <c r="A606" s="13" t="s">
        <v>3418</v>
      </c>
      <c r="B606" s="13"/>
      <c r="C606" s="13" t="s">
        <v>3346</v>
      </c>
      <c r="D606" s="14" t="s">
        <v>820</v>
      </c>
      <c r="E606" s="13" t="s">
        <v>672</v>
      </c>
      <c r="F606" s="13" t="s">
        <v>648</v>
      </c>
      <c r="G606" s="13"/>
      <c r="H606" s="14" t="s">
        <v>647</v>
      </c>
      <c r="I606" s="14" t="s">
        <v>3940</v>
      </c>
      <c r="J606" s="13" t="s">
        <v>585</v>
      </c>
      <c r="K606" s="13" t="s">
        <v>3938</v>
      </c>
      <c r="L606" s="13" t="s">
        <v>639</v>
      </c>
      <c r="M606" s="13">
        <v>48</v>
      </c>
      <c r="N606" s="13"/>
      <c r="O606" s="15"/>
      <c r="P606" s="13">
        <v>0</v>
      </c>
      <c r="Q606" s="13">
        <v>65</v>
      </c>
      <c r="R606" s="13">
        <v>12.09</v>
      </c>
      <c r="S606" s="13"/>
      <c r="T606" s="13"/>
      <c r="U606" s="13"/>
      <c r="V606" s="13">
        <v>25</v>
      </c>
      <c r="W606" s="2">
        <f t="shared" ref="W606:W640" si="58">V606/M606</f>
        <v>0.52083333333333337</v>
      </c>
      <c r="X606" s="13"/>
      <c r="Y606" s="13"/>
      <c r="Z606" s="13"/>
      <c r="AA606" s="13"/>
      <c r="AB606" s="13"/>
      <c r="AC606" s="13">
        <v>31</v>
      </c>
      <c r="AD606" s="13">
        <f t="shared" ref="AD606:AD618" si="59">AC606/M606</f>
        <v>0.64583333333333337</v>
      </c>
      <c r="AE606" s="13">
        <v>10</v>
      </c>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6"/>
      <c r="BB606" s="13"/>
      <c r="BC606" s="13"/>
      <c r="BD606" s="13"/>
      <c r="BE606" s="16"/>
      <c r="BF606" s="13"/>
      <c r="BG606" s="13"/>
      <c r="BH606" s="13"/>
      <c r="BI606" s="13"/>
      <c r="BJ606" s="16"/>
      <c r="BK606" s="13"/>
      <c r="BL606" s="13"/>
      <c r="BM606" s="13"/>
      <c r="BN606" s="16" t="s">
        <v>2231</v>
      </c>
      <c r="BO606" s="13"/>
      <c r="BP606" s="13"/>
      <c r="BQ606" s="13"/>
      <c r="BR606" s="13"/>
      <c r="BS606" s="13"/>
      <c r="BT606" s="13"/>
      <c r="BU606" s="13"/>
      <c r="BV606" s="13"/>
      <c r="BW606" s="13"/>
      <c r="BX606" s="13"/>
      <c r="BY606" s="13"/>
      <c r="BZ606" s="13"/>
      <c r="CA606" s="13"/>
      <c r="CB606" s="13"/>
      <c r="CC606" s="13">
        <v>1.107E-2</v>
      </c>
      <c r="CD606" s="13"/>
      <c r="CE606" s="13"/>
      <c r="CF606" s="13"/>
      <c r="CG606" s="13">
        <v>0.9425</v>
      </c>
      <c r="CH606" s="13"/>
      <c r="CI606" s="13"/>
      <c r="CJ606" s="13"/>
      <c r="CK606" s="13"/>
      <c r="CL606" s="13"/>
      <c r="CM606" s="13"/>
      <c r="CN606" s="13"/>
      <c r="CO606" s="13"/>
      <c r="CP606" s="13"/>
      <c r="CQ606" s="13"/>
      <c r="CR606" s="13"/>
      <c r="CS606" s="13"/>
      <c r="CT606" s="13"/>
      <c r="CU606" s="13"/>
      <c r="CV606" s="13"/>
      <c r="CW606" s="13" t="s">
        <v>3587</v>
      </c>
      <c r="CX606" s="13" t="s">
        <v>3588</v>
      </c>
      <c r="CY606" s="13">
        <v>2024</v>
      </c>
      <c r="CZ606" s="13"/>
      <c r="DA606" s="13" t="s">
        <v>135</v>
      </c>
      <c r="DB606" s="13">
        <v>6</v>
      </c>
      <c r="DC606" s="13">
        <v>4</v>
      </c>
      <c r="DD606" s="13" t="s">
        <v>3589</v>
      </c>
      <c r="DE606" s="13" t="s">
        <v>3273</v>
      </c>
    </row>
    <row r="607" spans="1:109" ht="20">
      <c r="A607" s="13" t="s">
        <v>3418</v>
      </c>
      <c r="B607" s="13"/>
      <c r="C607" s="13" t="s">
        <v>3346</v>
      </c>
      <c r="D607" s="14" t="s">
        <v>820</v>
      </c>
      <c r="E607" s="13" t="s">
        <v>672</v>
      </c>
      <c r="F607" s="13" t="s">
        <v>675</v>
      </c>
      <c r="G607" s="13"/>
      <c r="H607" s="14" t="s">
        <v>647</v>
      </c>
      <c r="I607" s="14" t="s">
        <v>3940</v>
      </c>
      <c r="J607" s="13" t="s">
        <v>585</v>
      </c>
      <c r="K607" s="13" t="s">
        <v>3943</v>
      </c>
      <c r="L607" s="13" t="s">
        <v>639</v>
      </c>
      <c r="M607" s="13">
        <v>48</v>
      </c>
      <c r="N607" s="13"/>
      <c r="O607" s="15"/>
      <c r="P607" s="13">
        <v>0</v>
      </c>
      <c r="Q607" s="13">
        <v>65</v>
      </c>
      <c r="R607" s="13">
        <v>12.09</v>
      </c>
      <c r="S607" s="13"/>
      <c r="T607" s="13"/>
      <c r="U607" s="13"/>
      <c r="V607" s="13">
        <v>25</v>
      </c>
      <c r="W607" s="2">
        <f t="shared" si="58"/>
        <v>0.52083333333333337</v>
      </c>
      <c r="X607" s="13"/>
      <c r="Y607" s="13"/>
      <c r="Z607" s="13"/>
      <c r="AA607" s="13"/>
      <c r="AB607" s="13"/>
      <c r="AC607" s="13">
        <v>31</v>
      </c>
      <c r="AD607" s="13">
        <f t="shared" si="59"/>
        <v>0.64583333333333337</v>
      </c>
      <c r="AE607" s="13">
        <v>10</v>
      </c>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6"/>
      <c r="BB607" s="13"/>
      <c r="BC607" s="13"/>
      <c r="BD607" s="13"/>
      <c r="BE607" s="16"/>
      <c r="BF607" s="13"/>
      <c r="BG607" s="13"/>
      <c r="BH607" s="13"/>
      <c r="BI607" s="13"/>
      <c r="BJ607" s="16"/>
      <c r="BK607" s="13"/>
      <c r="BL607" s="13"/>
      <c r="BM607" s="13"/>
      <c r="BN607" s="16" t="s">
        <v>2231</v>
      </c>
      <c r="BO607" s="13"/>
      <c r="BP607" s="13"/>
      <c r="BQ607" s="13"/>
      <c r="BR607" s="13"/>
      <c r="BS607" s="13"/>
      <c r="BT607" s="13"/>
      <c r="BU607" s="13"/>
      <c r="BV607" s="13"/>
      <c r="BW607" s="13"/>
      <c r="BX607" s="13"/>
      <c r="BY607" s="13"/>
      <c r="BZ607" s="13"/>
      <c r="CA607" s="13"/>
      <c r="CB607" s="13"/>
      <c r="CC607" s="13">
        <v>-0.48730000000000001</v>
      </c>
      <c r="CD607" s="13"/>
      <c r="CE607" s="13"/>
      <c r="CF607" s="13"/>
      <c r="CG607" s="13">
        <v>8.9999999999999998E-4</v>
      </c>
      <c r="CH607" s="13"/>
      <c r="CI607" s="13"/>
      <c r="CJ607" s="13"/>
      <c r="CK607" s="13"/>
      <c r="CL607" s="13"/>
      <c r="CM607" s="13"/>
      <c r="CN607" s="13"/>
      <c r="CO607" s="13"/>
      <c r="CP607" s="13"/>
      <c r="CQ607" s="13"/>
      <c r="CR607" s="13"/>
      <c r="CS607" s="13"/>
      <c r="CT607" s="13"/>
      <c r="CU607" s="13"/>
      <c r="CV607" s="13"/>
      <c r="CW607" s="13" t="s">
        <v>3587</v>
      </c>
      <c r="CX607" s="13" t="s">
        <v>3588</v>
      </c>
      <c r="CY607" s="13">
        <v>2024</v>
      </c>
      <c r="CZ607" s="13"/>
      <c r="DA607" s="13" t="s">
        <v>135</v>
      </c>
      <c r="DB607" s="13">
        <v>6</v>
      </c>
      <c r="DC607" s="13">
        <v>4</v>
      </c>
      <c r="DD607" s="13" t="s">
        <v>3589</v>
      </c>
      <c r="DE607" s="13" t="s">
        <v>3273</v>
      </c>
    </row>
    <row r="608" spans="1:109" ht="20">
      <c r="A608" s="13" t="s">
        <v>3418</v>
      </c>
      <c r="B608" s="13"/>
      <c r="C608" s="13" t="s">
        <v>3346</v>
      </c>
      <c r="D608" s="14" t="s">
        <v>820</v>
      </c>
      <c r="E608" s="13" t="s">
        <v>674</v>
      </c>
      <c r="F608" s="13" t="s">
        <v>648</v>
      </c>
      <c r="G608" s="13"/>
      <c r="H608" s="14" t="s">
        <v>647</v>
      </c>
      <c r="I608" s="14" t="s">
        <v>3940</v>
      </c>
      <c r="J608" s="13" t="s">
        <v>585</v>
      </c>
      <c r="K608" s="13" t="s">
        <v>3938</v>
      </c>
      <c r="L608" s="13" t="s">
        <v>639</v>
      </c>
      <c r="M608" s="13">
        <v>41</v>
      </c>
      <c r="N608" s="13"/>
      <c r="O608" s="15"/>
      <c r="P608" s="13">
        <v>0</v>
      </c>
      <c r="Q608" s="13">
        <v>68.099999999999994</v>
      </c>
      <c r="R608" s="13">
        <v>10</v>
      </c>
      <c r="S608" s="13"/>
      <c r="T608" s="13"/>
      <c r="U608" s="13"/>
      <c r="V608" s="13">
        <v>15</v>
      </c>
      <c r="W608" s="2">
        <f t="shared" si="58"/>
        <v>0.36585365853658536</v>
      </c>
      <c r="X608" s="13"/>
      <c r="Y608" s="13"/>
      <c r="Z608" s="13"/>
      <c r="AA608" s="13"/>
      <c r="AB608" s="13"/>
      <c r="AC608" s="13">
        <v>20</v>
      </c>
      <c r="AD608" s="13">
        <f t="shared" si="59"/>
        <v>0.48780487804878048</v>
      </c>
      <c r="AE608" s="13">
        <v>10</v>
      </c>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6"/>
      <c r="BB608" s="13"/>
      <c r="BC608" s="13"/>
      <c r="BD608" s="13"/>
      <c r="BE608" s="16"/>
      <c r="BF608" s="13"/>
      <c r="BG608" s="13"/>
      <c r="BH608" s="13"/>
      <c r="BI608" s="13"/>
      <c r="BJ608" s="16"/>
      <c r="BK608" s="13"/>
      <c r="BL608" s="13"/>
      <c r="BM608" s="13"/>
      <c r="BN608" s="16" t="s">
        <v>2231</v>
      </c>
      <c r="BO608" s="13"/>
      <c r="BP608" s="13"/>
      <c r="BQ608" s="13"/>
      <c r="BR608" s="13"/>
      <c r="BS608" s="13"/>
      <c r="BT608" s="13"/>
      <c r="BU608" s="13"/>
      <c r="BV608" s="13"/>
      <c r="BW608" s="13"/>
      <c r="BX608" s="13"/>
      <c r="BY608" s="13"/>
      <c r="BZ608" s="13"/>
      <c r="CA608" s="13"/>
      <c r="CB608" s="13"/>
      <c r="CC608" s="13">
        <v>6.4000000000000001E-2</v>
      </c>
      <c r="CD608" s="13"/>
      <c r="CE608" s="13"/>
      <c r="CF608" s="13"/>
      <c r="CG608" s="13">
        <v>0.73170000000000002</v>
      </c>
      <c r="CH608" s="13"/>
      <c r="CI608" s="13"/>
      <c r="CJ608" s="13"/>
      <c r="CK608" s="13"/>
      <c r="CL608" s="13"/>
      <c r="CM608" s="13"/>
      <c r="CN608" s="13"/>
      <c r="CO608" s="13"/>
      <c r="CP608" s="13"/>
      <c r="CQ608" s="13"/>
      <c r="CR608" s="13"/>
      <c r="CS608" s="13"/>
      <c r="CT608" s="13"/>
      <c r="CU608" s="13"/>
      <c r="CV608" s="13"/>
      <c r="CW608" s="13" t="s">
        <v>3587</v>
      </c>
      <c r="CX608" s="13" t="s">
        <v>3588</v>
      </c>
      <c r="CY608" s="13">
        <v>2024</v>
      </c>
      <c r="CZ608" s="13"/>
      <c r="DA608" s="13" t="s">
        <v>135</v>
      </c>
      <c r="DB608" s="13">
        <v>6</v>
      </c>
      <c r="DC608" s="13">
        <v>4</v>
      </c>
      <c r="DD608" s="13" t="s">
        <v>3589</v>
      </c>
      <c r="DE608" s="13" t="s">
        <v>3273</v>
      </c>
    </row>
    <row r="609" spans="1:109" ht="20">
      <c r="A609" s="13" t="s">
        <v>3418</v>
      </c>
      <c r="B609" s="13"/>
      <c r="C609" s="13" t="s">
        <v>3346</v>
      </c>
      <c r="D609" s="14" t="s">
        <v>820</v>
      </c>
      <c r="E609" s="13" t="s">
        <v>674</v>
      </c>
      <c r="F609" s="13" t="s">
        <v>675</v>
      </c>
      <c r="G609" s="13"/>
      <c r="H609" s="14" t="s">
        <v>647</v>
      </c>
      <c r="I609" s="14" t="s">
        <v>3940</v>
      </c>
      <c r="J609" s="13" t="s">
        <v>652</v>
      </c>
      <c r="K609" s="13" t="s">
        <v>3945</v>
      </c>
      <c r="L609" s="13" t="s">
        <v>639</v>
      </c>
      <c r="M609" s="13">
        <v>41</v>
      </c>
      <c r="N609" s="13"/>
      <c r="O609" s="15"/>
      <c r="P609" s="13">
        <v>0</v>
      </c>
      <c r="Q609" s="13">
        <v>68.099999999999994</v>
      </c>
      <c r="R609" s="13">
        <v>10</v>
      </c>
      <c r="S609" s="13"/>
      <c r="T609" s="13"/>
      <c r="U609" s="13"/>
      <c r="V609" s="13">
        <v>15</v>
      </c>
      <c r="W609" s="2">
        <f t="shared" si="58"/>
        <v>0.36585365853658536</v>
      </c>
      <c r="X609" s="13"/>
      <c r="Y609" s="13"/>
      <c r="Z609" s="13"/>
      <c r="AA609" s="13"/>
      <c r="AB609" s="13"/>
      <c r="AC609" s="13">
        <v>20</v>
      </c>
      <c r="AD609" s="13">
        <f t="shared" si="59"/>
        <v>0.48780487804878048</v>
      </c>
      <c r="AE609" s="13">
        <v>10</v>
      </c>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6"/>
      <c r="BB609" s="13"/>
      <c r="BC609" s="13"/>
      <c r="BD609" s="13"/>
      <c r="BE609" s="16"/>
      <c r="BF609" s="13"/>
      <c r="BG609" s="13"/>
      <c r="BH609" s="13"/>
      <c r="BI609" s="13"/>
      <c r="BJ609" s="16"/>
      <c r="BK609" s="13"/>
      <c r="BL609" s="13"/>
      <c r="BM609" s="13"/>
      <c r="BN609" s="16" t="s">
        <v>2231</v>
      </c>
      <c r="BO609" s="13"/>
      <c r="BP609" s="13"/>
      <c r="BQ609" s="13"/>
      <c r="BR609" s="13"/>
      <c r="BS609" s="13"/>
      <c r="BT609" s="13"/>
      <c r="BU609" s="13"/>
      <c r="BV609" s="13"/>
      <c r="BW609" s="13"/>
      <c r="BX609" s="13"/>
      <c r="BY609" s="13"/>
      <c r="BZ609" s="13"/>
      <c r="CA609" s="13"/>
      <c r="CB609" s="13"/>
      <c r="CC609" s="13">
        <v>-0.72</v>
      </c>
      <c r="CD609" s="13"/>
      <c r="CE609" s="13"/>
      <c r="CF609" s="13"/>
      <c r="CG609" s="13" t="s">
        <v>635</v>
      </c>
      <c r="CH609" s="13"/>
      <c r="CI609" s="13"/>
      <c r="CJ609" s="13"/>
      <c r="CK609" s="13"/>
      <c r="CL609" s="13"/>
      <c r="CM609" s="13"/>
      <c r="CN609" s="13"/>
      <c r="CO609" s="13"/>
      <c r="CP609" s="13"/>
      <c r="CQ609" s="13"/>
      <c r="CR609" s="13"/>
      <c r="CS609" s="13"/>
      <c r="CT609" s="13"/>
      <c r="CU609" s="13"/>
      <c r="CV609" s="13"/>
      <c r="CW609" s="13" t="s">
        <v>3587</v>
      </c>
      <c r="CX609" s="13" t="s">
        <v>3588</v>
      </c>
      <c r="CY609" s="13">
        <v>2024</v>
      </c>
      <c r="CZ609" s="13"/>
      <c r="DA609" s="13" t="s">
        <v>135</v>
      </c>
      <c r="DB609" s="13">
        <v>6</v>
      </c>
      <c r="DC609" s="13">
        <v>4</v>
      </c>
      <c r="DD609" s="13" t="s">
        <v>3589</v>
      </c>
      <c r="DE609" s="13" t="s">
        <v>3273</v>
      </c>
    </row>
    <row r="610" spans="1:109">
      <c r="A610" s="14" t="s">
        <v>1896</v>
      </c>
      <c r="C610" s="14" t="s">
        <v>1494</v>
      </c>
      <c r="D610" s="14" t="s">
        <v>1015</v>
      </c>
      <c r="E610" s="14" t="s">
        <v>673</v>
      </c>
      <c r="F610" s="14" t="s">
        <v>2809</v>
      </c>
      <c r="H610" s="14" t="s">
        <v>2810</v>
      </c>
      <c r="I610" s="14" t="s">
        <v>2811</v>
      </c>
      <c r="J610" s="14" t="s">
        <v>585</v>
      </c>
      <c r="M610" s="14">
        <v>251</v>
      </c>
      <c r="Q610" s="14">
        <v>64.599999999999994</v>
      </c>
      <c r="R610" s="14">
        <v>10.7</v>
      </c>
      <c r="V610" s="14">
        <f>M610-107</f>
        <v>144</v>
      </c>
      <c r="W610" s="14">
        <f t="shared" si="58"/>
        <v>0.57370517928286857</v>
      </c>
      <c r="Z610" s="14">
        <v>40</v>
      </c>
      <c r="AA610" s="14">
        <v>35</v>
      </c>
      <c r="AB610" s="14">
        <v>44</v>
      </c>
      <c r="AC610" s="14">
        <f>M610-72</f>
        <v>179</v>
      </c>
      <c r="AD610" s="34">
        <f t="shared" si="59"/>
        <v>0.71314741035856577</v>
      </c>
      <c r="AG610" s="35">
        <v>10.9</v>
      </c>
      <c r="AH610" s="35">
        <v>6</v>
      </c>
      <c r="AI610" s="35">
        <v>16.399999999999999</v>
      </c>
      <c r="AU610" s="14" t="s">
        <v>2449</v>
      </c>
      <c r="AV610" s="14" t="s">
        <v>2380</v>
      </c>
      <c r="BE610" s="29" t="s">
        <v>2812</v>
      </c>
      <c r="BF610" s="29">
        <v>157</v>
      </c>
      <c r="BG610" s="14">
        <v>1.06</v>
      </c>
      <c r="BH610" s="14">
        <v>0.36</v>
      </c>
      <c r="BI610" s="14">
        <v>3.14</v>
      </c>
      <c r="BJ610" s="14"/>
      <c r="CW610" s="14" t="s">
        <v>1490</v>
      </c>
      <c r="CX610" s="14" t="s">
        <v>1491</v>
      </c>
      <c r="CY610" s="14">
        <v>2024</v>
      </c>
      <c r="CZ610" s="36" t="s">
        <v>1492</v>
      </c>
      <c r="DA610" s="14" t="s">
        <v>114</v>
      </c>
      <c r="DE610" s="14" t="s">
        <v>1493</v>
      </c>
    </row>
    <row r="611" spans="1:109">
      <c r="A611" s="14" t="s">
        <v>1896</v>
      </c>
      <c r="C611" s="14" t="s">
        <v>1494</v>
      </c>
      <c r="D611" s="14" t="s">
        <v>1015</v>
      </c>
      <c r="E611" s="14" t="s">
        <v>673</v>
      </c>
      <c r="F611" s="14" t="s">
        <v>2813</v>
      </c>
      <c r="H611" s="14" t="s">
        <v>2810</v>
      </c>
      <c r="I611" s="14" t="s">
        <v>2811</v>
      </c>
      <c r="J611" s="14" t="s">
        <v>585</v>
      </c>
      <c r="M611" s="14">
        <v>251</v>
      </c>
      <c r="Q611" s="14">
        <v>64.599999999999994</v>
      </c>
      <c r="R611" s="14">
        <v>10.7</v>
      </c>
      <c r="V611" s="14">
        <f>M611-107</f>
        <v>144</v>
      </c>
      <c r="W611" s="14">
        <f t="shared" si="58"/>
        <v>0.57370517928286857</v>
      </c>
      <c r="Z611" s="14">
        <v>40</v>
      </c>
      <c r="AA611" s="14">
        <v>35</v>
      </c>
      <c r="AB611" s="14">
        <v>44</v>
      </c>
      <c r="AC611" s="14">
        <f>M611-72</f>
        <v>179</v>
      </c>
      <c r="AD611" s="34">
        <f t="shared" si="59"/>
        <v>0.71314741035856577</v>
      </c>
      <c r="AG611" s="35">
        <v>10.9</v>
      </c>
      <c r="AH611" s="35">
        <v>6</v>
      </c>
      <c r="AI611" s="35">
        <v>16.399999999999999</v>
      </c>
      <c r="AU611" s="14" t="s">
        <v>2449</v>
      </c>
      <c r="AV611" s="14" t="s">
        <v>2380</v>
      </c>
      <c r="BE611" s="29" t="s">
        <v>2812</v>
      </c>
      <c r="BF611" s="29">
        <v>85</v>
      </c>
      <c r="BG611" s="14">
        <v>1.17</v>
      </c>
      <c r="BH611" s="14">
        <v>0.67</v>
      </c>
      <c r="BI611" s="14">
        <v>2.02</v>
      </c>
      <c r="BJ611" s="14"/>
      <c r="CW611" s="14" t="s">
        <v>1490</v>
      </c>
      <c r="CX611" s="14" t="s">
        <v>1491</v>
      </c>
      <c r="CY611" s="14">
        <v>2024</v>
      </c>
      <c r="CZ611" s="36" t="s">
        <v>1492</v>
      </c>
      <c r="DA611" s="14" t="s">
        <v>114</v>
      </c>
      <c r="DE611" s="14" t="s">
        <v>1493</v>
      </c>
    </row>
    <row r="612" spans="1:109">
      <c r="A612" s="14" t="s">
        <v>1896</v>
      </c>
      <c r="C612" s="14" t="s">
        <v>1494</v>
      </c>
      <c r="D612" s="14" t="s">
        <v>1015</v>
      </c>
      <c r="E612" s="14" t="s">
        <v>673</v>
      </c>
      <c r="F612" s="14" t="s">
        <v>2814</v>
      </c>
      <c r="H612" s="14" t="s">
        <v>2810</v>
      </c>
      <c r="I612" s="14" t="s">
        <v>2811</v>
      </c>
      <c r="J612" s="14" t="s">
        <v>585</v>
      </c>
      <c r="M612" s="14">
        <v>251</v>
      </c>
      <c r="Q612" s="14">
        <v>64.599999999999994</v>
      </c>
      <c r="R612" s="14">
        <v>10.7</v>
      </c>
      <c r="V612" s="14">
        <f>M612-107</f>
        <v>144</v>
      </c>
      <c r="W612" s="14">
        <f t="shared" si="58"/>
        <v>0.57370517928286857</v>
      </c>
      <c r="Z612" s="14">
        <v>40</v>
      </c>
      <c r="AA612" s="14">
        <v>35</v>
      </c>
      <c r="AB612" s="14">
        <v>44</v>
      </c>
      <c r="AC612" s="14">
        <f>M612-72</f>
        <v>179</v>
      </c>
      <c r="AD612" s="34">
        <f t="shared" si="59"/>
        <v>0.71314741035856577</v>
      </c>
      <c r="AG612" s="35">
        <v>10.9</v>
      </c>
      <c r="AH612" s="35">
        <v>6</v>
      </c>
      <c r="AI612" s="35">
        <v>16.399999999999999</v>
      </c>
      <c r="AU612" s="14" t="s">
        <v>2449</v>
      </c>
      <c r="AV612" s="14" t="s">
        <v>2380</v>
      </c>
      <c r="BE612" s="29" t="s">
        <v>2812</v>
      </c>
      <c r="BF612" s="29">
        <v>144</v>
      </c>
      <c r="BG612" s="14">
        <v>0.83</v>
      </c>
      <c r="BH612" s="14">
        <v>0.56999999999999995</v>
      </c>
      <c r="BI612" s="14">
        <v>1.21</v>
      </c>
      <c r="BJ612" s="14"/>
      <c r="CW612" s="14" t="s">
        <v>1490</v>
      </c>
      <c r="CX612" s="14" t="s">
        <v>1491</v>
      </c>
      <c r="CY612" s="14">
        <v>2024</v>
      </c>
      <c r="CZ612" s="36" t="s">
        <v>1492</v>
      </c>
      <c r="DA612" s="14" t="s">
        <v>114</v>
      </c>
      <c r="DE612" s="14" t="s">
        <v>1493</v>
      </c>
    </row>
    <row r="613" spans="1:109">
      <c r="A613" s="14" t="s">
        <v>1897</v>
      </c>
      <c r="C613" s="14" t="s">
        <v>1498</v>
      </c>
      <c r="D613" s="14" t="s">
        <v>2772</v>
      </c>
      <c r="E613" s="14" t="s">
        <v>672</v>
      </c>
      <c r="F613" s="14" t="s">
        <v>758</v>
      </c>
      <c r="H613" s="14" t="s">
        <v>868</v>
      </c>
      <c r="I613" s="14" t="s">
        <v>3164</v>
      </c>
      <c r="J613" s="14" t="s">
        <v>585</v>
      </c>
      <c r="K613" s="14" t="s">
        <v>585</v>
      </c>
      <c r="L613" s="14" t="s">
        <v>2815</v>
      </c>
      <c r="M613" s="14">
        <v>59</v>
      </c>
      <c r="N613" s="14">
        <v>3</v>
      </c>
      <c r="P613" s="14">
        <v>2</v>
      </c>
      <c r="Q613" s="14">
        <v>66</v>
      </c>
      <c r="R613" s="14">
        <v>11.5</v>
      </c>
      <c r="V613" s="14">
        <v>39</v>
      </c>
      <c r="W613" s="14">
        <f t="shared" si="58"/>
        <v>0.66101694915254239</v>
      </c>
      <c r="Z613" s="14">
        <v>42</v>
      </c>
      <c r="AA613" s="14">
        <v>39</v>
      </c>
      <c r="AB613" s="14">
        <v>45</v>
      </c>
      <c r="AC613" s="14">
        <v>32</v>
      </c>
      <c r="AD613" s="34">
        <f t="shared" si="59"/>
        <v>0.5423728813559322</v>
      </c>
      <c r="AG613" s="35">
        <v>12.6</v>
      </c>
      <c r="AH613" s="35">
        <v>7.62</v>
      </c>
      <c r="AI613" s="35">
        <v>27.5</v>
      </c>
      <c r="AU613" s="14" t="s">
        <v>2447</v>
      </c>
      <c r="AV613" s="14" t="s">
        <v>3197</v>
      </c>
      <c r="BE613" s="14" t="s">
        <v>2817</v>
      </c>
      <c r="BJ613" s="14" t="s">
        <v>4107</v>
      </c>
      <c r="BK613" s="14">
        <v>0.49</v>
      </c>
      <c r="BL613" s="14">
        <v>0.19</v>
      </c>
      <c r="BM613" s="14">
        <v>1.31</v>
      </c>
      <c r="BN613" s="14" t="s">
        <v>2231</v>
      </c>
      <c r="CC613" s="14">
        <v>-0.06</v>
      </c>
      <c r="CG613" s="14">
        <v>0.66</v>
      </c>
      <c r="CH613" s="14">
        <v>-0.19</v>
      </c>
      <c r="CI613" s="14">
        <v>0.22</v>
      </c>
      <c r="CJ613" s="14" t="s">
        <v>2820</v>
      </c>
      <c r="CK613" s="14">
        <v>0.1</v>
      </c>
      <c r="CN613" s="14">
        <v>0.46</v>
      </c>
      <c r="CW613" s="14" t="s">
        <v>1495</v>
      </c>
      <c r="CX613" s="14" t="s">
        <v>1496</v>
      </c>
      <c r="CY613" s="14">
        <v>2024</v>
      </c>
      <c r="CZ613" s="36" t="s">
        <v>119</v>
      </c>
      <c r="DA613" s="14" t="s">
        <v>154</v>
      </c>
      <c r="DB613" s="14">
        <v>463</v>
      </c>
      <c r="DE613" s="14" t="s">
        <v>1497</v>
      </c>
    </row>
    <row r="614" spans="1:109">
      <c r="A614" s="14" t="s">
        <v>1897</v>
      </c>
      <c r="C614" s="14" t="s">
        <v>1498</v>
      </c>
      <c r="D614" s="14" t="s">
        <v>2772</v>
      </c>
      <c r="E614" s="14" t="s">
        <v>672</v>
      </c>
      <c r="F614" s="14" t="s">
        <v>675</v>
      </c>
      <c r="H614" s="14" t="s">
        <v>868</v>
      </c>
      <c r="I614" s="14" t="s">
        <v>3164</v>
      </c>
      <c r="J614" s="14" t="s">
        <v>585</v>
      </c>
      <c r="K614" s="14" t="s">
        <v>585</v>
      </c>
      <c r="L614" s="14" t="s">
        <v>2815</v>
      </c>
      <c r="M614" s="14">
        <v>59</v>
      </c>
      <c r="N614" s="14">
        <v>3</v>
      </c>
      <c r="P614" s="14">
        <v>2</v>
      </c>
      <c r="Q614" s="14">
        <v>66</v>
      </c>
      <c r="R614" s="14">
        <v>11.5</v>
      </c>
      <c r="V614" s="14">
        <v>39</v>
      </c>
      <c r="W614" s="14">
        <f t="shared" si="58"/>
        <v>0.66101694915254239</v>
      </c>
      <c r="Z614" s="14">
        <v>42</v>
      </c>
      <c r="AA614" s="14">
        <v>39</v>
      </c>
      <c r="AB614" s="14">
        <v>45</v>
      </c>
      <c r="AC614" s="14">
        <v>32</v>
      </c>
      <c r="AD614" s="34">
        <f t="shared" si="59"/>
        <v>0.5423728813559322</v>
      </c>
      <c r="AG614" s="35">
        <v>12.6</v>
      </c>
      <c r="AH614" s="35">
        <v>7.62</v>
      </c>
      <c r="AI614" s="35">
        <v>27.5</v>
      </c>
      <c r="AU614" s="14" t="s">
        <v>2447</v>
      </c>
      <c r="AV614" s="14" t="s">
        <v>3197</v>
      </c>
      <c r="BE614" s="14" t="s">
        <v>2817</v>
      </c>
      <c r="BJ614" s="14" t="s">
        <v>4107</v>
      </c>
      <c r="BK614" s="14">
        <v>5.35</v>
      </c>
      <c r="BL614" s="14">
        <v>2.4500000000000002</v>
      </c>
      <c r="BM614" s="14">
        <v>11.66</v>
      </c>
      <c r="BN614" s="14" t="s">
        <v>2231</v>
      </c>
      <c r="CC614" s="14">
        <v>-0.17</v>
      </c>
      <c r="CG614" s="14">
        <v>0.2</v>
      </c>
      <c r="CH614" s="14">
        <v>-0.55000000000000004</v>
      </c>
      <c r="CI614" s="14" t="s">
        <v>635</v>
      </c>
      <c r="CJ614" s="14" t="s">
        <v>2820</v>
      </c>
      <c r="CK614" s="14">
        <v>0.59</v>
      </c>
      <c r="CN614" s="14" t="s">
        <v>635</v>
      </c>
      <c r="CW614" s="14" t="s">
        <v>1495</v>
      </c>
      <c r="CX614" s="14" t="s">
        <v>1496</v>
      </c>
      <c r="CY614" s="14">
        <v>2024</v>
      </c>
      <c r="CZ614" s="36" t="s">
        <v>119</v>
      </c>
      <c r="DA614" s="14" t="s">
        <v>154</v>
      </c>
      <c r="DB614" s="14">
        <v>463</v>
      </c>
      <c r="DE614" s="14" t="s">
        <v>1497</v>
      </c>
    </row>
    <row r="615" spans="1:109">
      <c r="A615" s="14" t="s">
        <v>1897</v>
      </c>
      <c r="C615" s="14" t="s">
        <v>1498</v>
      </c>
      <c r="D615" s="14" t="s">
        <v>2772</v>
      </c>
      <c r="E615" s="14" t="s">
        <v>672</v>
      </c>
      <c r="F615" s="14" t="s">
        <v>679</v>
      </c>
      <c r="H615" s="14" t="s">
        <v>868</v>
      </c>
      <c r="I615" s="14" t="s">
        <v>3164</v>
      </c>
      <c r="J615" s="14" t="s">
        <v>585</v>
      </c>
      <c r="K615" s="14" t="s">
        <v>2823</v>
      </c>
      <c r="L615" s="14" t="s">
        <v>2822</v>
      </c>
      <c r="M615" s="14">
        <v>59</v>
      </c>
      <c r="N615" s="14">
        <v>3</v>
      </c>
      <c r="P615" s="14">
        <v>2</v>
      </c>
      <c r="Q615" s="14">
        <v>66</v>
      </c>
      <c r="R615" s="14">
        <v>11.5</v>
      </c>
      <c r="V615" s="14">
        <v>39</v>
      </c>
      <c r="W615" s="14">
        <f t="shared" si="58"/>
        <v>0.66101694915254239</v>
      </c>
      <c r="Z615" s="14">
        <v>42</v>
      </c>
      <c r="AA615" s="14">
        <v>39</v>
      </c>
      <c r="AB615" s="14">
        <v>45</v>
      </c>
      <c r="AC615" s="14">
        <v>32</v>
      </c>
      <c r="AD615" s="34">
        <f t="shared" si="59"/>
        <v>0.5423728813559322</v>
      </c>
      <c r="AG615" s="35">
        <v>12.6</v>
      </c>
      <c r="AH615" s="35">
        <v>7.62</v>
      </c>
      <c r="AI615" s="35">
        <v>27.5</v>
      </c>
      <c r="AU615" s="14" t="s">
        <v>2447</v>
      </c>
      <c r="AV615" s="14" t="s">
        <v>3197</v>
      </c>
      <c r="BE615" s="14" t="s">
        <v>2817</v>
      </c>
      <c r="BJ615" s="14" t="s">
        <v>4107</v>
      </c>
      <c r="BK615" s="14">
        <v>1.94</v>
      </c>
      <c r="BL615" s="14">
        <v>0.88</v>
      </c>
      <c r="BM615" s="14">
        <v>4.2699999999999996</v>
      </c>
      <c r="BN615" s="14" t="s">
        <v>2231</v>
      </c>
      <c r="CC615" s="14">
        <v>-0.02</v>
      </c>
      <c r="CG615" s="14">
        <v>0.88</v>
      </c>
      <c r="CH615" s="14">
        <v>-0.18</v>
      </c>
      <c r="CI615" s="14">
        <v>0.23</v>
      </c>
      <c r="CJ615" s="14" t="s">
        <v>2820</v>
      </c>
      <c r="CK615" s="14">
        <v>0.3</v>
      </c>
      <c r="CN615" s="14" t="s">
        <v>769</v>
      </c>
      <c r="CW615" s="14" t="s">
        <v>1495</v>
      </c>
      <c r="CX615" s="14" t="s">
        <v>1496</v>
      </c>
      <c r="CY615" s="14">
        <v>2024</v>
      </c>
      <c r="CZ615" s="36" t="s">
        <v>119</v>
      </c>
      <c r="DA615" s="14" t="s">
        <v>154</v>
      </c>
      <c r="DB615" s="14">
        <v>463</v>
      </c>
      <c r="DE615" s="14" t="s">
        <v>1497</v>
      </c>
    </row>
    <row r="616" spans="1:109">
      <c r="A616" s="14" t="s">
        <v>1897</v>
      </c>
      <c r="C616" s="14" t="s">
        <v>1498</v>
      </c>
      <c r="D616" s="14" t="s">
        <v>2772</v>
      </c>
      <c r="E616" s="14" t="s">
        <v>672</v>
      </c>
      <c r="F616" s="14" t="s">
        <v>844</v>
      </c>
      <c r="H616" s="14" t="s">
        <v>868</v>
      </c>
      <c r="I616" s="14" t="s">
        <v>3164</v>
      </c>
      <c r="J616" s="14" t="s">
        <v>585</v>
      </c>
      <c r="K616" s="14" t="s">
        <v>2825</v>
      </c>
      <c r="L616" s="14" t="s">
        <v>2824</v>
      </c>
      <c r="M616" s="14">
        <v>59</v>
      </c>
      <c r="N616" s="14">
        <v>3</v>
      </c>
      <c r="P616" s="14">
        <v>2</v>
      </c>
      <c r="Q616" s="14">
        <v>66</v>
      </c>
      <c r="R616" s="14">
        <v>11.5</v>
      </c>
      <c r="V616" s="14">
        <v>39</v>
      </c>
      <c r="W616" s="14">
        <f t="shared" si="58"/>
        <v>0.66101694915254239</v>
      </c>
      <c r="Z616" s="14">
        <v>42</v>
      </c>
      <c r="AA616" s="14">
        <v>39</v>
      </c>
      <c r="AB616" s="14">
        <v>45</v>
      </c>
      <c r="AC616" s="14">
        <v>32</v>
      </c>
      <c r="AD616" s="34">
        <f t="shared" si="59"/>
        <v>0.5423728813559322</v>
      </c>
      <c r="AG616" s="35">
        <v>12.6</v>
      </c>
      <c r="AH616" s="35">
        <v>7.62</v>
      </c>
      <c r="AI616" s="35">
        <v>27.5</v>
      </c>
      <c r="AU616" s="14" t="s">
        <v>2447</v>
      </c>
      <c r="AV616" s="14" t="s">
        <v>3197</v>
      </c>
      <c r="BE616" s="14" t="s">
        <v>2817</v>
      </c>
      <c r="BJ616" s="14" t="s">
        <v>4107</v>
      </c>
      <c r="BN616" s="14" t="s">
        <v>2231</v>
      </c>
      <c r="CC616" s="14">
        <v>7.0000000000000007E-2</v>
      </c>
      <c r="CG616" s="14">
        <v>0.62</v>
      </c>
      <c r="CH616" s="14">
        <v>-0.16</v>
      </c>
      <c r="CI616" s="14">
        <v>0.3</v>
      </c>
      <c r="CJ616" s="14" t="s">
        <v>2820</v>
      </c>
      <c r="CK616" s="14">
        <v>7.0000000000000007E-2</v>
      </c>
      <c r="CN616" s="14">
        <v>0.62</v>
      </c>
      <c r="CW616" s="14" t="s">
        <v>1495</v>
      </c>
      <c r="CX616" s="14" t="s">
        <v>1496</v>
      </c>
      <c r="CY616" s="14">
        <v>2024</v>
      </c>
      <c r="CZ616" s="36" t="s">
        <v>119</v>
      </c>
      <c r="DA616" s="14" t="s">
        <v>154</v>
      </c>
      <c r="DB616" s="14">
        <v>463</v>
      </c>
      <c r="DE616" s="14" t="s">
        <v>1497</v>
      </c>
    </row>
    <row r="617" spans="1:109">
      <c r="A617" s="14" t="s">
        <v>1897</v>
      </c>
      <c r="C617" s="14" t="s">
        <v>1498</v>
      </c>
      <c r="D617" s="14" t="s">
        <v>2772</v>
      </c>
      <c r="E617" s="14" t="s">
        <v>672</v>
      </c>
      <c r="F617" s="14" t="s">
        <v>2818</v>
      </c>
      <c r="H617" s="14" t="s">
        <v>868</v>
      </c>
      <c r="I617" s="14" t="s">
        <v>3164</v>
      </c>
      <c r="J617" s="14" t="s">
        <v>585</v>
      </c>
      <c r="K617" s="14" t="s">
        <v>2823</v>
      </c>
      <c r="L617" s="14" t="s">
        <v>2822</v>
      </c>
      <c r="M617" s="14">
        <v>59</v>
      </c>
      <c r="N617" s="14">
        <v>3</v>
      </c>
      <c r="P617" s="14">
        <v>2</v>
      </c>
      <c r="Q617" s="14">
        <v>66</v>
      </c>
      <c r="R617" s="14">
        <v>11.5</v>
      </c>
      <c r="V617" s="14">
        <v>39</v>
      </c>
      <c r="W617" s="14">
        <f t="shared" si="58"/>
        <v>0.66101694915254239</v>
      </c>
      <c r="Z617" s="14">
        <v>42</v>
      </c>
      <c r="AA617" s="14">
        <v>39</v>
      </c>
      <c r="AB617" s="14">
        <v>45</v>
      </c>
      <c r="AC617" s="14">
        <v>32</v>
      </c>
      <c r="AD617" s="34">
        <f t="shared" si="59"/>
        <v>0.5423728813559322</v>
      </c>
      <c r="AG617" s="35">
        <v>12.6</v>
      </c>
      <c r="AH617" s="35">
        <v>7.62</v>
      </c>
      <c r="AI617" s="35">
        <v>27.5</v>
      </c>
      <c r="AU617" s="14" t="s">
        <v>2447</v>
      </c>
      <c r="AV617" s="14" t="s">
        <v>3197</v>
      </c>
      <c r="BE617" s="14" t="s">
        <v>2817</v>
      </c>
      <c r="BJ617" s="14" t="s">
        <v>4107</v>
      </c>
      <c r="BN617" s="14" t="s">
        <v>2231</v>
      </c>
      <c r="CC617" s="14">
        <v>0.28999999999999998</v>
      </c>
      <c r="CG617" s="14" t="s">
        <v>769</v>
      </c>
      <c r="CH617" s="14">
        <v>-0.1</v>
      </c>
      <c r="CI617" s="14">
        <v>0.52</v>
      </c>
      <c r="CJ617" s="14" t="s">
        <v>2820</v>
      </c>
      <c r="CK617" s="14">
        <v>0.04</v>
      </c>
      <c r="CN617" s="14">
        <v>0.79</v>
      </c>
      <c r="CW617" s="14" t="s">
        <v>1495</v>
      </c>
      <c r="CX617" s="14" t="s">
        <v>1496</v>
      </c>
      <c r="CY617" s="14">
        <v>2024</v>
      </c>
      <c r="CZ617" s="36" t="s">
        <v>119</v>
      </c>
      <c r="DA617" s="14" t="s">
        <v>154</v>
      </c>
      <c r="DB617" s="14">
        <v>463</v>
      </c>
      <c r="DE617" s="14" t="s">
        <v>1497</v>
      </c>
    </row>
    <row r="618" spans="1:109">
      <c r="A618" s="14" t="s">
        <v>1897</v>
      </c>
      <c r="C618" s="14" t="s">
        <v>1498</v>
      </c>
      <c r="D618" s="14" t="s">
        <v>2772</v>
      </c>
      <c r="E618" s="14" t="s">
        <v>672</v>
      </c>
      <c r="F618" s="14" t="s">
        <v>2819</v>
      </c>
      <c r="H618" s="14" t="s">
        <v>868</v>
      </c>
      <c r="I618" s="14" t="s">
        <v>3164</v>
      </c>
      <c r="J618" s="14" t="s">
        <v>585</v>
      </c>
      <c r="K618" s="14" t="s">
        <v>2823</v>
      </c>
      <c r="L618" s="14" t="s">
        <v>2822</v>
      </c>
      <c r="M618" s="14">
        <v>59</v>
      </c>
      <c r="N618" s="14">
        <v>3</v>
      </c>
      <c r="P618" s="14">
        <v>2</v>
      </c>
      <c r="Q618" s="14">
        <v>66</v>
      </c>
      <c r="R618" s="14">
        <v>11.5</v>
      </c>
      <c r="V618" s="14">
        <v>39</v>
      </c>
      <c r="W618" s="14">
        <f t="shared" si="58"/>
        <v>0.66101694915254239</v>
      </c>
      <c r="Z618" s="14">
        <v>42</v>
      </c>
      <c r="AA618" s="14">
        <v>39</v>
      </c>
      <c r="AB618" s="14">
        <v>45</v>
      </c>
      <c r="AC618" s="14">
        <v>32</v>
      </c>
      <c r="AD618" s="34">
        <f t="shared" si="59"/>
        <v>0.5423728813559322</v>
      </c>
      <c r="AG618" s="35">
        <v>12.6</v>
      </c>
      <c r="AH618" s="35">
        <v>7.62</v>
      </c>
      <c r="AI618" s="35">
        <v>27.5</v>
      </c>
      <c r="AU618" s="14" t="s">
        <v>2447</v>
      </c>
      <c r="AV618" s="14" t="s">
        <v>3197</v>
      </c>
      <c r="BE618" s="14" t="s">
        <v>2817</v>
      </c>
      <c r="BJ618" s="14" t="s">
        <v>4107</v>
      </c>
      <c r="BN618" s="14" t="s">
        <v>2231</v>
      </c>
      <c r="CC618" s="14">
        <v>0.22</v>
      </c>
      <c r="CG618" s="14">
        <v>0.1</v>
      </c>
      <c r="CH618" s="14">
        <v>-0.03</v>
      </c>
      <c r="CI618" s="14">
        <v>0.83</v>
      </c>
      <c r="CJ618" s="14" t="s">
        <v>2820</v>
      </c>
      <c r="CK618" s="14">
        <v>0.03</v>
      </c>
      <c r="CN618" s="14">
        <v>0.84</v>
      </c>
      <c r="CW618" s="14" t="s">
        <v>1495</v>
      </c>
      <c r="CX618" s="14" t="s">
        <v>1496</v>
      </c>
      <c r="CY618" s="14">
        <v>2024</v>
      </c>
      <c r="CZ618" s="36" t="s">
        <v>119</v>
      </c>
      <c r="DA618" s="14" t="s">
        <v>154</v>
      </c>
      <c r="DB618" s="14">
        <v>463</v>
      </c>
      <c r="DE618" s="14" t="s">
        <v>1497</v>
      </c>
    </row>
    <row r="619" spans="1:109" ht="20">
      <c r="A619" s="14" t="s">
        <v>1898</v>
      </c>
      <c r="C619" s="14" t="s">
        <v>1503</v>
      </c>
      <c r="D619" s="14" t="s">
        <v>827</v>
      </c>
      <c r="E619" s="14" t="s">
        <v>673</v>
      </c>
      <c r="F619" s="14" t="s">
        <v>2827</v>
      </c>
      <c r="H619" s="14" t="s">
        <v>703</v>
      </c>
      <c r="I619" s="14" t="s">
        <v>3165</v>
      </c>
      <c r="J619" s="14" t="s">
        <v>585</v>
      </c>
      <c r="K619" s="13" t="s">
        <v>2829</v>
      </c>
      <c r="L619" s="14" t="s">
        <v>641</v>
      </c>
      <c r="M619" s="14">
        <v>63</v>
      </c>
      <c r="S619" s="14">
        <v>65</v>
      </c>
      <c r="V619" s="14">
        <v>36</v>
      </c>
      <c r="W619" s="14">
        <f t="shared" si="58"/>
        <v>0.5714285714285714</v>
      </c>
      <c r="AU619" s="14" t="s">
        <v>2449</v>
      </c>
      <c r="AV619" s="14" t="s">
        <v>2490</v>
      </c>
      <c r="BE619" s="14" t="s">
        <v>2830</v>
      </c>
      <c r="BF619" s="29">
        <v>63</v>
      </c>
      <c r="BG619" s="14">
        <v>0.91</v>
      </c>
      <c r="BH619" s="14">
        <v>0.76</v>
      </c>
      <c r="BI619" s="14">
        <v>1.1000000000000001</v>
      </c>
      <c r="BJ619" s="14"/>
      <c r="BN619" s="14" t="s">
        <v>2231</v>
      </c>
      <c r="BQ619" s="14" t="s">
        <v>2268</v>
      </c>
      <c r="CW619" s="14" t="s">
        <v>1499</v>
      </c>
      <c r="CX619" s="14" t="s">
        <v>1500</v>
      </c>
      <c r="CY619" s="14">
        <v>2021</v>
      </c>
      <c r="CZ619" s="36" t="s">
        <v>119</v>
      </c>
      <c r="DA619" s="14" t="s">
        <v>26</v>
      </c>
      <c r="DB619" s="14">
        <v>8</v>
      </c>
      <c r="DC619" s="14">
        <v>8</v>
      </c>
      <c r="DD619" s="14" t="s">
        <v>1501</v>
      </c>
      <c r="DE619" s="14" t="s">
        <v>1502</v>
      </c>
    </row>
    <row r="620" spans="1:109" ht="20">
      <c r="A620" s="14" t="s">
        <v>1898</v>
      </c>
      <c r="C620" s="14" t="s">
        <v>1503</v>
      </c>
      <c r="D620" s="14" t="s">
        <v>827</v>
      </c>
      <c r="E620" s="14" t="s">
        <v>672</v>
      </c>
      <c r="F620" s="14" t="s">
        <v>675</v>
      </c>
      <c r="H620" s="14" t="s">
        <v>703</v>
      </c>
      <c r="I620" s="14" t="s">
        <v>3165</v>
      </c>
      <c r="J620" s="14" t="s">
        <v>585</v>
      </c>
      <c r="K620" s="13"/>
      <c r="L620" s="14" t="s">
        <v>641</v>
      </c>
      <c r="M620" s="14">
        <v>63</v>
      </c>
      <c r="S620" s="14">
        <v>65</v>
      </c>
      <c r="V620" s="14">
        <v>36</v>
      </c>
      <c r="W620" s="14">
        <f t="shared" si="58"/>
        <v>0.5714285714285714</v>
      </c>
      <c r="AU620" s="14" t="s">
        <v>2449</v>
      </c>
      <c r="AV620" s="14" t="s">
        <v>2380</v>
      </c>
      <c r="BE620" s="14" t="s">
        <v>2830</v>
      </c>
      <c r="BF620" s="29">
        <v>63</v>
      </c>
      <c r="BG620" s="14">
        <v>17.75</v>
      </c>
      <c r="BH620" s="14">
        <v>3.7</v>
      </c>
      <c r="BI620" s="14">
        <v>85.2</v>
      </c>
      <c r="BJ620" s="14"/>
      <c r="BN620" s="14" t="s">
        <v>2231</v>
      </c>
      <c r="BO620" s="14" t="s">
        <v>2800</v>
      </c>
      <c r="BP620" s="14" t="s">
        <v>2800</v>
      </c>
      <c r="BQ620" s="14">
        <v>0.48</v>
      </c>
      <c r="BU620" s="14" t="s">
        <v>635</v>
      </c>
      <c r="CW620" s="14" t="s">
        <v>1499</v>
      </c>
      <c r="CX620" s="14" t="s">
        <v>1500</v>
      </c>
      <c r="CY620" s="14">
        <v>2021</v>
      </c>
      <c r="CZ620" s="36" t="s">
        <v>119</v>
      </c>
      <c r="DA620" s="14" t="s">
        <v>26</v>
      </c>
      <c r="DB620" s="14">
        <v>8</v>
      </c>
      <c r="DC620" s="14">
        <v>8</v>
      </c>
      <c r="DD620" s="14" t="s">
        <v>1501</v>
      </c>
      <c r="DE620" s="14" t="s">
        <v>1502</v>
      </c>
    </row>
    <row r="621" spans="1:109" ht="20">
      <c r="A621" s="13" t="s">
        <v>1730</v>
      </c>
      <c r="B621" s="13" t="s">
        <v>1730</v>
      </c>
      <c r="C621" s="13" t="s">
        <v>1989</v>
      </c>
      <c r="D621" s="13" t="s">
        <v>971</v>
      </c>
      <c r="E621" s="13" t="s">
        <v>674</v>
      </c>
      <c r="F621" s="13" t="s">
        <v>675</v>
      </c>
      <c r="H621" s="13" t="s">
        <v>637</v>
      </c>
      <c r="I621" s="13" t="s">
        <v>4094</v>
      </c>
      <c r="J621" s="13" t="s">
        <v>652</v>
      </c>
      <c r="K621" s="13"/>
      <c r="M621" s="13">
        <v>54</v>
      </c>
      <c r="N621" s="13"/>
      <c r="O621" s="15"/>
      <c r="P621" s="13">
        <v>54</v>
      </c>
      <c r="Q621" s="13"/>
      <c r="R621" s="13"/>
      <c r="S621" s="13">
        <v>64.400000000000006</v>
      </c>
      <c r="T621" s="13">
        <v>58</v>
      </c>
      <c r="U621" s="13">
        <v>71.5</v>
      </c>
      <c r="V621" s="14">
        <v>30</v>
      </c>
      <c r="W621" s="14">
        <f t="shared" si="58"/>
        <v>0.55555555555555558</v>
      </c>
      <c r="AG621" s="35">
        <f>5.1*12</f>
        <v>61.199999999999996</v>
      </c>
      <c r="AH621" s="35">
        <f>2.9*12</f>
        <v>34.799999999999997</v>
      </c>
      <c r="AI621" s="35">
        <f>9*12</f>
        <v>108</v>
      </c>
      <c r="CW621" s="13" t="s">
        <v>424</v>
      </c>
      <c r="CX621" s="13" t="s">
        <v>425</v>
      </c>
      <c r="CY621" s="13">
        <v>2021</v>
      </c>
      <c r="CZ621" s="13" t="s">
        <v>162</v>
      </c>
      <c r="DA621" s="13" t="s">
        <v>195</v>
      </c>
      <c r="DB621" s="13">
        <v>92</v>
      </c>
      <c r="DC621" s="13">
        <v>12</v>
      </c>
      <c r="DD621" s="13" t="s">
        <v>426</v>
      </c>
      <c r="DE621" s="13" t="s">
        <v>427</v>
      </c>
    </row>
    <row r="622" spans="1:109" ht="20">
      <c r="A622" s="13" t="s">
        <v>1730</v>
      </c>
      <c r="B622" s="13" t="s">
        <v>1730</v>
      </c>
      <c r="C622" s="13" t="s">
        <v>1990</v>
      </c>
      <c r="D622" s="13" t="s">
        <v>972</v>
      </c>
      <c r="E622" s="13" t="s">
        <v>674</v>
      </c>
      <c r="F622" s="13" t="s">
        <v>675</v>
      </c>
      <c r="H622" s="13" t="s">
        <v>637</v>
      </c>
      <c r="I622" s="13" t="s">
        <v>3637</v>
      </c>
      <c r="J622" s="13" t="s">
        <v>652</v>
      </c>
      <c r="K622" s="13"/>
      <c r="M622" s="13">
        <v>48</v>
      </c>
      <c r="N622" s="13"/>
      <c r="O622" s="15"/>
      <c r="P622" s="13">
        <v>48</v>
      </c>
      <c r="Q622" s="13"/>
      <c r="R622" s="13"/>
      <c r="S622" s="13">
        <v>62.1</v>
      </c>
      <c r="T622" s="13">
        <v>58.5</v>
      </c>
      <c r="U622" s="13">
        <v>66.2</v>
      </c>
      <c r="V622" s="14">
        <v>26</v>
      </c>
      <c r="W622" s="14">
        <f t="shared" si="58"/>
        <v>0.54166666666666663</v>
      </c>
      <c r="AG622" s="35">
        <f>2.9*12</f>
        <v>34.799999999999997</v>
      </c>
      <c r="AH622" s="35">
        <f>2.2*12</f>
        <v>26.400000000000002</v>
      </c>
      <c r="AI622" s="35">
        <f>3.5*12</f>
        <v>42</v>
      </c>
      <c r="CW622" s="13" t="s">
        <v>424</v>
      </c>
      <c r="CX622" s="13" t="s">
        <v>425</v>
      </c>
      <c r="CY622" s="13">
        <v>2021</v>
      </c>
      <c r="CZ622" s="13" t="s">
        <v>162</v>
      </c>
      <c r="DA622" s="13" t="s">
        <v>195</v>
      </c>
      <c r="DB622" s="13">
        <v>92</v>
      </c>
      <c r="DC622" s="13">
        <v>12</v>
      </c>
      <c r="DD622" s="13" t="s">
        <v>426</v>
      </c>
      <c r="DE622" s="13" t="s">
        <v>427</v>
      </c>
    </row>
    <row r="623" spans="1:109" ht="20">
      <c r="A623" s="13" t="s">
        <v>1731</v>
      </c>
      <c r="B623" s="13" t="s">
        <v>1731</v>
      </c>
      <c r="C623" s="13" t="s">
        <v>433</v>
      </c>
      <c r="D623" s="13" t="s">
        <v>830</v>
      </c>
      <c r="E623" s="13" t="s">
        <v>2938</v>
      </c>
      <c r="F623" s="13" t="s">
        <v>976</v>
      </c>
      <c r="H623" s="13" t="s">
        <v>974</v>
      </c>
      <c r="I623" s="13" t="s">
        <v>3638</v>
      </c>
      <c r="J623" s="13" t="s">
        <v>1975</v>
      </c>
      <c r="K623" s="13" t="s">
        <v>975</v>
      </c>
      <c r="M623" s="13">
        <v>14</v>
      </c>
      <c r="N623" s="13"/>
      <c r="O623" s="15"/>
      <c r="P623" s="13"/>
      <c r="Q623" s="13">
        <v>61.5</v>
      </c>
      <c r="R623" s="13">
        <v>11.38</v>
      </c>
      <c r="S623" s="13">
        <v>64</v>
      </c>
      <c r="T623" s="13">
        <v>56.25</v>
      </c>
      <c r="U623" s="13">
        <v>69.5</v>
      </c>
      <c r="V623" s="14">
        <v>6</v>
      </c>
      <c r="W623" s="14">
        <f t="shared" si="58"/>
        <v>0.42857142857142855</v>
      </c>
      <c r="AC623" s="14">
        <v>11</v>
      </c>
      <c r="AD623" s="34">
        <f>AC623/M623</f>
        <v>0.7857142857142857</v>
      </c>
      <c r="CW623" s="13" t="s">
        <v>428</v>
      </c>
      <c r="CX623" s="13" t="s">
        <v>429</v>
      </c>
      <c r="CY623" s="13">
        <v>2019</v>
      </c>
      <c r="CZ623" s="13"/>
      <c r="DA623" s="13" t="s">
        <v>430</v>
      </c>
      <c r="DB623" s="13">
        <v>1708</v>
      </c>
      <c r="DC623" s="13"/>
      <c r="DD623" s="13" t="s">
        <v>431</v>
      </c>
      <c r="DE623" s="13" t="s">
        <v>432</v>
      </c>
    </row>
    <row r="624" spans="1:109" s="13" customFormat="1" ht="20">
      <c r="A624" s="13" t="s">
        <v>1731</v>
      </c>
      <c r="B624" s="13" t="s">
        <v>1731</v>
      </c>
      <c r="C624" s="13" t="s">
        <v>433</v>
      </c>
      <c r="D624" s="13" t="s">
        <v>830</v>
      </c>
      <c r="E624" s="13" t="s">
        <v>2938</v>
      </c>
      <c r="F624" s="13" t="s">
        <v>977</v>
      </c>
      <c r="G624" s="14"/>
      <c r="H624" s="13" t="s">
        <v>974</v>
      </c>
      <c r="I624" s="13" t="s">
        <v>3638</v>
      </c>
      <c r="J624" s="13" t="s">
        <v>1975</v>
      </c>
      <c r="K624" s="13" t="s">
        <v>975</v>
      </c>
      <c r="L624" s="14"/>
      <c r="M624" s="13">
        <v>14</v>
      </c>
      <c r="O624" s="15"/>
      <c r="Q624" s="13">
        <v>61.5</v>
      </c>
      <c r="R624" s="13">
        <v>11.38</v>
      </c>
      <c r="S624" s="13">
        <v>64</v>
      </c>
      <c r="T624" s="13">
        <v>56.25</v>
      </c>
      <c r="U624" s="13">
        <v>69.5</v>
      </c>
      <c r="V624" s="14">
        <v>6</v>
      </c>
      <c r="W624" s="14">
        <f t="shared" si="58"/>
        <v>0.42857142857142855</v>
      </c>
      <c r="X624" s="14"/>
      <c r="Y624" s="14"/>
      <c r="Z624" s="14"/>
      <c r="AA624" s="14"/>
      <c r="AB624" s="14"/>
      <c r="AC624" s="14">
        <v>11</v>
      </c>
      <c r="AD624" s="34">
        <f>AC624/M624</f>
        <v>0.7857142857142857</v>
      </c>
      <c r="AE624" s="35"/>
      <c r="AF624" s="35"/>
      <c r="AG624" s="35"/>
      <c r="AH624" s="35"/>
      <c r="AI624" s="35"/>
      <c r="AJ624" s="35"/>
      <c r="AK624" s="35"/>
      <c r="AL624" s="35"/>
      <c r="AM624" s="35"/>
      <c r="AN624" s="35"/>
      <c r="AO624" s="35"/>
      <c r="AP624" s="35"/>
      <c r="AQ624" s="35"/>
      <c r="AR624" s="35"/>
      <c r="AS624" s="35"/>
      <c r="AT624" s="35"/>
      <c r="AU624" s="14"/>
      <c r="AV624" s="14"/>
      <c r="AW624" s="14"/>
      <c r="AX624" s="14"/>
      <c r="AY624" s="14"/>
      <c r="AZ624" s="14"/>
      <c r="BA624" s="29"/>
      <c r="BB624" s="14"/>
      <c r="BC624" s="14"/>
      <c r="BD624" s="14"/>
      <c r="BE624" s="29"/>
      <c r="BF624" s="29"/>
      <c r="BG624" s="14"/>
      <c r="BH624" s="14"/>
      <c r="BI624" s="14"/>
      <c r="BJ624" s="29"/>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3" t="s">
        <v>428</v>
      </c>
      <c r="CX624" s="13" t="s">
        <v>429</v>
      </c>
      <c r="CY624" s="13">
        <v>2019</v>
      </c>
      <c r="DA624" s="13" t="s">
        <v>430</v>
      </c>
      <c r="DB624" s="13">
        <v>1708</v>
      </c>
      <c r="DD624" s="13" t="s">
        <v>431</v>
      </c>
      <c r="DE624" s="13" t="s">
        <v>432</v>
      </c>
    </row>
    <row r="625" spans="1:109" s="13" customFormat="1" ht="20">
      <c r="A625" s="13" t="s">
        <v>1731</v>
      </c>
      <c r="B625" s="13" t="s">
        <v>1731</v>
      </c>
      <c r="C625" s="13" t="s">
        <v>433</v>
      </c>
      <c r="D625" s="13" t="s">
        <v>830</v>
      </c>
      <c r="E625" s="13" t="s">
        <v>2938</v>
      </c>
      <c r="F625" s="13" t="s">
        <v>684</v>
      </c>
      <c r="G625" s="14"/>
      <c r="H625" s="13" t="s">
        <v>974</v>
      </c>
      <c r="I625" s="13" t="s">
        <v>3638</v>
      </c>
      <c r="J625" s="13" t="s">
        <v>1975</v>
      </c>
      <c r="K625" s="13" t="s">
        <v>975</v>
      </c>
      <c r="L625" s="14"/>
      <c r="M625" s="13">
        <v>14</v>
      </c>
      <c r="O625" s="15"/>
      <c r="Q625" s="13">
        <v>61.5</v>
      </c>
      <c r="R625" s="13">
        <v>11.38</v>
      </c>
      <c r="S625" s="13">
        <v>64</v>
      </c>
      <c r="T625" s="13">
        <v>56.25</v>
      </c>
      <c r="U625" s="13">
        <v>69.5</v>
      </c>
      <c r="V625" s="14">
        <v>6</v>
      </c>
      <c r="W625" s="14">
        <f t="shared" si="58"/>
        <v>0.42857142857142855</v>
      </c>
      <c r="X625" s="14"/>
      <c r="Y625" s="14"/>
      <c r="Z625" s="14"/>
      <c r="AA625" s="14"/>
      <c r="AB625" s="14"/>
      <c r="AC625" s="14">
        <v>11</v>
      </c>
      <c r="AD625" s="34">
        <f>AC625/M625</f>
        <v>0.7857142857142857</v>
      </c>
      <c r="AE625" s="35"/>
      <c r="AF625" s="35"/>
      <c r="AG625" s="35"/>
      <c r="AH625" s="35"/>
      <c r="AI625" s="35"/>
      <c r="AJ625" s="35"/>
      <c r="AK625" s="35"/>
      <c r="AL625" s="35"/>
      <c r="AM625" s="35"/>
      <c r="AN625" s="35"/>
      <c r="AO625" s="35"/>
      <c r="AP625" s="35"/>
      <c r="AQ625" s="35"/>
      <c r="AR625" s="35"/>
      <c r="AS625" s="35"/>
      <c r="AT625" s="35"/>
      <c r="AU625" s="14"/>
      <c r="AV625" s="14"/>
      <c r="AW625" s="14"/>
      <c r="AX625" s="14"/>
      <c r="AY625" s="14"/>
      <c r="AZ625" s="14"/>
      <c r="BA625" s="29"/>
      <c r="BB625" s="14"/>
      <c r="BC625" s="14"/>
      <c r="BD625" s="14"/>
      <c r="BE625" s="29"/>
      <c r="BF625" s="29"/>
      <c r="BG625" s="14"/>
      <c r="BH625" s="14"/>
      <c r="BI625" s="14"/>
      <c r="BJ625" s="29"/>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3" t="s">
        <v>428</v>
      </c>
      <c r="CX625" s="13" t="s">
        <v>429</v>
      </c>
      <c r="CY625" s="13">
        <v>2019</v>
      </c>
      <c r="DA625" s="13" t="s">
        <v>430</v>
      </c>
      <c r="DB625" s="13">
        <v>1708</v>
      </c>
      <c r="DD625" s="13" t="s">
        <v>431</v>
      </c>
      <c r="DE625" s="13" t="s">
        <v>432</v>
      </c>
    </row>
    <row r="626" spans="1:109" s="13" customFormat="1" ht="20">
      <c r="A626" s="13" t="s">
        <v>1732</v>
      </c>
      <c r="B626" s="13" t="s">
        <v>1732</v>
      </c>
      <c r="C626" s="13" t="s">
        <v>439</v>
      </c>
      <c r="D626" s="13" t="s">
        <v>979</v>
      </c>
      <c r="E626" s="13" t="s">
        <v>672</v>
      </c>
      <c r="F626" s="13" t="s">
        <v>980</v>
      </c>
      <c r="G626" s="14"/>
      <c r="H626" s="13" t="s">
        <v>669</v>
      </c>
      <c r="I626" s="13" t="s">
        <v>3639</v>
      </c>
      <c r="J626" s="13" t="s">
        <v>585</v>
      </c>
      <c r="L626" s="14"/>
      <c r="M626" s="13">
        <v>15</v>
      </c>
      <c r="O626" s="15"/>
      <c r="Q626" s="13">
        <v>70.8</v>
      </c>
      <c r="R626" s="13">
        <v>5.58</v>
      </c>
      <c r="V626" s="14">
        <v>10</v>
      </c>
      <c r="W626" s="14">
        <f t="shared" si="58"/>
        <v>0.66666666666666663</v>
      </c>
      <c r="X626" s="14"/>
      <c r="Y626" s="14"/>
      <c r="Z626" s="14"/>
      <c r="AA626" s="14"/>
      <c r="AB626" s="14"/>
      <c r="AC626" s="14"/>
      <c r="AD626" s="34"/>
      <c r="AE626" s="35"/>
      <c r="AF626" s="35"/>
      <c r="AG626" s="35"/>
      <c r="AH626" s="35"/>
      <c r="AI626" s="35"/>
      <c r="AJ626" s="35"/>
      <c r="AK626" s="35"/>
      <c r="AL626" s="35"/>
      <c r="AM626" s="35"/>
      <c r="AN626" s="35"/>
      <c r="AO626" s="35"/>
      <c r="AP626" s="35"/>
      <c r="AQ626" s="35"/>
      <c r="AR626" s="35"/>
      <c r="AS626" s="35"/>
      <c r="AT626" s="35"/>
      <c r="AU626" s="14"/>
      <c r="AV626" s="14"/>
      <c r="AW626" s="14"/>
      <c r="AX626" s="14"/>
      <c r="AY626" s="14"/>
      <c r="AZ626" s="14"/>
      <c r="BA626" s="29"/>
      <c r="BB626" s="14"/>
      <c r="BC626" s="14"/>
      <c r="BD626" s="14"/>
      <c r="BE626" s="29"/>
      <c r="BF626" s="29"/>
      <c r="BG626" s="14"/>
      <c r="BH626" s="14"/>
      <c r="BI626" s="14"/>
      <c r="BJ626" s="29"/>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3" t="s">
        <v>434</v>
      </c>
      <c r="CX626" s="13" t="s">
        <v>435</v>
      </c>
      <c r="CY626" s="13">
        <v>2021</v>
      </c>
      <c r="CZ626" s="13" t="s">
        <v>162</v>
      </c>
      <c r="DA626" s="13" t="s">
        <v>436</v>
      </c>
      <c r="DB626" s="13">
        <v>36</v>
      </c>
      <c r="DC626" s="13">
        <v>12</v>
      </c>
      <c r="DD626" s="13" t="s">
        <v>437</v>
      </c>
      <c r="DE626" s="13" t="s">
        <v>438</v>
      </c>
    </row>
    <row r="627" spans="1:109" s="13" customFormat="1" ht="20">
      <c r="A627" s="13" t="s">
        <v>1732</v>
      </c>
      <c r="B627" s="13" t="s">
        <v>1732</v>
      </c>
      <c r="C627" s="13" t="s">
        <v>439</v>
      </c>
      <c r="D627" s="13" t="s">
        <v>979</v>
      </c>
      <c r="E627" s="13" t="s">
        <v>673</v>
      </c>
      <c r="F627" s="13" t="s">
        <v>980</v>
      </c>
      <c r="G627" s="14"/>
      <c r="H627" s="13" t="s">
        <v>669</v>
      </c>
      <c r="I627" s="13" t="s">
        <v>3639</v>
      </c>
      <c r="J627" s="13" t="s">
        <v>585</v>
      </c>
      <c r="L627" s="14"/>
      <c r="M627" s="13">
        <v>15</v>
      </c>
      <c r="O627" s="15"/>
      <c r="Q627" s="13">
        <v>70.8</v>
      </c>
      <c r="R627" s="13">
        <v>5.58</v>
      </c>
      <c r="V627" s="14">
        <v>10</v>
      </c>
      <c r="W627" s="14">
        <f t="shared" si="58"/>
        <v>0.66666666666666663</v>
      </c>
      <c r="X627" s="14"/>
      <c r="Y627" s="14"/>
      <c r="Z627" s="14"/>
      <c r="AA627" s="14"/>
      <c r="AB627" s="14"/>
      <c r="AC627" s="14"/>
      <c r="AD627" s="34"/>
      <c r="AE627" s="35"/>
      <c r="AF627" s="35"/>
      <c r="AG627" s="35"/>
      <c r="AH627" s="35"/>
      <c r="AI627" s="35"/>
      <c r="AJ627" s="35"/>
      <c r="AK627" s="35"/>
      <c r="AL627" s="35"/>
      <c r="AM627" s="35"/>
      <c r="AN627" s="35"/>
      <c r="AO627" s="35"/>
      <c r="AP627" s="35"/>
      <c r="AQ627" s="35"/>
      <c r="AR627" s="35"/>
      <c r="AS627" s="35"/>
      <c r="AT627" s="35"/>
      <c r="AU627" s="14"/>
      <c r="AV627" s="14"/>
      <c r="AW627" s="14"/>
      <c r="AX627" s="14"/>
      <c r="AY627" s="14"/>
      <c r="AZ627" s="14"/>
      <c r="BA627" s="29"/>
      <c r="BB627" s="14"/>
      <c r="BC627" s="14"/>
      <c r="BD627" s="14"/>
      <c r="BE627" s="29"/>
      <c r="BF627" s="29"/>
      <c r="BG627" s="14"/>
      <c r="BH627" s="14"/>
      <c r="BI627" s="14"/>
      <c r="BJ627" s="29"/>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3" t="s">
        <v>434</v>
      </c>
      <c r="CX627" s="13" t="s">
        <v>435</v>
      </c>
      <c r="CY627" s="13">
        <v>2021</v>
      </c>
      <c r="CZ627" s="13" t="s">
        <v>162</v>
      </c>
      <c r="DA627" s="13" t="s">
        <v>436</v>
      </c>
      <c r="DB627" s="13">
        <v>36</v>
      </c>
      <c r="DC627" s="13">
        <v>12</v>
      </c>
      <c r="DD627" s="13" t="s">
        <v>437</v>
      </c>
      <c r="DE627" s="13" t="s">
        <v>438</v>
      </c>
    </row>
    <row r="628" spans="1:109" s="13" customFormat="1" ht="20">
      <c r="A628" s="13" t="s">
        <v>1732</v>
      </c>
      <c r="B628" s="13" t="s">
        <v>1732</v>
      </c>
      <c r="C628" s="13" t="s">
        <v>439</v>
      </c>
      <c r="D628" s="13" t="s">
        <v>979</v>
      </c>
      <c r="E628" s="13" t="s">
        <v>672</v>
      </c>
      <c r="F628" s="13" t="s">
        <v>675</v>
      </c>
      <c r="G628" s="14"/>
      <c r="H628" s="13" t="s">
        <v>669</v>
      </c>
      <c r="I628" s="13" t="s">
        <v>3639</v>
      </c>
      <c r="J628" s="13" t="s">
        <v>585</v>
      </c>
      <c r="L628" s="14"/>
      <c r="M628" s="13">
        <v>15</v>
      </c>
      <c r="O628" s="15"/>
      <c r="Q628" s="13">
        <v>70.8</v>
      </c>
      <c r="R628" s="13">
        <v>5.58</v>
      </c>
      <c r="V628" s="14">
        <v>10</v>
      </c>
      <c r="W628" s="14">
        <f t="shared" si="58"/>
        <v>0.66666666666666663</v>
      </c>
      <c r="X628" s="14"/>
      <c r="Y628" s="14"/>
      <c r="Z628" s="14"/>
      <c r="AA628" s="14"/>
      <c r="AB628" s="14"/>
      <c r="AC628" s="14"/>
      <c r="AD628" s="34"/>
      <c r="AE628" s="35"/>
      <c r="AF628" s="35"/>
      <c r="AG628" s="35"/>
      <c r="AH628" s="35"/>
      <c r="AI628" s="35"/>
      <c r="AJ628" s="35"/>
      <c r="AK628" s="35"/>
      <c r="AL628" s="35"/>
      <c r="AM628" s="35"/>
      <c r="AN628" s="35"/>
      <c r="AO628" s="35"/>
      <c r="AP628" s="35"/>
      <c r="AQ628" s="35"/>
      <c r="AR628" s="35"/>
      <c r="AS628" s="35"/>
      <c r="AT628" s="35"/>
      <c r="AU628" s="14"/>
      <c r="AV628" s="14"/>
      <c r="AW628" s="14"/>
      <c r="AX628" s="14"/>
      <c r="AY628" s="14"/>
      <c r="AZ628" s="14"/>
      <c r="BA628" s="29"/>
      <c r="BB628" s="14"/>
      <c r="BC628" s="14"/>
      <c r="BD628" s="14"/>
      <c r="BE628" s="29"/>
      <c r="BF628" s="29"/>
      <c r="BG628" s="14"/>
      <c r="BH628" s="14"/>
      <c r="BI628" s="14"/>
      <c r="BJ628" s="29"/>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3" t="s">
        <v>434</v>
      </c>
      <c r="CX628" s="13" t="s">
        <v>435</v>
      </c>
      <c r="CY628" s="13">
        <v>2021</v>
      </c>
      <c r="CZ628" s="13" t="s">
        <v>162</v>
      </c>
      <c r="DA628" s="13" t="s">
        <v>436</v>
      </c>
      <c r="DB628" s="13">
        <v>36</v>
      </c>
      <c r="DC628" s="13">
        <v>12</v>
      </c>
      <c r="DD628" s="13" t="s">
        <v>437</v>
      </c>
      <c r="DE628" s="13" t="s">
        <v>438</v>
      </c>
    </row>
    <row r="629" spans="1:109" s="13" customFormat="1" ht="20">
      <c r="A629" s="13" t="s">
        <v>1732</v>
      </c>
      <c r="B629" s="13" t="s">
        <v>1732</v>
      </c>
      <c r="C629" s="13" t="s">
        <v>439</v>
      </c>
      <c r="D629" s="13" t="s">
        <v>979</v>
      </c>
      <c r="E629" s="13" t="s">
        <v>673</v>
      </c>
      <c r="F629" s="13" t="s">
        <v>675</v>
      </c>
      <c r="G629" s="14"/>
      <c r="H629" s="13" t="s">
        <v>669</v>
      </c>
      <c r="I629" s="13" t="s">
        <v>3639</v>
      </c>
      <c r="J629" s="13" t="s">
        <v>585</v>
      </c>
      <c r="L629" s="14"/>
      <c r="M629" s="13">
        <v>15</v>
      </c>
      <c r="O629" s="15"/>
      <c r="Q629" s="13">
        <v>70.8</v>
      </c>
      <c r="R629" s="13">
        <v>5.58</v>
      </c>
      <c r="V629" s="14">
        <v>10</v>
      </c>
      <c r="W629" s="14">
        <f t="shared" si="58"/>
        <v>0.66666666666666663</v>
      </c>
      <c r="X629" s="14"/>
      <c r="Y629" s="14"/>
      <c r="Z629" s="14"/>
      <c r="AA629" s="14"/>
      <c r="AB629" s="14"/>
      <c r="AC629" s="14"/>
      <c r="AD629" s="34"/>
      <c r="AE629" s="35"/>
      <c r="AF629" s="35"/>
      <c r="AG629" s="35"/>
      <c r="AH629" s="35"/>
      <c r="AI629" s="35"/>
      <c r="AJ629" s="35"/>
      <c r="AK629" s="35"/>
      <c r="AL629" s="35"/>
      <c r="AM629" s="35"/>
      <c r="AN629" s="35"/>
      <c r="AO629" s="35"/>
      <c r="AP629" s="35"/>
      <c r="AQ629" s="35"/>
      <c r="AR629" s="35"/>
      <c r="AS629" s="35"/>
      <c r="AT629" s="35"/>
      <c r="AU629" s="14"/>
      <c r="AV629" s="14"/>
      <c r="AW629" s="14"/>
      <c r="AX629" s="14"/>
      <c r="AY629" s="14"/>
      <c r="AZ629" s="14"/>
      <c r="BA629" s="29"/>
      <c r="BB629" s="14"/>
      <c r="BC629" s="14"/>
      <c r="BD629" s="14"/>
      <c r="BE629" s="29"/>
      <c r="BF629" s="29"/>
      <c r="BG629" s="14"/>
      <c r="BH629" s="14"/>
      <c r="BI629" s="14"/>
      <c r="BJ629" s="29"/>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3" t="s">
        <v>434</v>
      </c>
      <c r="CX629" s="13" t="s">
        <v>435</v>
      </c>
      <c r="CY629" s="13">
        <v>2021</v>
      </c>
      <c r="CZ629" s="13" t="s">
        <v>162</v>
      </c>
      <c r="DA629" s="13" t="s">
        <v>436</v>
      </c>
      <c r="DB629" s="13">
        <v>36</v>
      </c>
      <c r="DC629" s="13">
        <v>12</v>
      </c>
      <c r="DD629" s="13" t="s">
        <v>437</v>
      </c>
      <c r="DE629" s="13" t="s">
        <v>438</v>
      </c>
    </row>
    <row r="630" spans="1:109" s="13" customFormat="1" ht="20">
      <c r="A630" s="13" t="s">
        <v>1732</v>
      </c>
      <c r="B630" s="13" t="s">
        <v>1732</v>
      </c>
      <c r="C630" s="13" t="s">
        <v>439</v>
      </c>
      <c r="D630" s="13" t="s">
        <v>979</v>
      </c>
      <c r="E630" s="13" t="s">
        <v>672</v>
      </c>
      <c r="F630" s="13" t="s">
        <v>686</v>
      </c>
      <c r="G630" s="14"/>
      <c r="H630" s="13" t="s">
        <v>669</v>
      </c>
      <c r="I630" s="13" t="s">
        <v>3639</v>
      </c>
      <c r="J630" s="13" t="s">
        <v>585</v>
      </c>
      <c r="L630" s="14"/>
      <c r="M630" s="13">
        <v>15</v>
      </c>
      <c r="O630" s="15"/>
      <c r="Q630" s="13">
        <v>70.8</v>
      </c>
      <c r="R630" s="13">
        <v>5.58</v>
      </c>
      <c r="V630" s="14">
        <v>10</v>
      </c>
      <c r="W630" s="14">
        <f t="shared" si="58"/>
        <v>0.66666666666666663</v>
      </c>
      <c r="X630" s="14"/>
      <c r="Y630" s="14"/>
      <c r="Z630" s="14"/>
      <c r="AA630" s="14"/>
      <c r="AB630" s="14"/>
      <c r="AC630" s="14"/>
      <c r="AD630" s="34"/>
      <c r="AE630" s="35"/>
      <c r="AF630" s="35"/>
      <c r="AG630" s="35"/>
      <c r="AH630" s="35"/>
      <c r="AI630" s="35"/>
      <c r="AJ630" s="35"/>
      <c r="AK630" s="35"/>
      <c r="AL630" s="35"/>
      <c r="AM630" s="35"/>
      <c r="AN630" s="35"/>
      <c r="AO630" s="35"/>
      <c r="AP630" s="35"/>
      <c r="AQ630" s="35"/>
      <c r="AR630" s="35"/>
      <c r="AS630" s="35"/>
      <c r="AT630" s="35"/>
      <c r="AU630" s="14"/>
      <c r="AV630" s="14"/>
      <c r="AW630" s="14"/>
      <c r="AX630" s="14"/>
      <c r="AY630" s="14"/>
      <c r="AZ630" s="14"/>
      <c r="BA630" s="29"/>
      <c r="BB630" s="14"/>
      <c r="BC630" s="14"/>
      <c r="BD630" s="14"/>
      <c r="BE630" s="29"/>
      <c r="BF630" s="29"/>
      <c r="BG630" s="14"/>
      <c r="BH630" s="14"/>
      <c r="BI630" s="14"/>
      <c r="BJ630" s="29"/>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3" t="s">
        <v>434</v>
      </c>
      <c r="CX630" s="13" t="s">
        <v>435</v>
      </c>
      <c r="CY630" s="13">
        <v>2021</v>
      </c>
      <c r="CZ630" s="13" t="s">
        <v>162</v>
      </c>
      <c r="DA630" s="13" t="s">
        <v>436</v>
      </c>
      <c r="DB630" s="13">
        <v>36</v>
      </c>
      <c r="DC630" s="13">
        <v>12</v>
      </c>
      <c r="DD630" s="13" t="s">
        <v>437</v>
      </c>
      <c r="DE630" s="13" t="s">
        <v>438</v>
      </c>
    </row>
    <row r="631" spans="1:109" s="13" customFormat="1" ht="20">
      <c r="A631" s="13" t="s">
        <v>1732</v>
      </c>
      <c r="B631" s="13" t="s">
        <v>1732</v>
      </c>
      <c r="C631" s="13" t="s">
        <v>439</v>
      </c>
      <c r="D631" s="13" t="s">
        <v>979</v>
      </c>
      <c r="E631" s="13" t="s">
        <v>672</v>
      </c>
      <c r="F631" s="13" t="s">
        <v>676</v>
      </c>
      <c r="G631" s="14"/>
      <c r="H631" s="13" t="s">
        <v>669</v>
      </c>
      <c r="I631" s="13" t="s">
        <v>3639</v>
      </c>
      <c r="J631" s="13" t="s">
        <v>585</v>
      </c>
      <c r="L631" s="14"/>
      <c r="M631" s="13">
        <v>15</v>
      </c>
      <c r="O631" s="15"/>
      <c r="Q631" s="13">
        <v>70.8</v>
      </c>
      <c r="R631" s="13">
        <v>5.58</v>
      </c>
      <c r="V631" s="14">
        <v>10</v>
      </c>
      <c r="W631" s="14">
        <f t="shared" si="58"/>
        <v>0.66666666666666663</v>
      </c>
      <c r="X631" s="14"/>
      <c r="Y631" s="14"/>
      <c r="Z631" s="14"/>
      <c r="AA631" s="14"/>
      <c r="AB631" s="14"/>
      <c r="AC631" s="14"/>
      <c r="AD631" s="34"/>
      <c r="AE631" s="35"/>
      <c r="AF631" s="35"/>
      <c r="AG631" s="35"/>
      <c r="AH631" s="35"/>
      <c r="AI631" s="35"/>
      <c r="AJ631" s="35"/>
      <c r="AK631" s="35"/>
      <c r="AL631" s="35"/>
      <c r="AM631" s="35"/>
      <c r="AN631" s="35"/>
      <c r="AO631" s="35"/>
      <c r="AP631" s="35"/>
      <c r="AQ631" s="35"/>
      <c r="AR631" s="35"/>
      <c r="AS631" s="35"/>
      <c r="AT631" s="35"/>
      <c r="AU631" s="14"/>
      <c r="AV631" s="14"/>
      <c r="AW631" s="14"/>
      <c r="AX631" s="14"/>
      <c r="AY631" s="14"/>
      <c r="AZ631" s="14"/>
      <c r="BA631" s="29"/>
      <c r="BB631" s="14"/>
      <c r="BC631" s="14"/>
      <c r="BD631" s="14"/>
      <c r="BE631" s="29"/>
      <c r="BF631" s="29"/>
      <c r="BG631" s="14"/>
      <c r="BH631" s="14"/>
      <c r="BI631" s="14"/>
      <c r="BJ631" s="29"/>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3" t="s">
        <v>434</v>
      </c>
      <c r="CX631" s="13" t="s">
        <v>435</v>
      </c>
      <c r="CY631" s="13">
        <v>2021</v>
      </c>
      <c r="CZ631" s="13" t="s">
        <v>162</v>
      </c>
      <c r="DA631" s="13" t="s">
        <v>436</v>
      </c>
      <c r="DB631" s="13">
        <v>36</v>
      </c>
      <c r="DC631" s="13">
        <v>12</v>
      </c>
      <c r="DD631" s="13" t="s">
        <v>437</v>
      </c>
      <c r="DE631" s="13" t="s">
        <v>438</v>
      </c>
    </row>
    <row r="632" spans="1:109" s="13" customFormat="1" ht="20">
      <c r="A632" s="13" t="s">
        <v>1732</v>
      </c>
      <c r="B632" s="13" t="s">
        <v>1732</v>
      </c>
      <c r="C632" s="13" t="s">
        <v>439</v>
      </c>
      <c r="D632" s="13" t="s">
        <v>979</v>
      </c>
      <c r="E632" s="13" t="s">
        <v>672</v>
      </c>
      <c r="F632" s="13" t="s">
        <v>757</v>
      </c>
      <c r="G632" s="14"/>
      <c r="H632" s="13" t="s">
        <v>669</v>
      </c>
      <c r="I632" s="13" t="s">
        <v>3639</v>
      </c>
      <c r="J632" s="13" t="s">
        <v>585</v>
      </c>
      <c r="L632" s="14"/>
      <c r="M632" s="13">
        <v>15</v>
      </c>
      <c r="O632" s="15"/>
      <c r="Q632" s="13">
        <v>70.8</v>
      </c>
      <c r="R632" s="13">
        <v>5.58</v>
      </c>
      <c r="V632" s="14">
        <v>10</v>
      </c>
      <c r="W632" s="14">
        <f t="shared" si="58"/>
        <v>0.66666666666666663</v>
      </c>
      <c r="X632" s="14"/>
      <c r="Y632" s="14"/>
      <c r="Z632" s="14"/>
      <c r="AA632" s="14"/>
      <c r="AB632" s="14"/>
      <c r="AC632" s="14"/>
      <c r="AD632" s="34"/>
      <c r="AE632" s="35"/>
      <c r="AF632" s="35"/>
      <c r="AG632" s="35"/>
      <c r="AH632" s="35"/>
      <c r="AI632" s="35"/>
      <c r="AJ632" s="35"/>
      <c r="AK632" s="35"/>
      <c r="AL632" s="35"/>
      <c r="AM632" s="35"/>
      <c r="AN632" s="35"/>
      <c r="AO632" s="35"/>
      <c r="AP632" s="35"/>
      <c r="AQ632" s="35"/>
      <c r="AR632" s="35"/>
      <c r="AS632" s="35"/>
      <c r="AT632" s="35"/>
      <c r="AU632" s="14"/>
      <c r="AV632" s="14"/>
      <c r="AW632" s="14"/>
      <c r="AX632" s="14"/>
      <c r="AY632" s="14"/>
      <c r="AZ632" s="14"/>
      <c r="BA632" s="29"/>
      <c r="BB632" s="14"/>
      <c r="BC632" s="14"/>
      <c r="BD632" s="14"/>
      <c r="BE632" s="29"/>
      <c r="BF632" s="29"/>
      <c r="BG632" s="14"/>
      <c r="BH632" s="14"/>
      <c r="BI632" s="14"/>
      <c r="BJ632" s="29"/>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3" t="s">
        <v>434</v>
      </c>
      <c r="CX632" s="13" t="s">
        <v>435</v>
      </c>
      <c r="CY632" s="13">
        <v>2021</v>
      </c>
      <c r="CZ632" s="13" t="s">
        <v>162</v>
      </c>
      <c r="DA632" s="13" t="s">
        <v>436</v>
      </c>
      <c r="DB632" s="13">
        <v>36</v>
      </c>
      <c r="DC632" s="13">
        <v>12</v>
      </c>
      <c r="DD632" s="13" t="s">
        <v>437</v>
      </c>
      <c r="DE632" s="13" t="s">
        <v>438</v>
      </c>
    </row>
    <row r="633" spans="1:109" s="13" customFormat="1" ht="20">
      <c r="A633" s="13" t="s">
        <v>1732</v>
      </c>
      <c r="B633" s="13" t="s">
        <v>1732</v>
      </c>
      <c r="C633" s="13" t="s">
        <v>439</v>
      </c>
      <c r="D633" s="13" t="s">
        <v>979</v>
      </c>
      <c r="E633" s="13" t="s">
        <v>672</v>
      </c>
      <c r="F633" s="13" t="s">
        <v>758</v>
      </c>
      <c r="G633" s="14"/>
      <c r="H633" s="13" t="s">
        <v>669</v>
      </c>
      <c r="I633" s="13" t="s">
        <v>3639</v>
      </c>
      <c r="J633" s="13" t="s">
        <v>585</v>
      </c>
      <c r="L633" s="14"/>
      <c r="M633" s="13">
        <v>15</v>
      </c>
      <c r="O633" s="15"/>
      <c r="Q633" s="13">
        <v>70.8</v>
      </c>
      <c r="R633" s="13">
        <v>5.58</v>
      </c>
      <c r="V633" s="14">
        <v>10</v>
      </c>
      <c r="W633" s="14">
        <f t="shared" si="58"/>
        <v>0.66666666666666663</v>
      </c>
      <c r="X633" s="14"/>
      <c r="Y633" s="14"/>
      <c r="Z633" s="14"/>
      <c r="AA633" s="14"/>
      <c r="AB633" s="14"/>
      <c r="AC633" s="14"/>
      <c r="AD633" s="34"/>
      <c r="AE633" s="35"/>
      <c r="AF633" s="35"/>
      <c r="AG633" s="35"/>
      <c r="AH633" s="35"/>
      <c r="AI633" s="35"/>
      <c r="AJ633" s="35"/>
      <c r="AK633" s="35"/>
      <c r="AL633" s="35"/>
      <c r="AM633" s="35"/>
      <c r="AN633" s="35"/>
      <c r="AO633" s="35"/>
      <c r="AP633" s="35"/>
      <c r="AQ633" s="35"/>
      <c r="AR633" s="35"/>
      <c r="AS633" s="35"/>
      <c r="AT633" s="35"/>
      <c r="AU633" s="14"/>
      <c r="AV633" s="14"/>
      <c r="AW633" s="14"/>
      <c r="AX633" s="14"/>
      <c r="AY633" s="14"/>
      <c r="AZ633" s="14"/>
      <c r="BA633" s="29"/>
      <c r="BB633" s="14"/>
      <c r="BC633" s="14"/>
      <c r="BD633" s="14"/>
      <c r="BE633" s="29"/>
      <c r="BF633" s="29"/>
      <c r="BG633" s="14"/>
      <c r="BH633" s="14"/>
      <c r="BI633" s="14"/>
      <c r="BJ633" s="29"/>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3" t="s">
        <v>434</v>
      </c>
      <c r="CX633" s="13" t="s">
        <v>435</v>
      </c>
      <c r="CY633" s="13">
        <v>2021</v>
      </c>
      <c r="CZ633" s="13" t="s">
        <v>162</v>
      </c>
      <c r="DA633" s="13" t="s">
        <v>436</v>
      </c>
      <c r="DB633" s="13">
        <v>36</v>
      </c>
      <c r="DC633" s="13">
        <v>12</v>
      </c>
      <c r="DD633" s="13" t="s">
        <v>437</v>
      </c>
      <c r="DE633" s="13" t="s">
        <v>438</v>
      </c>
    </row>
    <row r="634" spans="1:109" s="13" customFormat="1" ht="20">
      <c r="A634" s="13" t="s">
        <v>1732</v>
      </c>
      <c r="B634" s="13" t="s">
        <v>1732</v>
      </c>
      <c r="C634" s="13" t="s">
        <v>439</v>
      </c>
      <c r="D634" s="13" t="s">
        <v>979</v>
      </c>
      <c r="E634" s="13" t="s">
        <v>673</v>
      </c>
      <c r="F634" s="13" t="s">
        <v>758</v>
      </c>
      <c r="G634" s="14"/>
      <c r="H634" s="13" t="s">
        <v>669</v>
      </c>
      <c r="I634" s="13" t="s">
        <v>3639</v>
      </c>
      <c r="J634" s="13" t="s">
        <v>585</v>
      </c>
      <c r="L634" s="14"/>
      <c r="M634" s="13">
        <v>15</v>
      </c>
      <c r="O634" s="15"/>
      <c r="Q634" s="13">
        <v>70.8</v>
      </c>
      <c r="R634" s="13">
        <v>5.58</v>
      </c>
      <c r="V634" s="14">
        <v>10</v>
      </c>
      <c r="W634" s="14">
        <f t="shared" si="58"/>
        <v>0.66666666666666663</v>
      </c>
      <c r="X634" s="14"/>
      <c r="Y634" s="14"/>
      <c r="Z634" s="14"/>
      <c r="AA634" s="14"/>
      <c r="AB634" s="14"/>
      <c r="AC634" s="14"/>
      <c r="AD634" s="34"/>
      <c r="AE634" s="35"/>
      <c r="AF634" s="35"/>
      <c r="AG634" s="35"/>
      <c r="AH634" s="35"/>
      <c r="AI634" s="35"/>
      <c r="AJ634" s="35"/>
      <c r="AK634" s="35"/>
      <c r="AL634" s="35"/>
      <c r="AM634" s="35"/>
      <c r="AN634" s="35"/>
      <c r="AO634" s="35"/>
      <c r="AP634" s="35"/>
      <c r="AQ634" s="35"/>
      <c r="AR634" s="35"/>
      <c r="AS634" s="35"/>
      <c r="AT634" s="35"/>
      <c r="AU634" s="14"/>
      <c r="AV634" s="14"/>
      <c r="AW634" s="14"/>
      <c r="AX634" s="14"/>
      <c r="AY634" s="14"/>
      <c r="AZ634" s="14"/>
      <c r="BA634" s="29"/>
      <c r="BB634" s="14"/>
      <c r="BC634" s="14"/>
      <c r="BD634" s="14"/>
      <c r="BE634" s="29"/>
      <c r="BF634" s="29"/>
      <c r="BG634" s="14"/>
      <c r="BH634" s="14"/>
      <c r="BI634" s="14"/>
      <c r="BJ634" s="29"/>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3" t="s">
        <v>434</v>
      </c>
      <c r="CX634" s="13" t="s">
        <v>435</v>
      </c>
      <c r="CY634" s="13">
        <v>2021</v>
      </c>
      <c r="CZ634" s="13" t="s">
        <v>162</v>
      </c>
      <c r="DA634" s="13" t="s">
        <v>436</v>
      </c>
      <c r="DB634" s="13">
        <v>36</v>
      </c>
      <c r="DC634" s="13">
        <v>12</v>
      </c>
      <c r="DD634" s="13" t="s">
        <v>437</v>
      </c>
      <c r="DE634" s="13" t="s">
        <v>438</v>
      </c>
    </row>
    <row r="635" spans="1:109" s="13" customFormat="1" ht="20">
      <c r="A635" s="13" t="s">
        <v>1732</v>
      </c>
      <c r="B635" s="13" t="s">
        <v>1732</v>
      </c>
      <c r="C635" s="13" t="s">
        <v>439</v>
      </c>
      <c r="D635" s="13" t="s">
        <v>979</v>
      </c>
      <c r="E635" s="13" t="s">
        <v>672</v>
      </c>
      <c r="F635" s="13" t="s">
        <v>981</v>
      </c>
      <c r="G635" s="14"/>
      <c r="H635" s="13" t="s">
        <v>669</v>
      </c>
      <c r="I635" s="13" t="s">
        <v>3639</v>
      </c>
      <c r="J635" s="13" t="s">
        <v>585</v>
      </c>
      <c r="L635" s="14"/>
      <c r="M635" s="13">
        <v>15</v>
      </c>
      <c r="O635" s="15"/>
      <c r="Q635" s="13">
        <v>70.8</v>
      </c>
      <c r="R635" s="13">
        <v>5.58</v>
      </c>
      <c r="V635" s="14">
        <v>10</v>
      </c>
      <c r="W635" s="14">
        <f t="shared" si="58"/>
        <v>0.66666666666666663</v>
      </c>
      <c r="X635" s="14"/>
      <c r="Y635" s="14"/>
      <c r="Z635" s="14"/>
      <c r="AA635" s="14"/>
      <c r="AB635" s="14"/>
      <c r="AC635" s="14"/>
      <c r="AD635" s="34"/>
      <c r="AE635" s="35"/>
      <c r="AF635" s="35"/>
      <c r="AG635" s="35"/>
      <c r="AH635" s="35"/>
      <c r="AI635" s="35"/>
      <c r="AJ635" s="35"/>
      <c r="AK635" s="35"/>
      <c r="AL635" s="35"/>
      <c r="AM635" s="35"/>
      <c r="AN635" s="35"/>
      <c r="AO635" s="35"/>
      <c r="AP635" s="35"/>
      <c r="AQ635" s="35"/>
      <c r="AR635" s="35"/>
      <c r="AS635" s="35"/>
      <c r="AT635" s="35"/>
      <c r="AU635" s="14"/>
      <c r="AV635" s="14"/>
      <c r="AW635" s="14"/>
      <c r="AX635" s="14"/>
      <c r="AY635" s="14"/>
      <c r="AZ635" s="14"/>
      <c r="BA635" s="29"/>
      <c r="BB635" s="14"/>
      <c r="BC635" s="14"/>
      <c r="BD635" s="14"/>
      <c r="BE635" s="29"/>
      <c r="BF635" s="29"/>
      <c r="BG635" s="14"/>
      <c r="BH635" s="14"/>
      <c r="BI635" s="14"/>
      <c r="BJ635" s="29"/>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3" t="s">
        <v>434</v>
      </c>
      <c r="CX635" s="13" t="s">
        <v>435</v>
      </c>
      <c r="CY635" s="13">
        <v>2021</v>
      </c>
      <c r="CZ635" s="13" t="s">
        <v>162</v>
      </c>
      <c r="DA635" s="13" t="s">
        <v>436</v>
      </c>
      <c r="DB635" s="13">
        <v>36</v>
      </c>
      <c r="DC635" s="13">
        <v>12</v>
      </c>
      <c r="DD635" s="13" t="s">
        <v>437</v>
      </c>
      <c r="DE635" s="13" t="s">
        <v>438</v>
      </c>
    </row>
    <row r="636" spans="1:109" s="13" customFormat="1" ht="20">
      <c r="A636" s="13" t="s">
        <v>1732</v>
      </c>
      <c r="B636" s="13" t="s">
        <v>1732</v>
      </c>
      <c r="C636" s="13" t="s">
        <v>439</v>
      </c>
      <c r="D636" s="13" t="s">
        <v>979</v>
      </c>
      <c r="E636" s="13" t="s">
        <v>673</v>
      </c>
      <c r="F636" s="13" t="s">
        <v>981</v>
      </c>
      <c r="G636" s="14"/>
      <c r="H636" s="13" t="s">
        <v>669</v>
      </c>
      <c r="I636" s="13" t="s">
        <v>3639</v>
      </c>
      <c r="J636" s="13" t="s">
        <v>585</v>
      </c>
      <c r="L636" s="14"/>
      <c r="M636" s="13">
        <v>15</v>
      </c>
      <c r="O636" s="15"/>
      <c r="Q636" s="13">
        <v>70.8</v>
      </c>
      <c r="R636" s="13">
        <v>5.58</v>
      </c>
      <c r="V636" s="14">
        <v>10</v>
      </c>
      <c r="W636" s="14">
        <f t="shared" si="58"/>
        <v>0.66666666666666663</v>
      </c>
      <c r="X636" s="14"/>
      <c r="Y636" s="14"/>
      <c r="Z636" s="14"/>
      <c r="AA636" s="14"/>
      <c r="AB636" s="14"/>
      <c r="AC636" s="14"/>
      <c r="AD636" s="34"/>
      <c r="AE636" s="35"/>
      <c r="AF636" s="35"/>
      <c r="AG636" s="35"/>
      <c r="AH636" s="35"/>
      <c r="AI636" s="35"/>
      <c r="AJ636" s="35"/>
      <c r="AK636" s="35"/>
      <c r="AL636" s="35"/>
      <c r="AM636" s="35"/>
      <c r="AN636" s="35"/>
      <c r="AO636" s="35"/>
      <c r="AP636" s="35"/>
      <c r="AQ636" s="35"/>
      <c r="AR636" s="35"/>
      <c r="AS636" s="35"/>
      <c r="AT636" s="35"/>
      <c r="AU636" s="14"/>
      <c r="AV636" s="14"/>
      <c r="AW636" s="14"/>
      <c r="AX636" s="14"/>
      <c r="AY636" s="14"/>
      <c r="AZ636" s="14"/>
      <c r="BA636" s="29"/>
      <c r="BB636" s="14"/>
      <c r="BC636" s="14"/>
      <c r="BD636" s="14"/>
      <c r="BE636" s="29"/>
      <c r="BF636" s="29"/>
      <c r="BG636" s="14"/>
      <c r="BH636" s="14"/>
      <c r="BI636" s="14"/>
      <c r="BJ636" s="29"/>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3" t="s">
        <v>434</v>
      </c>
      <c r="CX636" s="13" t="s">
        <v>435</v>
      </c>
      <c r="CY636" s="13">
        <v>2021</v>
      </c>
      <c r="CZ636" s="13" t="s">
        <v>162</v>
      </c>
      <c r="DA636" s="13" t="s">
        <v>436</v>
      </c>
      <c r="DB636" s="13">
        <v>36</v>
      </c>
      <c r="DC636" s="13">
        <v>12</v>
      </c>
      <c r="DD636" s="13" t="s">
        <v>437</v>
      </c>
      <c r="DE636" s="13" t="s">
        <v>438</v>
      </c>
    </row>
    <row r="637" spans="1:109" s="13" customFormat="1" ht="20">
      <c r="A637" s="13" t="s">
        <v>1732</v>
      </c>
      <c r="B637" s="13" t="s">
        <v>1732</v>
      </c>
      <c r="C637" s="13" t="s">
        <v>439</v>
      </c>
      <c r="D637" s="13" t="s">
        <v>979</v>
      </c>
      <c r="E637" s="13" t="s">
        <v>672</v>
      </c>
      <c r="F637" s="13" t="s">
        <v>844</v>
      </c>
      <c r="G637" s="14"/>
      <c r="H637" s="13" t="s">
        <v>669</v>
      </c>
      <c r="I637" s="13" t="s">
        <v>3639</v>
      </c>
      <c r="J637" s="13" t="s">
        <v>585</v>
      </c>
      <c r="L637" s="14"/>
      <c r="M637" s="13">
        <v>15</v>
      </c>
      <c r="O637" s="15"/>
      <c r="Q637" s="13">
        <v>70.8</v>
      </c>
      <c r="R637" s="13">
        <v>5.58</v>
      </c>
      <c r="V637" s="14">
        <v>10</v>
      </c>
      <c r="W637" s="14">
        <f t="shared" si="58"/>
        <v>0.66666666666666663</v>
      </c>
      <c r="X637" s="14"/>
      <c r="Y637" s="14"/>
      <c r="Z637" s="14"/>
      <c r="AA637" s="14"/>
      <c r="AB637" s="14"/>
      <c r="AC637" s="14"/>
      <c r="AD637" s="34"/>
      <c r="AE637" s="35"/>
      <c r="AF637" s="35"/>
      <c r="AG637" s="35"/>
      <c r="AH637" s="35"/>
      <c r="AI637" s="35"/>
      <c r="AJ637" s="35"/>
      <c r="AK637" s="35"/>
      <c r="AL637" s="35"/>
      <c r="AM637" s="35"/>
      <c r="AN637" s="35"/>
      <c r="AO637" s="35"/>
      <c r="AP637" s="35"/>
      <c r="AQ637" s="35"/>
      <c r="AR637" s="35"/>
      <c r="AS637" s="35"/>
      <c r="AT637" s="35"/>
      <c r="AU637" s="14"/>
      <c r="AV637" s="14"/>
      <c r="AW637" s="14"/>
      <c r="AX637" s="14"/>
      <c r="AY637" s="14"/>
      <c r="AZ637" s="14"/>
      <c r="BA637" s="29"/>
      <c r="BB637" s="14"/>
      <c r="BC637" s="14"/>
      <c r="BD637" s="14"/>
      <c r="BE637" s="29"/>
      <c r="BF637" s="29"/>
      <c r="BG637" s="14"/>
      <c r="BH637" s="14"/>
      <c r="BI637" s="14"/>
      <c r="BJ637" s="29"/>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3" t="s">
        <v>434</v>
      </c>
      <c r="CX637" s="13" t="s">
        <v>435</v>
      </c>
      <c r="CY637" s="13">
        <v>2021</v>
      </c>
      <c r="CZ637" s="13" t="s">
        <v>162</v>
      </c>
      <c r="DA637" s="13" t="s">
        <v>436</v>
      </c>
      <c r="DB637" s="13">
        <v>36</v>
      </c>
      <c r="DC637" s="13">
        <v>12</v>
      </c>
      <c r="DD637" s="13" t="s">
        <v>437</v>
      </c>
      <c r="DE637" s="13" t="s">
        <v>438</v>
      </c>
    </row>
    <row r="638" spans="1:109" s="13" customFormat="1" ht="20">
      <c r="A638" s="13" t="s">
        <v>1732</v>
      </c>
      <c r="B638" s="13" t="s">
        <v>1732</v>
      </c>
      <c r="C638" s="13" t="s">
        <v>439</v>
      </c>
      <c r="D638" s="13" t="s">
        <v>979</v>
      </c>
      <c r="E638" s="13" t="s">
        <v>673</v>
      </c>
      <c r="F638" s="13" t="s">
        <v>844</v>
      </c>
      <c r="G638" s="14"/>
      <c r="H638" s="13" t="s">
        <v>669</v>
      </c>
      <c r="I638" s="13" t="s">
        <v>3639</v>
      </c>
      <c r="J638" s="13" t="s">
        <v>585</v>
      </c>
      <c r="L638" s="14"/>
      <c r="M638" s="13">
        <v>15</v>
      </c>
      <c r="O638" s="15"/>
      <c r="Q638" s="13">
        <v>70.8</v>
      </c>
      <c r="R638" s="13">
        <v>5.58</v>
      </c>
      <c r="V638" s="14">
        <v>10</v>
      </c>
      <c r="W638" s="14">
        <f t="shared" si="58"/>
        <v>0.66666666666666663</v>
      </c>
      <c r="X638" s="14"/>
      <c r="Y638" s="14"/>
      <c r="Z638" s="14"/>
      <c r="AA638" s="14"/>
      <c r="AB638" s="14"/>
      <c r="AC638" s="14"/>
      <c r="AD638" s="34"/>
      <c r="AE638" s="35"/>
      <c r="AF638" s="35"/>
      <c r="AG638" s="35"/>
      <c r="AH638" s="35"/>
      <c r="AI638" s="35"/>
      <c r="AJ638" s="35"/>
      <c r="AK638" s="35"/>
      <c r="AL638" s="35"/>
      <c r="AM638" s="35"/>
      <c r="AN638" s="35"/>
      <c r="AO638" s="35"/>
      <c r="AP638" s="35"/>
      <c r="AQ638" s="35"/>
      <c r="AR638" s="35"/>
      <c r="AS638" s="35"/>
      <c r="AT638" s="35"/>
      <c r="AU638" s="14"/>
      <c r="AV638" s="14"/>
      <c r="AW638" s="14"/>
      <c r="AX638" s="14"/>
      <c r="AY638" s="14"/>
      <c r="AZ638" s="14"/>
      <c r="BA638" s="29"/>
      <c r="BB638" s="14"/>
      <c r="BC638" s="14"/>
      <c r="BD638" s="14"/>
      <c r="BE638" s="29"/>
      <c r="BF638" s="29"/>
      <c r="BG638" s="14"/>
      <c r="BH638" s="14"/>
      <c r="BI638" s="14"/>
      <c r="BJ638" s="29"/>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3" t="s">
        <v>434</v>
      </c>
      <c r="CX638" s="13" t="s">
        <v>435</v>
      </c>
      <c r="CY638" s="13">
        <v>2021</v>
      </c>
      <c r="CZ638" s="13" t="s">
        <v>162</v>
      </c>
      <c r="DA638" s="13" t="s">
        <v>436</v>
      </c>
      <c r="DB638" s="13">
        <v>36</v>
      </c>
      <c r="DC638" s="13">
        <v>12</v>
      </c>
      <c r="DD638" s="13" t="s">
        <v>437</v>
      </c>
      <c r="DE638" s="13" t="s">
        <v>438</v>
      </c>
    </row>
    <row r="639" spans="1:109" s="13" customFormat="1" ht="20">
      <c r="A639" s="13" t="s">
        <v>1732</v>
      </c>
      <c r="B639" s="13" t="s">
        <v>1732</v>
      </c>
      <c r="C639" s="13" t="s">
        <v>439</v>
      </c>
      <c r="D639" s="13" t="s">
        <v>979</v>
      </c>
      <c r="E639" s="13" t="s">
        <v>672</v>
      </c>
      <c r="F639" s="13" t="s">
        <v>679</v>
      </c>
      <c r="G639" s="14"/>
      <c r="H639" s="13" t="s">
        <v>669</v>
      </c>
      <c r="I639" s="13" t="s">
        <v>3639</v>
      </c>
      <c r="J639" s="13" t="s">
        <v>585</v>
      </c>
      <c r="L639" s="14"/>
      <c r="M639" s="13">
        <v>15</v>
      </c>
      <c r="O639" s="15"/>
      <c r="Q639" s="13">
        <v>70.8</v>
      </c>
      <c r="R639" s="13">
        <v>5.58</v>
      </c>
      <c r="V639" s="14">
        <v>10</v>
      </c>
      <c r="W639" s="14">
        <f t="shared" si="58"/>
        <v>0.66666666666666663</v>
      </c>
      <c r="X639" s="14"/>
      <c r="Y639" s="14"/>
      <c r="Z639" s="14"/>
      <c r="AA639" s="14"/>
      <c r="AB639" s="14"/>
      <c r="AC639" s="14"/>
      <c r="AD639" s="34"/>
      <c r="AE639" s="35"/>
      <c r="AF639" s="35"/>
      <c r="AG639" s="35"/>
      <c r="AH639" s="35"/>
      <c r="AI639" s="35"/>
      <c r="AJ639" s="35"/>
      <c r="AK639" s="35"/>
      <c r="AL639" s="35"/>
      <c r="AM639" s="35"/>
      <c r="AN639" s="35"/>
      <c r="AO639" s="35"/>
      <c r="AP639" s="35"/>
      <c r="AQ639" s="35"/>
      <c r="AR639" s="35"/>
      <c r="AS639" s="35"/>
      <c r="AT639" s="35"/>
      <c r="AU639" s="14"/>
      <c r="AV639" s="14"/>
      <c r="AW639" s="14"/>
      <c r="AX639" s="14"/>
      <c r="AY639" s="14"/>
      <c r="AZ639" s="14"/>
      <c r="BA639" s="29"/>
      <c r="BB639" s="14"/>
      <c r="BC639" s="14"/>
      <c r="BD639" s="14"/>
      <c r="BE639" s="29"/>
      <c r="BF639" s="29"/>
      <c r="BG639" s="14"/>
      <c r="BH639" s="14"/>
      <c r="BI639" s="14"/>
      <c r="BJ639" s="29"/>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3" t="s">
        <v>434</v>
      </c>
      <c r="CX639" s="13" t="s">
        <v>435</v>
      </c>
      <c r="CY639" s="13">
        <v>2021</v>
      </c>
      <c r="CZ639" s="13" t="s">
        <v>162</v>
      </c>
      <c r="DA639" s="13" t="s">
        <v>436</v>
      </c>
      <c r="DB639" s="13">
        <v>36</v>
      </c>
      <c r="DC639" s="13">
        <v>12</v>
      </c>
      <c r="DD639" s="13" t="s">
        <v>437</v>
      </c>
      <c r="DE639" s="13" t="s">
        <v>438</v>
      </c>
    </row>
    <row r="640" spans="1:109" s="13" customFormat="1" ht="20">
      <c r="A640" s="13" t="s">
        <v>1732</v>
      </c>
      <c r="B640" s="13" t="s">
        <v>1732</v>
      </c>
      <c r="C640" s="13" t="s">
        <v>439</v>
      </c>
      <c r="D640" s="13" t="s">
        <v>979</v>
      </c>
      <c r="E640" s="13" t="s">
        <v>673</v>
      </c>
      <c r="F640" s="13" t="s">
        <v>679</v>
      </c>
      <c r="G640" s="14"/>
      <c r="H640" s="13" t="s">
        <v>669</v>
      </c>
      <c r="I640" s="13" t="s">
        <v>3639</v>
      </c>
      <c r="J640" s="13" t="s">
        <v>585</v>
      </c>
      <c r="L640" s="14"/>
      <c r="M640" s="13">
        <v>15</v>
      </c>
      <c r="O640" s="15"/>
      <c r="Q640" s="13">
        <v>70.8</v>
      </c>
      <c r="R640" s="13">
        <v>5.58</v>
      </c>
      <c r="V640" s="14">
        <v>10</v>
      </c>
      <c r="W640" s="14">
        <f t="shared" si="58"/>
        <v>0.66666666666666663</v>
      </c>
      <c r="X640" s="14"/>
      <c r="Y640" s="14"/>
      <c r="Z640" s="14"/>
      <c r="AA640" s="14"/>
      <c r="AB640" s="14"/>
      <c r="AC640" s="14"/>
      <c r="AD640" s="34"/>
      <c r="AE640" s="35"/>
      <c r="AF640" s="35"/>
      <c r="AG640" s="35"/>
      <c r="AH640" s="35"/>
      <c r="AI640" s="35"/>
      <c r="AJ640" s="35"/>
      <c r="AK640" s="35"/>
      <c r="AL640" s="35"/>
      <c r="AM640" s="35"/>
      <c r="AN640" s="35"/>
      <c r="AO640" s="35"/>
      <c r="AP640" s="35"/>
      <c r="AQ640" s="35"/>
      <c r="AR640" s="35"/>
      <c r="AS640" s="35"/>
      <c r="AT640" s="35"/>
      <c r="AU640" s="14"/>
      <c r="AV640" s="14"/>
      <c r="AW640" s="14"/>
      <c r="AX640" s="14"/>
      <c r="AY640" s="14"/>
      <c r="AZ640" s="14"/>
      <c r="BA640" s="29"/>
      <c r="BB640" s="14"/>
      <c r="BC640" s="14"/>
      <c r="BD640" s="14"/>
      <c r="BE640" s="29"/>
      <c r="BF640" s="29"/>
      <c r="BG640" s="14"/>
      <c r="BH640" s="14"/>
      <c r="BI640" s="14"/>
      <c r="BJ640" s="29"/>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3" t="s">
        <v>434</v>
      </c>
      <c r="CX640" s="13" t="s">
        <v>435</v>
      </c>
      <c r="CY640" s="13">
        <v>2021</v>
      </c>
      <c r="CZ640" s="13" t="s">
        <v>162</v>
      </c>
      <c r="DA640" s="13" t="s">
        <v>436</v>
      </c>
      <c r="DB640" s="13">
        <v>36</v>
      </c>
      <c r="DC640" s="13">
        <v>12</v>
      </c>
      <c r="DD640" s="13" t="s">
        <v>437</v>
      </c>
      <c r="DE640" s="13" t="s">
        <v>438</v>
      </c>
    </row>
    <row r="641" spans="1:109" s="13" customFormat="1" ht="20">
      <c r="A641" s="13" t="s">
        <v>1733</v>
      </c>
      <c r="B641" s="13" t="s">
        <v>1733</v>
      </c>
      <c r="C641" s="13" t="s">
        <v>444</v>
      </c>
      <c r="D641" s="14" t="s">
        <v>4179</v>
      </c>
      <c r="F641" s="13" t="s">
        <v>675</v>
      </c>
      <c r="G641" s="14"/>
      <c r="L641" s="14"/>
      <c r="V641" s="14"/>
      <c r="W641" s="14"/>
      <c r="X641" s="14"/>
      <c r="Y641" s="14"/>
      <c r="Z641" s="14"/>
      <c r="AA641" s="14"/>
      <c r="AB641" s="14"/>
      <c r="AC641" s="14"/>
      <c r="AD641" s="34"/>
      <c r="AE641" s="35"/>
      <c r="AF641" s="35"/>
      <c r="AG641" s="35"/>
      <c r="AH641" s="35"/>
      <c r="AI641" s="35"/>
      <c r="AJ641" s="35"/>
      <c r="AK641" s="35"/>
      <c r="AL641" s="35"/>
      <c r="AM641" s="35"/>
      <c r="AN641" s="35"/>
      <c r="AO641" s="35"/>
      <c r="AP641" s="35"/>
      <c r="AQ641" s="35"/>
      <c r="AR641" s="35"/>
      <c r="AS641" s="35"/>
      <c r="AT641" s="35"/>
      <c r="AU641" s="14"/>
      <c r="AV641" s="14"/>
      <c r="AW641" s="14"/>
      <c r="AX641" s="14"/>
      <c r="AY641" s="14"/>
      <c r="AZ641" s="14"/>
      <c r="BA641" s="29"/>
      <c r="BB641" s="14"/>
      <c r="BC641" s="14"/>
      <c r="BD641" s="14"/>
      <c r="BE641" s="29"/>
      <c r="BF641" s="29"/>
      <c r="BG641" s="14"/>
      <c r="BH641" s="14"/>
      <c r="BI641" s="14"/>
      <c r="BJ641" s="29"/>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3" t="s">
        <v>440</v>
      </c>
      <c r="CX641" s="13" t="s">
        <v>441</v>
      </c>
      <c r="CY641" s="13">
        <v>2022</v>
      </c>
      <c r="CZ641" s="13" t="s">
        <v>119</v>
      </c>
      <c r="DA641" s="13" t="s">
        <v>64</v>
      </c>
      <c r="DB641" s="13">
        <v>23</v>
      </c>
      <c r="DC641" s="13">
        <v>45418</v>
      </c>
      <c r="DD641" s="13" t="s">
        <v>442</v>
      </c>
      <c r="DE641" s="13" t="s">
        <v>443</v>
      </c>
    </row>
    <row r="642" spans="1:109" s="13" customFormat="1" ht="20">
      <c r="A642" s="14" t="s">
        <v>1900</v>
      </c>
      <c r="B642" s="14" t="s">
        <v>1734</v>
      </c>
      <c r="C642" s="14" t="s">
        <v>449</v>
      </c>
      <c r="D642" s="14" t="s">
        <v>4179</v>
      </c>
      <c r="E642" s="14"/>
      <c r="F642" s="29" t="s">
        <v>675</v>
      </c>
      <c r="G642" s="14"/>
      <c r="H642" s="14"/>
      <c r="I642" s="14"/>
      <c r="J642" s="14"/>
      <c r="K642" s="14"/>
      <c r="L642" s="14"/>
      <c r="M642" s="14"/>
      <c r="N642" s="14"/>
      <c r="O642" s="34"/>
      <c r="P642" s="14"/>
      <c r="Q642" s="14"/>
      <c r="R642" s="14"/>
      <c r="S642" s="14"/>
      <c r="T642" s="14"/>
      <c r="U642" s="14"/>
      <c r="V642" s="14"/>
      <c r="W642" s="14"/>
      <c r="X642" s="14"/>
      <c r="Y642" s="14"/>
      <c r="Z642" s="14"/>
      <c r="AA642" s="14"/>
      <c r="AB642" s="14"/>
      <c r="AC642" s="14"/>
      <c r="AD642" s="34"/>
      <c r="AE642" s="35"/>
      <c r="AF642" s="35"/>
      <c r="AG642" s="35"/>
      <c r="AH642" s="35"/>
      <c r="AI642" s="35"/>
      <c r="AJ642" s="35"/>
      <c r="AK642" s="35"/>
      <c r="AL642" s="35"/>
      <c r="AM642" s="35"/>
      <c r="AN642" s="35"/>
      <c r="AO642" s="35"/>
      <c r="AP642" s="35"/>
      <c r="AQ642" s="35"/>
      <c r="AR642" s="35"/>
      <c r="AS642" s="35"/>
      <c r="AT642" s="35"/>
      <c r="AU642" s="14"/>
      <c r="AV642" s="14"/>
      <c r="AW642" s="14"/>
      <c r="AX642" s="14"/>
      <c r="AY642" s="14"/>
      <c r="AZ642" s="14"/>
      <c r="BA642" s="29"/>
      <c r="BB642" s="14"/>
      <c r="BC642" s="14"/>
      <c r="BD642" s="14"/>
      <c r="BE642" s="29"/>
      <c r="BF642" s="29"/>
      <c r="BG642" s="14"/>
      <c r="BH642" s="14"/>
      <c r="BI642" s="14"/>
      <c r="BJ642" s="29"/>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t="s">
        <v>445</v>
      </c>
      <c r="CX642" s="14" t="s">
        <v>446</v>
      </c>
      <c r="CY642" s="14">
        <v>2024</v>
      </c>
      <c r="CZ642" s="36">
        <v>45398</v>
      </c>
      <c r="DA642" s="14" t="s">
        <v>447</v>
      </c>
      <c r="DB642" s="14">
        <v>15</v>
      </c>
      <c r="DC642" s="14">
        <v>4</v>
      </c>
      <c r="DD642" s="14"/>
      <c r="DE642" s="14" t="s">
        <v>448</v>
      </c>
    </row>
    <row r="643" spans="1:109" s="13" customFormat="1" ht="20">
      <c r="A643" s="14" t="s">
        <v>1901</v>
      </c>
      <c r="B643" s="14" t="s">
        <v>1735</v>
      </c>
      <c r="C643" s="14" t="s">
        <v>454</v>
      </c>
      <c r="D643" s="14" t="s">
        <v>982</v>
      </c>
      <c r="E643" s="14" t="s">
        <v>673</v>
      </c>
      <c r="F643" s="14" t="s">
        <v>675</v>
      </c>
      <c r="G643" s="14"/>
      <c r="H643" s="14" t="s">
        <v>712</v>
      </c>
      <c r="I643" s="14" t="s">
        <v>3166</v>
      </c>
      <c r="J643" s="14" t="s">
        <v>585</v>
      </c>
      <c r="K643" s="14"/>
      <c r="L643" s="14" t="s">
        <v>639</v>
      </c>
      <c r="M643" s="14">
        <v>52</v>
      </c>
      <c r="N643" s="14"/>
      <c r="O643" s="34"/>
      <c r="P643" s="14"/>
      <c r="Q643" s="14">
        <v>59.17</v>
      </c>
      <c r="R643" s="14">
        <v>11.28</v>
      </c>
      <c r="S643" s="14"/>
      <c r="T643" s="14"/>
      <c r="U643" s="14"/>
      <c r="V643" s="14">
        <v>30</v>
      </c>
      <c r="W643" s="14">
        <f t="shared" ref="W643:W659" si="60">V643/M643</f>
        <v>0.57692307692307687</v>
      </c>
      <c r="X643" s="14"/>
      <c r="Y643" s="14"/>
      <c r="Z643" s="14">
        <v>37.5</v>
      </c>
      <c r="AA643" s="14">
        <v>30</v>
      </c>
      <c r="AB643" s="14">
        <v>41</v>
      </c>
      <c r="AC643" s="14">
        <v>36</v>
      </c>
      <c r="AD643" s="34">
        <f t="shared" ref="AD643:AD648" si="61">AC643/M643</f>
        <v>0.69230769230769229</v>
      </c>
      <c r="AE643" s="35"/>
      <c r="AF643" s="35"/>
      <c r="AG643" s="35">
        <v>8</v>
      </c>
      <c r="AH643" s="35">
        <v>5</v>
      </c>
      <c r="AI643" s="35">
        <v>12.8</v>
      </c>
      <c r="AJ643" s="35"/>
      <c r="AK643" s="35"/>
      <c r="AL643" s="35"/>
      <c r="AM643" s="35"/>
      <c r="AN643" s="35"/>
      <c r="AO643" s="35"/>
      <c r="AP643" s="35"/>
      <c r="AQ643" s="35"/>
      <c r="AR643" s="35"/>
      <c r="AS643" s="35"/>
      <c r="AT643" s="35"/>
      <c r="AU643" s="14" t="s">
        <v>2799</v>
      </c>
      <c r="AV643" s="14"/>
      <c r="AW643" s="14"/>
      <c r="AX643" s="14"/>
      <c r="AY643" s="14"/>
      <c r="AZ643" s="14"/>
      <c r="BA643" s="14" t="s">
        <v>2674</v>
      </c>
      <c r="BB643" s="14">
        <v>3.5150000000000001</v>
      </c>
      <c r="BC643" s="14">
        <v>1.552</v>
      </c>
      <c r="BD643" s="14">
        <v>7.9630000000000001</v>
      </c>
      <c r="BE643" s="14" t="s">
        <v>2837</v>
      </c>
      <c r="BF643" s="29"/>
      <c r="BG643" s="14"/>
      <c r="BH643" s="14"/>
      <c r="BI643" s="14"/>
      <c r="BJ643" s="29" t="s">
        <v>2674</v>
      </c>
      <c r="BK643" s="14">
        <v>3.6259999999999999</v>
      </c>
      <c r="BL643" s="14">
        <v>1.538</v>
      </c>
      <c r="BM643" s="14">
        <v>8.5510000000000002</v>
      </c>
      <c r="BN643" s="14" t="s">
        <v>2231</v>
      </c>
      <c r="BO643" s="14" t="s">
        <v>2490</v>
      </c>
      <c r="BP643" s="14" t="s">
        <v>2490</v>
      </c>
      <c r="BQ643" s="14">
        <v>0.56799999999999995</v>
      </c>
      <c r="BR643" s="14"/>
      <c r="BS643" s="14"/>
      <c r="BT643" s="14"/>
      <c r="BU643" s="14" t="s">
        <v>701</v>
      </c>
      <c r="BV643" s="14"/>
      <c r="BW643" s="14"/>
      <c r="BX643" s="14"/>
      <c r="BY643" s="14"/>
      <c r="BZ643" s="14"/>
      <c r="CA643" s="14"/>
      <c r="CB643" s="14"/>
      <c r="CC643" s="14">
        <v>-0.46400000000000002</v>
      </c>
      <c r="CD643" s="14"/>
      <c r="CE643" s="14"/>
      <c r="CF643" s="14"/>
      <c r="CG643" s="14">
        <v>1E-3</v>
      </c>
      <c r="CH643" s="14"/>
      <c r="CI643" s="14"/>
      <c r="CJ643" s="14"/>
      <c r="CK643" s="14"/>
      <c r="CL643" s="14"/>
      <c r="CM643" s="14"/>
      <c r="CN643" s="14"/>
      <c r="CO643" s="14"/>
      <c r="CP643" s="14"/>
      <c r="CQ643" s="14"/>
      <c r="CR643" s="14"/>
      <c r="CS643" s="14"/>
      <c r="CT643" s="14"/>
      <c r="CU643" s="14"/>
      <c r="CV643" s="14" t="s">
        <v>2836</v>
      </c>
      <c r="CW643" s="14" t="s">
        <v>450</v>
      </c>
      <c r="CX643" s="14" t="s">
        <v>451</v>
      </c>
      <c r="CY643" s="14">
        <v>2022</v>
      </c>
      <c r="CZ643" s="36" t="s">
        <v>73</v>
      </c>
      <c r="DA643" s="14" t="s">
        <v>189</v>
      </c>
      <c r="DB643" s="14">
        <v>26</v>
      </c>
      <c r="DC643" s="14">
        <v>2</v>
      </c>
      <c r="DD643" s="14" t="s">
        <v>452</v>
      </c>
      <c r="DE643" s="14" t="s">
        <v>453</v>
      </c>
    </row>
    <row r="644" spans="1:109" s="13" customFormat="1" ht="20">
      <c r="A644" s="14" t="s">
        <v>1901</v>
      </c>
      <c r="B644" s="14" t="s">
        <v>1735</v>
      </c>
      <c r="C644" s="14" t="s">
        <v>454</v>
      </c>
      <c r="D644" s="14" t="s">
        <v>982</v>
      </c>
      <c r="E644" s="14" t="s">
        <v>673</v>
      </c>
      <c r="F644" s="14" t="s">
        <v>686</v>
      </c>
      <c r="G644" s="14"/>
      <c r="H644" s="14" t="s">
        <v>712</v>
      </c>
      <c r="I644" s="14" t="s">
        <v>3166</v>
      </c>
      <c r="J644" s="14" t="s">
        <v>585</v>
      </c>
      <c r="K644" s="14"/>
      <c r="L644" s="14" t="s">
        <v>639</v>
      </c>
      <c r="M644" s="14">
        <v>52</v>
      </c>
      <c r="N644" s="14"/>
      <c r="O644" s="34"/>
      <c r="P644" s="14"/>
      <c r="Q644" s="14">
        <v>59.17</v>
      </c>
      <c r="R644" s="14">
        <v>11.28</v>
      </c>
      <c r="S644" s="14"/>
      <c r="T644" s="14"/>
      <c r="U644" s="14"/>
      <c r="V644" s="14">
        <v>30</v>
      </c>
      <c r="W644" s="14">
        <f t="shared" si="60"/>
        <v>0.57692307692307687</v>
      </c>
      <c r="X644" s="14"/>
      <c r="Y644" s="14"/>
      <c r="Z644" s="14">
        <v>37.5</v>
      </c>
      <c r="AA644" s="14">
        <v>30</v>
      </c>
      <c r="AB644" s="14">
        <v>41</v>
      </c>
      <c r="AC644" s="14">
        <v>36</v>
      </c>
      <c r="AD644" s="34">
        <f t="shared" si="61"/>
        <v>0.69230769230769229</v>
      </c>
      <c r="AE644" s="35"/>
      <c r="AF644" s="35"/>
      <c r="AG644" s="35">
        <v>8</v>
      </c>
      <c r="AH644" s="35">
        <v>5</v>
      </c>
      <c r="AI644" s="35">
        <v>12.8</v>
      </c>
      <c r="AJ644" s="35"/>
      <c r="AK644" s="35"/>
      <c r="AL644" s="35"/>
      <c r="AM644" s="35"/>
      <c r="AN644" s="35"/>
      <c r="AO644" s="35"/>
      <c r="AP644" s="35"/>
      <c r="AQ644" s="35"/>
      <c r="AR644" s="35"/>
      <c r="AS644" s="35"/>
      <c r="AT644" s="35"/>
      <c r="AU644" s="14" t="s">
        <v>2799</v>
      </c>
      <c r="AV644" s="14"/>
      <c r="AW644" s="14"/>
      <c r="AX644" s="14"/>
      <c r="AY644" s="14"/>
      <c r="AZ644" s="14"/>
      <c r="BA644" s="14" t="s">
        <v>2674</v>
      </c>
      <c r="BB644" s="14">
        <v>3.4220000000000002</v>
      </c>
      <c r="BC644" s="14">
        <v>1.506</v>
      </c>
      <c r="BD644" s="14">
        <v>7.7729999999999997</v>
      </c>
      <c r="BE644" s="14" t="s">
        <v>2837</v>
      </c>
      <c r="BF644" s="29"/>
      <c r="BG644" s="14"/>
      <c r="BH644" s="14"/>
      <c r="BI644" s="14"/>
      <c r="BJ644" s="29" t="s">
        <v>2674</v>
      </c>
      <c r="BK644" s="14">
        <v>3.694</v>
      </c>
      <c r="BL644" s="14">
        <v>1.569</v>
      </c>
      <c r="BM644" s="14">
        <v>8.6980000000000004</v>
      </c>
      <c r="BN644" s="14" t="s">
        <v>2231</v>
      </c>
      <c r="BO644" s="14" t="s">
        <v>2490</v>
      </c>
      <c r="BP644" s="14" t="s">
        <v>2490</v>
      </c>
      <c r="BQ644" s="14">
        <v>0.83699999999999997</v>
      </c>
      <c r="BR644" s="14"/>
      <c r="BS644" s="14"/>
      <c r="BT644" s="14"/>
      <c r="BU644" s="14" t="s">
        <v>701</v>
      </c>
      <c r="BV644" s="14"/>
      <c r="BW644" s="14"/>
      <c r="BX644" s="14"/>
      <c r="BY644" s="14"/>
      <c r="BZ644" s="14"/>
      <c r="CA644" s="14"/>
      <c r="CB644" s="14"/>
      <c r="CC644" s="14">
        <v>-0.627</v>
      </c>
      <c r="CD644" s="14"/>
      <c r="CE644" s="14"/>
      <c r="CF644" s="14"/>
      <c r="CG644" s="14" t="s">
        <v>701</v>
      </c>
      <c r="CH644" s="14"/>
      <c r="CI644" s="14"/>
      <c r="CJ644" s="14"/>
      <c r="CK644" s="14"/>
      <c r="CL644" s="14"/>
      <c r="CM644" s="14"/>
      <c r="CN644" s="14"/>
      <c r="CO644" s="14"/>
      <c r="CP644" s="14"/>
      <c r="CQ644" s="14"/>
      <c r="CR644" s="14"/>
      <c r="CS644" s="14"/>
      <c r="CT644" s="14"/>
      <c r="CU644" s="14"/>
      <c r="CV644" s="14" t="s">
        <v>2836</v>
      </c>
      <c r="CW644" s="14" t="s">
        <v>450</v>
      </c>
      <c r="CX644" s="14" t="s">
        <v>451</v>
      </c>
      <c r="CY644" s="14">
        <v>2022</v>
      </c>
      <c r="CZ644" s="36" t="s">
        <v>73</v>
      </c>
      <c r="DA644" s="14" t="s">
        <v>189</v>
      </c>
      <c r="DB644" s="14">
        <v>26</v>
      </c>
      <c r="DC644" s="14">
        <v>2</v>
      </c>
      <c r="DD644" s="14" t="s">
        <v>452</v>
      </c>
      <c r="DE644" s="14" t="s">
        <v>453</v>
      </c>
    </row>
    <row r="645" spans="1:109" s="13" customFormat="1" ht="20">
      <c r="A645" s="14" t="s">
        <v>1901</v>
      </c>
      <c r="B645" s="14" t="s">
        <v>1735</v>
      </c>
      <c r="C645" s="14" t="s">
        <v>454</v>
      </c>
      <c r="D645" s="14" t="s">
        <v>982</v>
      </c>
      <c r="E645" s="14" t="s">
        <v>672</v>
      </c>
      <c r="F645" s="14" t="s">
        <v>675</v>
      </c>
      <c r="G645" s="14"/>
      <c r="H645" s="14" t="s">
        <v>712</v>
      </c>
      <c r="I645" s="14" t="s">
        <v>3166</v>
      </c>
      <c r="J645" s="14" t="s">
        <v>585</v>
      </c>
      <c r="K645" s="14"/>
      <c r="L645" s="14" t="s">
        <v>639</v>
      </c>
      <c r="M645" s="14">
        <v>37</v>
      </c>
      <c r="N645" s="14"/>
      <c r="O645" s="34"/>
      <c r="P645" s="14"/>
      <c r="Q645" s="14">
        <v>60.27</v>
      </c>
      <c r="R645" s="14">
        <v>10.45</v>
      </c>
      <c r="S645" s="14"/>
      <c r="T645" s="14"/>
      <c r="U645" s="14"/>
      <c r="V645" s="14">
        <v>23</v>
      </c>
      <c r="W645" s="14">
        <f t="shared" si="60"/>
        <v>0.6216216216216216</v>
      </c>
      <c r="X645" s="14"/>
      <c r="Y645" s="14"/>
      <c r="Z645" s="14">
        <v>38</v>
      </c>
      <c r="AA645" s="14">
        <v>30</v>
      </c>
      <c r="AB645" s="14">
        <v>41.5</v>
      </c>
      <c r="AC645" s="14">
        <v>24</v>
      </c>
      <c r="AD645" s="34">
        <f t="shared" si="61"/>
        <v>0.64864864864864868</v>
      </c>
      <c r="AE645" s="35"/>
      <c r="AF645" s="35"/>
      <c r="AG645" s="35">
        <v>8</v>
      </c>
      <c r="AH645" s="35">
        <v>6</v>
      </c>
      <c r="AI645" s="35">
        <v>13</v>
      </c>
      <c r="AJ645" s="35"/>
      <c r="AK645" s="35"/>
      <c r="AL645" s="35"/>
      <c r="AM645" s="35"/>
      <c r="AN645" s="35"/>
      <c r="AO645" s="35"/>
      <c r="AP645" s="35"/>
      <c r="AQ645" s="35"/>
      <c r="AR645" s="35"/>
      <c r="AS645" s="35"/>
      <c r="AT645" s="35"/>
      <c r="AU645" s="14" t="s">
        <v>2799</v>
      </c>
      <c r="AV645" s="14"/>
      <c r="AW645" s="14"/>
      <c r="AX645" s="14"/>
      <c r="AY645" s="14"/>
      <c r="AZ645" s="14"/>
      <c r="BA645" s="14" t="s">
        <v>2674</v>
      </c>
      <c r="BB645" s="14">
        <v>4.218</v>
      </c>
      <c r="BC645" s="14">
        <v>1.518</v>
      </c>
      <c r="BD645" s="14">
        <v>11.721</v>
      </c>
      <c r="BE645" s="14" t="s">
        <v>2837</v>
      </c>
      <c r="BF645" s="29"/>
      <c r="BG645" s="14"/>
      <c r="BH645" s="14"/>
      <c r="BI645" s="14"/>
      <c r="BJ645" s="29" t="s">
        <v>2674</v>
      </c>
      <c r="BK645" s="14">
        <v>2.9990000000000001</v>
      </c>
      <c r="BL645" s="14">
        <v>0.91300000000000003</v>
      </c>
      <c r="BM645" s="14">
        <v>9.85</v>
      </c>
      <c r="BN645" s="14" t="s">
        <v>2231</v>
      </c>
      <c r="BO645" s="14" t="s">
        <v>2490</v>
      </c>
      <c r="BP645" s="14" t="s">
        <v>2490</v>
      </c>
      <c r="BQ645" s="14">
        <v>0.81100000000000005</v>
      </c>
      <c r="BR645" s="14"/>
      <c r="BS645" s="14"/>
      <c r="BT645" s="14"/>
      <c r="BU645" s="14" t="s">
        <v>635</v>
      </c>
      <c r="BV645" s="14"/>
      <c r="BW645" s="14"/>
      <c r="BX645" s="14"/>
      <c r="BY645" s="14"/>
      <c r="BZ645" s="14"/>
      <c r="CA645" s="14"/>
      <c r="CB645" s="14"/>
      <c r="CC645" s="14">
        <v>-0.73399999999999999</v>
      </c>
      <c r="CD645" s="14"/>
      <c r="CE645" s="14"/>
      <c r="CF645" s="14"/>
      <c r="CG645" s="14" t="s">
        <v>701</v>
      </c>
      <c r="CH645" s="14"/>
      <c r="CI645" s="14"/>
      <c r="CJ645" s="14"/>
      <c r="CK645" s="14"/>
      <c r="CL645" s="14"/>
      <c r="CM645" s="14"/>
      <c r="CN645" s="14"/>
      <c r="CO645" s="14"/>
      <c r="CP645" s="14"/>
      <c r="CQ645" s="14"/>
      <c r="CR645" s="14"/>
      <c r="CS645" s="14"/>
      <c r="CT645" s="14"/>
      <c r="CU645" s="14"/>
      <c r="CV645" s="14" t="s">
        <v>2836</v>
      </c>
      <c r="CW645" s="14" t="s">
        <v>450</v>
      </c>
      <c r="CX645" s="14" t="s">
        <v>451</v>
      </c>
      <c r="CY645" s="14">
        <v>2022</v>
      </c>
      <c r="CZ645" s="36" t="s">
        <v>73</v>
      </c>
      <c r="DA645" s="14" t="s">
        <v>189</v>
      </c>
      <c r="DB645" s="14">
        <v>26</v>
      </c>
      <c r="DC645" s="14">
        <v>2</v>
      </c>
      <c r="DD645" s="14" t="s">
        <v>452</v>
      </c>
      <c r="DE645" s="14" t="s">
        <v>453</v>
      </c>
    </row>
    <row r="646" spans="1:109" s="13" customFormat="1" ht="20">
      <c r="A646" s="14" t="s">
        <v>1901</v>
      </c>
      <c r="B646" s="14" t="s">
        <v>1735</v>
      </c>
      <c r="C646" s="14" t="s">
        <v>454</v>
      </c>
      <c r="D646" s="14" t="s">
        <v>982</v>
      </c>
      <c r="E646" s="14" t="s">
        <v>672</v>
      </c>
      <c r="F646" s="14" t="s">
        <v>686</v>
      </c>
      <c r="G646" s="14"/>
      <c r="H646" s="14" t="s">
        <v>712</v>
      </c>
      <c r="I646" s="14" t="s">
        <v>4095</v>
      </c>
      <c r="J646" s="14" t="s">
        <v>585</v>
      </c>
      <c r="K646" s="14"/>
      <c r="L646" s="14" t="s">
        <v>639</v>
      </c>
      <c r="M646" s="14">
        <v>37</v>
      </c>
      <c r="N646" s="14"/>
      <c r="O646" s="34"/>
      <c r="P646" s="14"/>
      <c r="Q646" s="14">
        <v>60.27</v>
      </c>
      <c r="R646" s="14">
        <v>10.45</v>
      </c>
      <c r="S646" s="14"/>
      <c r="T646" s="14"/>
      <c r="U646" s="14"/>
      <c r="V646" s="14">
        <v>23</v>
      </c>
      <c r="W646" s="14">
        <f t="shared" si="60"/>
        <v>0.6216216216216216</v>
      </c>
      <c r="X646" s="14"/>
      <c r="Y646" s="14"/>
      <c r="Z646" s="14">
        <v>38</v>
      </c>
      <c r="AA646" s="14">
        <v>30</v>
      </c>
      <c r="AB646" s="14">
        <v>41.5</v>
      </c>
      <c r="AC646" s="14">
        <v>24</v>
      </c>
      <c r="AD646" s="34">
        <f t="shared" si="61"/>
        <v>0.64864864864864868</v>
      </c>
      <c r="AE646" s="35"/>
      <c r="AF646" s="35"/>
      <c r="AG646" s="35">
        <v>8</v>
      </c>
      <c r="AH646" s="35">
        <v>6</v>
      </c>
      <c r="AI646" s="35">
        <v>13</v>
      </c>
      <c r="AJ646" s="35"/>
      <c r="AK646" s="35"/>
      <c r="AL646" s="35"/>
      <c r="AM646" s="35"/>
      <c r="AN646" s="35"/>
      <c r="AO646" s="35"/>
      <c r="AP646" s="35"/>
      <c r="AQ646" s="35"/>
      <c r="AR646" s="35"/>
      <c r="AS646" s="35"/>
      <c r="AT646" s="35"/>
      <c r="AU646" s="14" t="s">
        <v>2799</v>
      </c>
      <c r="AV646" s="14"/>
      <c r="AW646" s="14"/>
      <c r="AX646" s="14"/>
      <c r="AY646" s="14"/>
      <c r="AZ646" s="14"/>
      <c r="BA646" s="14" t="s">
        <v>2674</v>
      </c>
      <c r="BB646" s="14">
        <v>4.6470000000000002</v>
      </c>
      <c r="BC646" s="14">
        <v>1.651</v>
      </c>
      <c r="BD646" s="14">
        <v>13.073</v>
      </c>
      <c r="BE646" s="14" t="s">
        <v>2837</v>
      </c>
      <c r="BF646" s="29"/>
      <c r="BG646" s="14"/>
      <c r="BH646" s="14"/>
      <c r="BI646" s="14"/>
      <c r="BJ646" s="29" t="s">
        <v>2674</v>
      </c>
      <c r="BK646" s="14">
        <v>3.4710000000000001</v>
      </c>
      <c r="BL646" s="14">
        <v>1.03</v>
      </c>
      <c r="BM646" s="14">
        <v>11.696999999999999</v>
      </c>
      <c r="BN646" s="14" t="s">
        <v>2231</v>
      </c>
      <c r="BO646" s="14" t="s">
        <v>2490</v>
      </c>
      <c r="BP646" s="14" t="s">
        <v>2490</v>
      </c>
      <c r="BQ646" s="14">
        <v>0.76700000000000002</v>
      </c>
      <c r="BR646" s="14"/>
      <c r="BS646" s="14"/>
      <c r="BT646" s="14"/>
      <c r="BU646" s="14" t="s">
        <v>701</v>
      </c>
      <c r="BV646" s="14"/>
      <c r="BW646" s="14"/>
      <c r="BX646" s="14"/>
      <c r="BY646" s="14"/>
      <c r="BZ646" s="14"/>
      <c r="CA646" s="14"/>
      <c r="CB646" s="14"/>
      <c r="CC646" s="14">
        <v>-0.69399999999999995</v>
      </c>
      <c r="CD646" s="14"/>
      <c r="CE646" s="14"/>
      <c r="CF646" s="14"/>
      <c r="CG646" s="14" t="s">
        <v>701</v>
      </c>
      <c r="CH646" s="14"/>
      <c r="CI646" s="14"/>
      <c r="CJ646" s="14"/>
      <c r="CK646" s="14"/>
      <c r="CL646" s="14"/>
      <c r="CM646" s="14"/>
      <c r="CN646" s="14"/>
      <c r="CO646" s="14"/>
      <c r="CP646" s="14"/>
      <c r="CQ646" s="14"/>
      <c r="CR646" s="14"/>
      <c r="CS646" s="14"/>
      <c r="CT646" s="14"/>
      <c r="CU646" s="14"/>
      <c r="CV646" s="14" t="s">
        <v>2836</v>
      </c>
      <c r="CW646" s="14" t="s">
        <v>450</v>
      </c>
      <c r="CX646" s="14" t="s">
        <v>451</v>
      </c>
      <c r="CY646" s="14">
        <v>2022</v>
      </c>
      <c r="CZ646" s="36" t="s">
        <v>73</v>
      </c>
      <c r="DA646" s="14" t="s">
        <v>189</v>
      </c>
      <c r="DB646" s="14">
        <v>26</v>
      </c>
      <c r="DC646" s="14">
        <v>2</v>
      </c>
      <c r="DD646" s="14" t="s">
        <v>452</v>
      </c>
      <c r="DE646" s="14" t="s">
        <v>453</v>
      </c>
    </row>
    <row r="647" spans="1:109" s="13" customFormat="1" ht="20">
      <c r="A647" s="13" t="s">
        <v>3419</v>
      </c>
      <c r="B647" s="16"/>
      <c r="C647" s="13" t="s">
        <v>3347</v>
      </c>
      <c r="D647" s="14" t="s">
        <v>898</v>
      </c>
      <c r="E647" s="13" t="s">
        <v>674</v>
      </c>
      <c r="F647" s="13" t="s">
        <v>675</v>
      </c>
      <c r="H647" s="14" t="s">
        <v>3947</v>
      </c>
      <c r="I647" s="14" t="s">
        <v>3946</v>
      </c>
      <c r="J647" s="13" t="s">
        <v>2823</v>
      </c>
      <c r="K647" s="13" t="s">
        <v>3948</v>
      </c>
      <c r="L647" s="13" t="s">
        <v>639</v>
      </c>
      <c r="M647" s="13">
        <v>262</v>
      </c>
      <c r="N647" s="13">
        <v>16</v>
      </c>
      <c r="O647" s="15">
        <f>N647/M647</f>
        <v>6.1068702290076333E-2</v>
      </c>
      <c r="Q647" s="13">
        <v>55.7</v>
      </c>
      <c r="R647" s="13">
        <v>11.4</v>
      </c>
      <c r="V647" s="13">
        <v>181</v>
      </c>
      <c r="W647" s="2">
        <f t="shared" si="60"/>
        <v>0.69083969465648853</v>
      </c>
      <c r="X647" s="13">
        <v>38.4</v>
      </c>
      <c r="Y647" s="13">
        <v>5.0999999999999996</v>
      </c>
      <c r="AC647" s="13">
        <v>225</v>
      </c>
      <c r="AD647" s="13">
        <f t="shared" si="61"/>
        <v>0.85877862595419852</v>
      </c>
      <c r="AE647" s="13">
        <v>22.9</v>
      </c>
      <c r="AF647" s="13">
        <v>17.600000000000001</v>
      </c>
      <c r="BA647" s="16"/>
      <c r="BE647" s="16"/>
      <c r="BJ647" s="16"/>
      <c r="BN647" s="16" t="s">
        <v>2552</v>
      </c>
      <c r="BQ647" s="13">
        <v>0.5</v>
      </c>
      <c r="BU647" s="13" t="s">
        <v>635</v>
      </c>
      <c r="CC647" s="13">
        <v>-0.31727</v>
      </c>
      <c r="CG647" s="13" t="s">
        <v>701</v>
      </c>
      <c r="CJ647" s="13" t="s">
        <v>3949</v>
      </c>
      <c r="CK647" s="13">
        <v>0.53</v>
      </c>
      <c r="CN647" s="13" t="s">
        <v>701</v>
      </c>
      <c r="CV647" s="13" t="s">
        <v>3952</v>
      </c>
      <c r="CW647" s="13" t="s">
        <v>3590</v>
      </c>
      <c r="CX647" s="13" t="s">
        <v>3591</v>
      </c>
      <c r="CY647" s="13">
        <v>2025</v>
      </c>
      <c r="CZ647" s="13" t="s">
        <v>253</v>
      </c>
      <c r="DA647" s="13" t="s">
        <v>64</v>
      </c>
      <c r="DB647" s="13">
        <v>26</v>
      </c>
      <c r="DC647" s="21">
        <v>45659</v>
      </c>
      <c r="DD647" s="13" t="s">
        <v>3592</v>
      </c>
      <c r="DE647" s="13" t="s">
        <v>3274</v>
      </c>
    </row>
    <row r="648" spans="1:109" s="13" customFormat="1" ht="20">
      <c r="A648" s="13" t="s">
        <v>3419</v>
      </c>
      <c r="B648" s="16"/>
      <c r="C648" s="13" t="s">
        <v>3347</v>
      </c>
      <c r="D648" s="14" t="s">
        <v>898</v>
      </c>
      <c r="E648" s="13" t="s">
        <v>674</v>
      </c>
      <c r="F648" s="13" t="s">
        <v>686</v>
      </c>
      <c r="H648" s="14" t="s">
        <v>3947</v>
      </c>
      <c r="I648" s="14" t="s">
        <v>3946</v>
      </c>
      <c r="J648" s="13" t="s">
        <v>3950</v>
      </c>
      <c r="K648" s="13" t="s">
        <v>3951</v>
      </c>
      <c r="L648" s="13" t="s">
        <v>639</v>
      </c>
      <c r="M648" s="13">
        <v>262</v>
      </c>
      <c r="N648" s="13">
        <v>16</v>
      </c>
      <c r="O648" s="15">
        <f>N648/M648</f>
        <v>6.1068702290076333E-2</v>
      </c>
      <c r="Q648" s="13">
        <v>55.7</v>
      </c>
      <c r="R648" s="13">
        <v>11.4</v>
      </c>
      <c r="V648" s="13">
        <v>181</v>
      </c>
      <c r="W648" s="2">
        <f t="shared" si="60"/>
        <v>0.69083969465648853</v>
      </c>
      <c r="X648" s="13">
        <v>38.4</v>
      </c>
      <c r="Y648" s="13">
        <v>5.0999999999999996</v>
      </c>
      <c r="AC648" s="13">
        <v>225</v>
      </c>
      <c r="AD648" s="13">
        <f t="shared" si="61"/>
        <v>0.85877862595419852</v>
      </c>
      <c r="AE648" s="13">
        <v>22.9</v>
      </c>
      <c r="AF648" s="13">
        <v>17.600000000000001</v>
      </c>
      <c r="BA648" s="16"/>
      <c r="BE648" s="16"/>
      <c r="BJ648" s="16"/>
      <c r="BN648" s="16" t="s">
        <v>2552</v>
      </c>
      <c r="BQ648" s="13">
        <v>0.28999999999999998</v>
      </c>
      <c r="BU648" s="13" t="s">
        <v>635</v>
      </c>
      <c r="CC648" s="13">
        <v>-0.20942</v>
      </c>
      <c r="CG648" s="13" t="s">
        <v>701</v>
      </c>
      <c r="CJ648" s="13" t="s">
        <v>3949</v>
      </c>
      <c r="CK648" s="13">
        <v>0.32</v>
      </c>
      <c r="CN648" s="13" t="s">
        <v>701</v>
      </c>
      <c r="CV648" s="13" t="s">
        <v>3952</v>
      </c>
      <c r="CW648" s="13" t="s">
        <v>3590</v>
      </c>
      <c r="CX648" s="13" t="s">
        <v>3591</v>
      </c>
      <c r="CY648" s="13">
        <v>2025</v>
      </c>
      <c r="CZ648" s="13" t="s">
        <v>253</v>
      </c>
      <c r="DA648" s="13" t="s">
        <v>64</v>
      </c>
      <c r="DB648" s="13">
        <v>26</v>
      </c>
      <c r="DC648" s="21">
        <v>45659</v>
      </c>
      <c r="DD648" s="13" t="s">
        <v>3592</v>
      </c>
      <c r="DE648" s="13" t="s">
        <v>3274</v>
      </c>
    </row>
    <row r="649" spans="1:109" s="13" customFormat="1" ht="20">
      <c r="A649" s="14" t="s">
        <v>1902</v>
      </c>
      <c r="B649" s="14" t="s">
        <v>1736</v>
      </c>
      <c r="C649" s="14" t="s">
        <v>458</v>
      </c>
      <c r="D649" s="14" t="s">
        <v>827</v>
      </c>
      <c r="E649" s="14" t="s">
        <v>672</v>
      </c>
      <c r="F649" s="14" t="s">
        <v>686</v>
      </c>
      <c r="G649" s="14"/>
      <c r="H649" s="14" t="s">
        <v>703</v>
      </c>
      <c r="I649" s="14" t="s">
        <v>3146</v>
      </c>
      <c r="J649" s="14" t="s">
        <v>585</v>
      </c>
      <c r="K649" s="14"/>
      <c r="L649" s="14" t="s">
        <v>641</v>
      </c>
      <c r="M649" s="14">
        <v>95</v>
      </c>
      <c r="N649" s="14"/>
      <c r="O649" s="34"/>
      <c r="P649" s="14"/>
      <c r="Q649" s="14">
        <v>62.2</v>
      </c>
      <c r="R649" s="14">
        <v>12.1</v>
      </c>
      <c r="S649" s="14"/>
      <c r="T649" s="14"/>
      <c r="U649" s="14"/>
      <c r="V649" s="14">
        <v>59</v>
      </c>
      <c r="W649" s="14">
        <f t="shared" si="60"/>
        <v>0.62105263157894741</v>
      </c>
      <c r="X649" s="14">
        <v>40.94</v>
      </c>
      <c r="Y649" s="14">
        <v>5.71</v>
      </c>
      <c r="Z649" s="14"/>
      <c r="AA649" s="14"/>
      <c r="AB649" s="14"/>
      <c r="AC649" s="14"/>
      <c r="AD649" s="34"/>
      <c r="AE649" s="35">
        <v>12.57</v>
      </c>
      <c r="AF649" s="35">
        <v>10.57</v>
      </c>
      <c r="AG649" s="35"/>
      <c r="AH649" s="35"/>
      <c r="AI649" s="35"/>
      <c r="AJ649" s="35"/>
      <c r="AK649" s="35"/>
      <c r="AL649" s="35"/>
      <c r="AM649" s="35"/>
      <c r="AN649" s="35"/>
      <c r="AO649" s="35"/>
      <c r="AP649" s="35"/>
      <c r="AQ649" s="35">
        <v>37.130000000000003</v>
      </c>
      <c r="AR649" s="35"/>
      <c r="AS649" s="35"/>
      <c r="AT649" s="35"/>
      <c r="AU649" s="14" t="s">
        <v>2449</v>
      </c>
      <c r="AV649" s="14" t="s">
        <v>3200</v>
      </c>
      <c r="AW649" s="14"/>
      <c r="AX649" s="14">
        <v>26.21</v>
      </c>
      <c r="AY649" s="14">
        <v>7.36</v>
      </c>
      <c r="AZ649" s="14">
        <v>93.36</v>
      </c>
      <c r="BA649" s="14"/>
      <c r="BB649" s="14"/>
      <c r="BC649" s="14"/>
      <c r="BD649" s="14"/>
      <c r="BE649" s="14" t="s">
        <v>2839</v>
      </c>
      <c r="BF649" s="29"/>
      <c r="BG649" s="14">
        <v>7.89</v>
      </c>
      <c r="BH649" s="14">
        <v>2.27</v>
      </c>
      <c r="BI649" s="14">
        <v>27.52</v>
      </c>
      <c r="BJ649" s="14"/>
      <c r="BK649" s="14"/>
      <c r="BL649" s="14"/>
      <c r="BM649" s="14"/>
      <c r="BN649" s="14" t="s">
        <v>2231</v>
      </c>
      <c r="BO649" s="14" t="s">
        <v>2838</v>
      </c>
      <c r="BP649" s="14" t="s">
        <v>2838</v>
      </c>
      <c r="BQ649" s="14">
        <v>0.59599999999999997</v>
      </c>
      <c r="BR649" s="14"/>
      <c r="BS649" s="14"/>
      <c r="BT649" s="14"/>
      <c r="BU649" s="14" t="s">
        <v>635</v>
      </c>
      <c r="BV649" s="14"/>
      <c r="BW649" s="14"/>
      <c r="BX649" s="14"/>
      <c r="BY649" s="14"/>
      <c r="BZ649" s="14"/>
      <c r="CA649" s="14"/>
      <c r="CB649" s="14"/>
      <c r="CC649" s="14">
        <v>-0.27</v>
      </c>
      <c r="CD649" s="14"/>
      <c r="CE649" s="14"/>
      <c r="CF649" s="14"/>
      <c r="CG649" s="14">
        <v>2E-3</v>
      </c>
      <c r="CH649" s="14"/>
      <c r="CI649" s="14"/>
      <c r="CJ649" s="14" t="s">
        <v>2841</v>
      </c>
      <c r="CK649" s="14">
        <v>0.39600000000000002</v>
      </c>
      <c r="CL649" s="14"/>
      <c r="CM649" s="14"/>
      <c r="CN649" s="14" t="s">
        <v>635</v>
      </c>
      <c r="CO649" s="14"/>
      <c r="CP649" s="14"/>
      <c r="CQ649" s="14"/>
      <c r="CR649" s="14"/>
      <c r="CS649" s="14"/>
      <c r="CT649" s="14"/>
      <c r="CU649" s="14"/>
      <c r="CV649" s="14"/>
      <c r="CW649" s="14" t="s">
        <v>455</v>
      </c>
      <c r="CX649" s="14" t="s">
        <v>456</v>
      </c>
      <c r="CY649" s="14">
        <v>2021</v>
      </c>
      <c r="CZ649" s="36" t="s">
        <v>44</v>
      </c>
      <c r="DA649" s="14" t="s">
        <v>411</v>
      </c>
      <c r="DB649" s="14">
        <v>9</v>
      </c>
      <c r="DC649" s="14">
        <v>11</v>
      </c>
      <c r="DD649" s="14"/>
      <c r="DE649" s="14" t="s">
        <v>457</v>
      </c>
    </row>
    <row r="650" spans="1:109" s="13" customFormat="1" ht="20">
      <c r="A650" s="14" t="s">
        <v>1902</v>
      </c>
      <c r="B650" s="14" t="s">
        <v>1736</v>
      </c>
      <c r="C650" s="14" t="s">
        <v>458</v>
      </c>
      <c r="D650" s="14" t="s">
        <v>827</v>
      </c>
      <c r="E650" s="14" t="s">
        <v>673</v>
      </c>
      <c r="F650" s="14" t="s">
        <v>686</v>
      </c>
      <c r="G650" s="14"/>
      <c r="H650" s="14" t="s">
        <v>703</v>
      </c>
      <c r="I650" s="14" t="s">
        <v>4080</v>
      </c>
      <c r="J650" s="14" t="s">
        <v>585</v>
      </c>
      <c r="K650" s="14"/>
      <c r="L650" s="14" t="s">
        <v>641</v>
      </c>
      <c r="M650" s="14">
        <v>95</v>
      </c>
      <c r="N650" s="14"/>
      <c r="O650" s="34"/>
      <c r="P650" s="14"/>
      <c r="Q650" s="14">
        <v>62.2</v>
      </c>
      <c r="R650" s="14">
        <v>12.1</v>
      </c>
      <c r="S650" s="14"/>
      <c r="T650" s="14"/>
      <c r="U650" s="14"/>
      <c r="V650" s="14">
        <v>59</v>
      </c>
      <c r="W650" s="14">
        <f t="shared" si="60"/>
        <v>0.62105263157894741</v>
      </c>
      <c r="X650" s="14">
        <v>40.94</v>
      </c>
      <c r="Y650" s="14">
        <v>5.71</v>
      </c>
      <c r="Z650" s="14"/>
      <c r="AA650" s="14"/>
      <c r="AB650" s="14"/>
      <c r="AC650" s="14"/>
      <c r="AD650" s="34"/>
      <c r="AE650" s="35">
        <v>12.57</v>
      </c>
      <c r="AF650" s="35">
        <v>10.57</v>
      </c>
      <c r="AG650" s="35"/>
      <c r="AH650" s="35"/>
      <c r="AI650" s="35"/>
      <c r="AJ650" s="35"/>
      <c r="AK650" s="35"/>
      <c r="AL650" s="35"/>
      <c r="AM650" s="35"/>
      <c r="AN650" s="35"/>
      <c r="AO650" s="35"/>
      <c r="AP650" s="35"/>
      <c r="AQ650" s="35">
        <v>37.130000000000003</v>
      </c>
      <c r="AR650" s="35"/>
      <c r="AS650" s="35"/>
      <c r="AT650" s="35"/>
      <c r="AU650" s="14" t="s">
        <v>2449</v>
      </c>
      <c r="AV650" s="14" t="s">
        <v>3200</v>
      </c>
      <c r="AW650" s="14"/>
      <c r="AX650" s="14">
        <v>1.33</v>
      </c>
      <c r="AY650" s="14">
        <v>1.0900000000000001</v>
      </c>
      <c r="AZ650" s="14">
        <v>1.62</v>
      </c>
      <c r="BA650" s="14"/>
      <c r="BB650" s="14"/>
      <c r="BC650" s="14"/>
      <c r="BD650" s="14"/>
      <c r="BE650" s="14" t="s">
        <v>2840</v>
      </c>
      <c r="BF650" s="29"/>
      <c r="BG650" s="14"/>
      <c r="BH650" s="14"/>
      <c r="BI650" s="14"/>
      <c r="BJ650" s="14"/>
      <c r="BK650" s="14"/>
      <c r="BL650" s="14"/>
      <c r="BM650" s="14"/>
      <c r="BN650" s="14" t="s">
        <v>2231</v>
      </c>
      <c r="BO650" s="14" t="s">
        <v>2838</v>
      </c>
      <c r="BP650" s="14" t="s">
        <v>2838</v>
      </c>
      <c r="BQ650" s="14">
        <v>0.42</v>
      </c>
      <c r="BR650" s="14"/>
      <c r="BS650" s="14"/>
      <c r="BT650" s="14"/>
      <c r="BU650" s="14" t="s">
        <v>635</v>
      </c>
      <c r="BV650" s="14"/>
      <c r="BW650" s="14"/>
      <c r="BX650" s="14"/>
      <c r="BY650" s="14"/>
      <c r="BZ650" s="14"/>
      <c r="CA650" s="14"/>
      <c r="CB650" s="14"/>
      <c r="CC650" s="14">
        <v>-0.25</v>
      </c>
      <c r="CD650" s="14"/>
      <c r="CE650" s="14"/>
      <c r="CF650" s="14"/>
      <c r="CG650" s="14">
        <v>7.0000000000000001E-3</v>
      </c>
      <c r="CH650" s="14"/>
      <c r="CI650" s="14"/>
      <c r="CJ650" s="14" t="s">
        <v>2841</v>
      </c>
      <c r="CK650" s="14">
        <v>0.22700000000000001</v>
      </c>
      <c r="CL650" s="14"/>
      <c r="CM650" s="14"/>
      <c r="CN650" s="14">
        <v>1.4999999999999999E-2</v>
      </c>
      <c r="CO650" s="14"/>
      <c r="CP650" s="14"/>
      <c r="CQ650" s="14"/>
      <c r="CR650" s="14"/>
      <c r="CS650" s="14"/>
      <c r="CT650" s="14"/>
      <c r="CU650" s="14"/>
      <c r="CV650" s="14"/>
      <c r="CW650" s="14" t="s">
        <v>455</v>
      </c>
      <c r="CX650" s="14" t="s">
        <v>456</v>
      </c>
      <c r="CY650" s="14">
        <v>2021</v>
      </c>
      <c r="CZ650" s="36" t="s">
        <v>44</v>
      </c>
      <c r="DA650" s="14" t="s">
        <v>411</v>
      </c>
      <c r="DB650" s="14">
        <v>9</v>
      </c>
      <c r="DC650" s="14">
        <v>11</v>
      </c>
      <c r="DD650" s="14"/>
      <c r="DE650" s="14" t="s">
        <v>457</v>
      </c>
    </row>
    <row r="651" spans="1:109" s="13" customFormat="1" ht="20">
      <c r="A651" s="13" t="s">
        <v>1737</v>
      </c>
      <c r="B651" s="13" t="s">
        <v>1737</v>
      </c>
      <c r="C651" s="13" t="s">
        <v>463</v>
      </c>
      <c r="D651" s="13" t="s">
        <v>830</v>
      </c>
      <c r="E651" s="13" t="s">
        <v>674</v>
      </c>
      <c r="F651" s="13" t="s">
        <v>985</v>
      </c>
      <c r="G651" s="14"/>
      <c r="H651" s="13" t="s">
        <v>703</v>
      </c>
      <c r="I651" s="13" t="s">
        <v>4096</v>
      </c>
      <c r="J651" s="13" t="s">
        <v>585</v>
      </c>
      <c r="L651" s="14"/>
      <c r="M651" s="13">
        <v>45</v>
      </c>
      <c r="O651" s="15"/>
      <c r="Q651" s="13">
        <v>64.67</v>
      </c>
      <c r="R651" s="13">
        <v>9.11</v>
      </c>
      <c r="V651" s="14">
        <v>28</v>
      </c>
      <c r="W651" s="14">
        <f t="shared" si="60"/>
        <v>0.62222222222222223</v>
      </c>
      <c r="X651" s="14"/>
      <c r="Y651" s="14"/>
      <c r="Z651" s="14"/>
      <c r="AA651" s="14"/>
      <c r="AB651" s="14"/>
      <c r="AC651" s="14">
        <v>37</v>
      </c>
      <c r="AD651" s="34">
        <f t="shared" ref="AD651:AD663" si="62">AC651/M651</f>
        <v>0.82222222222222219</v>
      </c>
      <c r="AE651" s="35"/>
      <c r="AF651" s="35"/>
      <c r="AG651" s="35"/>
      <c r="AH651" s="35"/>
      <c r="AI651" s="35"/>
      <c r="AJ651" s="35"/>
      <c r="AK651" s="35"/>
      <c r="AL651" s="35"/>
      <c r="AM651" s="35"/>
      <c r="AN651" s="35"/>
      <c r="AO651" s="35"/>
      <c r="AP651" s="35"/>
      <c r="AQ651" s="35"/>
      <c r="AR651" s="35"/>
      <c r="AS651" s="35"/>
      <c r="AT651" s="35"/>
      <c r="AU651" s="14"/>
      <c r="AV651" s="14"/>
      <c r="AW651" s="14"/>
      <c r="AX651" s="14"/>
      <c r="AY651" s="14"/>
      <c r="AZ651" s="14"/>
      <c r="BA651" s="29"/>
      <c r="BB651" s="14"/>
      <c r="BC651" s="14"/>
      <c r="BD651" s="14"/>
      <c r="BE651" s="29"/>
      <c r="BF651" s="29"/>
      <c r="BG651" s="14"/>
      <c r="BH651" s="14"/>
      <c r="BI651" s="14"/>
      <c r="BJ651" s="29"/>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3" t="s">
        <v>459</v>
      </c>
      <c r="CX651" s="13" t="s">
        <v>460</v>
      </c>
      <c r="CY651" s="13">
        <v>2021</v>
      </c>
      <c r="CZ651" s="13" t="s">
        <v>2213</v>
      </c>
      <c r="DA651" s="13" t="s">
        <v>461</v>
      </c>
      <c r="DB651" s="13">
        <v>13</v>
      </c>
      <c r="DC651" s="13">
        <v>11</v>
      </c>
      <c r="DE651" s="13" t="s">
        <v>462</v>
      </c>
    </row>
    <row r="652" spans="1:109" s="13" customFormat="1" ht="20">
      <c r="A652" s="13" t="s">
        <v>1737</v>
      </c>
      <c r="B652" s="13" t="s">
        <v>1737</v>
      </c>
      <c r="C652" s="13" t="s">
        <v>463</v>
      </c>
      <c r="D652" s="13" t="s">
        <v>830</v>
      </c>
      <c r="E652" s="13" t="s">
        <v>674</v>
      </c>
      <c r="F652" s="13" t="s">
        <v>987</v>
      </c>
      <c r="G652" s="14"/>
      <c r="H652" s="13" t="s">
        <v>703</v>
      </c>
      <c r="I652" s="13" t="s">
        <v>3640</v>
      </c>
      <c r="J652" s="13" t="s">
        <v>585</v>
      </c>
      <c r="L652" s="14"/>
      <c r="M652" s="13">
        <v>45</v>
      </c>
      <c r="O652" s="15"/>
      <c r="Q652" s="13">
        <v>64.67</v>
      </c>
      <c r="R652" s="13">
        <v>9.11</v>
      </c>
      <c r="V652" s="14">
        <v>28</v>
      </c>
      <c r="W652" s="14">
        <f t="shared" si="60"/>
        <v>0.62222222222222223</v>
      </c>
      <c r="X652" s="14"/>
      <c r="Y652" s="14"/>
      <c r="Z652" s="14"/>
      <c r="AA652" s="14"/>
      <c r="AB652" s="14"/>
      <c r="AC652" s="14">
        <v>37</v>
      </c>
      <c r="AD652" s="34">
        <f t="shared" si="62"/>
        <v>0.82222222222222219</v>
      </c>
      <c r="AE652" s="35"/>
      <c r="AF652" s="35"/>
      <c r="AG652" s="35"/>
      <c r="AH652" s="35"/>
      <c r="AI652" s="35"/>
      <c r="AJ652" s="35"/>
      <c r="AK652" s="35"/>
      <c r="AL652" s="35"/>
      <c r="AM652" s="35"/>
      <c r="AN652" s="35"/>
      <c r="AO652" s="35"/>
      <c r="AP652" s="35"/>
      <c r="AQ652" s="35"/>
      <c r="AR652" s="35"/>
      <c r="AS652" s="35"/>
      <c r="AT652" s="35"/>
      <c r="AU652" s="14"/>
      <c r="AV652" s="14"/>
      <c r="AW652" s="14"/>
      <c r="AX652" s="14"/>
      <c r="AY652" s="14"/>
      <c r="AZ652" s="14"/>
      <c r="BA652" s="29"/>
      <c r="BB652" s="14"/>
      <c r="BC652" s="14"/>
      <c r="BD652" s="14"/>
      <c r="BE652" s="29"/>
      <c r="BF652" s="29"/>
      <c r="BG652" s="14"/>
      <c r="BH652" s="14"/>
      <c r="BI652" s="14"/>
      <c r="BJ652" s="29"/>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3" t="s">
        <v>459</v>
      </c>
      <c r="CX652" s="13" t="s">
        <v>460</v>
      </c>
      <c r="CY652" s="13">
        <v>2021</v>
      </c>
      <c r="CZ652" s="13" t="s">
        <v>2213</v>
      </c>
      <c r="DA652" s="13" t="s">
        <v>461</v>
      </c>
      <c r="DB652" s="13">
        <v>13</v>
      </c>
      <c r="DC652" s="13">
        <v>11</v>
      </c>
      <c r="DE652" s="13" t="s">
        <v>462</v>
      </c>
    </row>
    <row r="653" spans="1:109" s="13" customFormat="1" ht="20">
      <c r="A653" s="13" t="s">
        <v>1737</v>
      </c>
      <c r="B653" s="13" t="s">
        <v>1737</v>
      </c>
      <c r="C653" s="13" t="s">
        <v>463</v>
      </c>
      <c r="D653" s="13" t="s">
        <v>830</v>
      </c>
      <c r="E653" s="13" t="s">
        <v>674</v>
      </c>
      <c r="F653" s="13" t="s">
        <v>988</v>
      </c>
      <c r="G653" s="14"/>
      <c r="H653" s="13" t="s">
        <v>703</v>
      </c>
      <c r="I653" s="13" t="s">
        <v>3640</v>
      </c>
      <c r="J653" s="13" t="s">
        <v>585</v>
      </c>
      <c r="L653" s="14"/>
      <c r="M653" s="13">
        <v>45</v>
      </c>
      <c r="O653" s="15"/>
      <c r="Q653" s="13">
        <v>64.67</v>
      </c>
      <c r="R653" s="13">
        <v>9.11</v>
      </c>
      <c r="V653" s="14">
        <v>28</v>
      </c>
      <c r="W653" s="14">
        <f t="shared" si="60"/>
        <v>0.62222222222222223</v>
      </c>
      <c r="X653" s="14"/>
      <c r="Y653" s="14"/>
      <c r="Z653" s="14"/>
      <c r="AA653" s="14"/>
      <c r="AB653" s="14"/>
      <c r="AC653" s="14">
        <v>37</v>
      </c>
      <c r="AD653" s="34">
        <f t="shared" si="62"/>
        <v>0.82222222222222219</v>
      </c>
      <c r="AE653" s="35"/>
      <c r="AF653" s="35"/>
      <c r="AG653" s="35"/>
      <c r="AH653" s="35"/>
      <c r="AI653" s="35"/>
      <c r="AJ653" s="35"/>
      <c r="AK653" s="35"/>
      <c r="AL653" s="35"/>
      <c r="AM653" s="35"/>
      <c r="AN653" s="35"/>
      <c r="AO653" s="35"/>
      <c r="AP653" s="35"/>
      <c r="AQ653" s="35"/>
      <c r="AR653" s="35"/>
      <c r="AS653" s="35"/>
      <c r="AT653" s="35"/>
      <c r="AU653" s="14"/>
      <c r="AV653" s="14"/>
      <c r="AW653" s="14"/>
      <c r="AX653" s="14"/>
      <c r="AY653" s="14"/>
      <c r="AZ653" s="14"/>
      <c r="BA653" s="29"/>
      <c r="BB653" s="14"/>
      <c r="BC653" s="14"/>
      <c r="BD653" s="14"/>
      <c r="BE653" s="29"/>
      <c r="BF653" s="29"/>
      <c r="BG653" s="14"/>
      <c r="BH653" s="14"/>
      <c r="BI653" s="14"/>
      <c r="BJ653" s="29"/>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3" t="s">
        <v>459</v>
      </c>
      <c r="CX653" s="13" t="s">
        <v>460</v>
      </c>
      <c r="CY653" s="13">
        <v>2021</v>
      </c>
      <c r="CZ653" s="13" t="s">
        <v>2213</v>
      </c>
      <c r="DA653" s="13" t="s">
        <v>461</v>
      </c>
      <c r="DB653" s="13">
        <v>13</v>
      </c>
      <c r="DC653" s="13">
        <v>11</v>
      </c>
      <c r="DE653" s="13" t="s">
        <v>462</v>
      </c>
    </row>
    <row r="654" spans="1:109" s="13" customFormat="1" ht="20">
      <c r="A654" s="13" t="s">
        <v>1737</v>
      </c>
      <c r="B654" s="13" t="s">
        <v>1737</v>
      </c>
      <c r="C654" s="13" t="s">
        <v>463</v>
      </c>
      <c r="D654" s="13" t="s">
        <v>830</v>
      </c>
      <c r="E654" s="13" t="s">
        <v>674</v>
      </c>
      <c r="F654" s="13" t="s">
        <v>989</v>
      </c>
      <c r="G654" s="14"/>
      <c r="H654" s="13" t="s">
        <v>703</v>
      </c>
      <c r="I654" s="13" t="s">
        <v>3640</v>
      </c>
      <c r="J654" s="13" t="s">
        <v>585</v>
      </c>
      <c r="L654" s="14"/>
      <c r="M654" s="13">
        <v>45</v>
      </c>
      <c r="O654" s="15"/>
      <c r="Q654" s="13">
        <v>64.67</v>
      </c>
      <c r="R654" s="13">
        <v>9.11</v>
      </c>
      <c r="V654" s="14">
        <v>28</v>
      </c>
      <c r="W654" s="14">
        <f t="shared" si="60"/>
        <v>0.62222222222222223</v>
      </c>
      <c r="X654" s="14"/>
      <c r="Y654" s="14"/>
      <c r="Z654" s="14"/>
      <c r="AA654" s="14"/>
      <c r="AB654" s="14"/>
      <c r="AC654" s="14">
        <v>37</v>
      </c>
      <c r="AD654" s="34">
        <f t="shared" si="62"/>
        <v>0.82222222222222219</v>
      </c>
      <c r="AE654" s="35"/>
      <c r="AF654" s="35"/>
      <c r="AG654" s="35"/>
      <c r="AH654" s="35"/>
      <c r="AI654" s="35"/>
      <c r="AJ654" s="35"/>
      <c r="AK654" s="35"/>
      <c r="AL654" s="35"/>
      <c r="AM654" s="35"/>
      <c r="AN654" s="35"/>
      <c r="AO654" s="35"/>
      <c r="AP654" s="35"/>
      <c r="AQ654" s="35"/>
      <c r="AR654" s="35"/>
      <c r="AS654" s="35"/>
      <c r="AT654" s="35"/>
      <c r="AU654" s="14"/>
      <c r="AV654" s="14"/>
      <c r="AW654" s="14"/>
      <c r="AX654" s="14"/>
      <c r="AY654" s="14"/>
      <c r="AZ654" s="14"/>
      <c r="BA654" s="29"/>
      <c r="BB654" s="14"/>
      <c r="BC654" s="14"/>
      <c r="BD654" s="14"/>
      <c r="BE654" s="29"/>
      <c r="BF654" s="29"/>
      <c r="BG654" s="14"/>
      <c r="BH654" s="14"/>
      <c r="BI654" s="14"/>
      <c r="BJ654" s="29"/>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3" t="s">
        <v>459</v>
      </c>
      <c r="CX654" s="13" t="s">
        <v>460</v>
      </c>
      <c r="CY654" s="13">
        <v>2021</v>
      </c>
      <c r="CZ654" s="13" t="s">
        <v>2213</v>
      </c>
      <c r="DA654" s="13" t="s">
        <v>461</v>
      </c>
      <c r="DB654" s="13">
        <v>13</v>
      </c>
      <c r="DC654" s="13">
        <v>11</v>
      </c>
      <c r="DE654" s="13" t="s">
        <v>462</v>
      </c>
    </row>
    <row r="655" spans="1:109" s="13" customFormat="1" ht="20">
      <c r="A655" s="13" t="s">
        <v>1738</v>
      </c>
      <c r="B655" s="13" t="s">
        <v>1738</v>
      </c>
      <c r="C655" s="13" t="s">
        <v>468</v>
      </c>
      <c r="D655" s="16" t="s">
        <v>992</v>
      </c>
      <c r="E655" s="13" t="s">
        <v>674</v>
      </c>
      <c r="F655" s="13" t="s">
        <v>675</v>
      </c>
      <c r="G655" s="14"/>
      <c r="H655" s="13" t="s">
        <v>586</v>
      </c>
      <c r="I655" s="13" t="s">
        <v>3641</v>
      </c>
      <c r="J655" s="13" t="s">
        <v>1976</v>
      </c>
      <c r="K655" s="13" t="s">
        <v>990</v>
      </c>
      <c r="L655" s="14"/>
      <c r="M655" s="13">
        <v>237</v>
      </c>
      <c r="O655" s="15"/>
      <c r="P655" s="13">
        <v>46</v>
      </c>
      <c r="Q655" s="13">
        <v>65.7</v>
      </c>
      <c r="R655" s="13">
        <v>7.3</v>
      </c>
      <c r="V655" s="14">
        <f>237-112</f>
        <v>125</v>
      </c>
      <c r="W655" s="14">
        <f t="shared" si="60"/>
        <v>0.52742616033755274</v>
      </c>
      <c r="X655" s="14"/>
      <c r="Y655" s="14"/>
      <c r="Z655" s="14"/>
      <c r="AA655" s="14"/>
      <c r="AB655" s="14"/>
      <c r="AC655" s="14">
        <v>37</v>
      </c>
      <c r="AD655" s="34">
        <f t="shared" si="62"/>
        <v>0.15611814345991562</v>
      </c>
      <c r="AE655" s="35"/>
      <c r="AF655" s="35"/>
      <c r="AG655" s="35"/>
      <c r="AH655" s="35"/>
      <c r="AI655" s="35"/>
      <c r="AJ655" s="35"/>
      <c r="AK655" s="35"/>
      <c r="AL655" s="35"/>
      <c r="AM655" s="35"/>
      <c r="AN655" s="35"/>
      <c r="AO655" s="35"/>
      <c r="AP655" s="35"/>
      <c r="AQ655" s="35"/>
      <c r="AR655" s="35"/>
      <c r="AS655" s="35"/>
      <c r="AT655" s="35"/>
      <c r="AU655" s="14"/>
      <c r="AV655" s="14"/>
      <c r="AW655" s="14"/>
      <c r="AX655" s="14"/>
      <c r="AY655" s="14"/>
      <c r="AZ655" s="14"/>
      <c r="BA655" s="29"/>
      <c r="BB655" s="14"/>
      <c r="BC655" s="14"/>
      <c r="BD655" s="14"/>
      <c r="BE655" s="29"/>
      <c r="BF655" s="29"/>
      <c r="BG655" s="14"/>
      <c r="BH655" s="14"/>
      <c r="BI655" s="14"/>
      <c r="BJ655" s="29"/>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3" t="s">
        <v>464</v>
      </c>
      <c r="CX655" s="13" t="s">
        <v>465</v>
      </c>
      <c r="CY655" s="13">
        <v>2024</v>
      </c>
      <c r="CZ655" s="13" t="s">
        <v>253</v>
      </c>
      <c r="DA655" s="13" t="s">
        <v>64</v>
      </c>
      <c r="DB655" s="13">
        <v>25</v>
      </c>
      <c r="DC655" s="13">
        <v>45293</v>
      </c>
      <c r="DD655" s="13" t="s">
        <v>466</v>
      </c>
      <c r="DE655" s="13" t="s">
        <v>467</v>
      </c>
    </row>
    <row r="656" spans="1:109" s="13" customFormat="1" ht="20">
      <c r="A656" s="14" t="s">
        <v>1903</v>
      </c>
      <c r="B656" s="14"/>
      <c r="C656" s="14" t="s">
        <v>1507</v>
      </c>
      <c r="D656" s="14" t="s">
        <v>2371</v>
      </c>
      <c r="E656" s="14" t="s">
        <v>674</v>
      </c>
      <c r="F656" s="14" t="s">
        <v>2847</v>
      </c>
      <c r="G656" s="14"/>
      <c r="H656" s="14" t="s">
        <v>647</v>
      </c>
      <c r="I656" s="14" t="s">
        <v>2842</v>
      </c>
      <c r="J656" s="14" t="s">
        <v>1972</v>
      </c>
      <c r="K656" s="14" t="s">
        <v>2843</v>
      </c>
      <c r="L656" s="14"/>
      <c r="M656" s="14">
        <v>23</v>
      </c>
      <c r="N656" s="14"/>
      <c r="O656" s="34"/>
      <c r="P656" s="14"/>
      <c r="Q656" s="14">
        <v>60</v>
      </c>
      <c r="R656" s="14">
        <v>10</v>
      </c>
      <c r="S656" s="14"/>
      <c r="T656" s="14"/>
      <c r="U656" s="14"/>
      <c r="V656" s="14">
        <v>13</v>
      </c>
      <c r="W656" s="14">
        <f t="shared" si="60"/>
        <v>0.56521739130434778</v>
      </c>
      <c r="X656" s="14"/>
      <c r="Y656" s="14"/>
      <c r="Z656" s="14"/>
      <c r="AA656" s="14"/>
      <c r="AB656" s="14"/>
      <c r="AC656" s="14">
        <v>4</v>
      </c>
      <c r="AD656" s="34">
        <f t="shared" si="62"/>
        <v>0.17391304347826086</v>
      </c>
      <c r="AE656" s="35"/>
      <c r="AF656" s="35"/>
      <c r="AG656" s="35"/>
      <c r="AH656" s="35"/>
      <c r="AI656" s="35"/>
      <c r="AJ656" s="35"/>
      <c r="AK656" s="35"/>
      <c r="AL656" s="35"/>
      <c r="AM656" s="35"/>
      <c r="AN656" s="35"/>
      <c r="AO656" s="35"/>
      <c r="AP656" s="35"/>
      <c r="AQ656" s="35"/>
      <c r="AR656" s="35"/>
      <c r="AS656" s="35"/>
      <c r="AT656" s="35"/>
      <c r="AU656" s="14"/>
      <c r="AV656" s="14"/>
      <c r="AW656" s="14"/>
      <c r="AX656" s="14"/>
      <c r="AY656" s="14"/>
      <c r="AZ656" s="14"/>
      <c r="BA656" s="29"/>
      <c r="BB656" s="14"/>
      <c r="BC656" s="14"/>
      <c r="BD656" s="14"/>
      <c r="BE656" s="14"/>
      <c r="BF656" s="29"/>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c r="CN656" s="14"/>
      <c r="CO656" s="14"/>
      <c r="CP656" s="14"/>
      <c r="CQ656" s="14"/>
      <c r="CR656" s="14"/>
      <c r="CS656" s="14"/>
      <c r="CT656" s="14"/>
      <c r="CU656" s="14"/>
      <c r="CV656" s="14" t="s">
        <v>2844</v>
      </c>
      <c r="CW656" s="14" t="s">
        <v>1504</v>
      </c>
      <c r="CX656" s="14" t="s">
        <v>1505</v>
      </c>
      <c r="CY656" s="14">
        <v>2021</v>
      </c>
      <c r="CZ656" s="36"/>
      <c r="DA656" s="14" t="s">
        <v>105</v>
      </c>
      <c r="DB656" s="14">
        <v>3</v>
      </c>
      <c r="DC656" s="14">
        <v>3</v>
      </c>
      <c r="DD656" s="14"/>
      <c r="DE656" s="14" t="s">
        <v>1506</v>
      </c>
    </row>
    <row r="657" spans="1:109" s="13" customFormat="1" ht="20">
      <c r="A657" s="14" t="s">
        <v>1903</v>
      </c>
      <c r="B657" s="14"/>
      <c r="C657" s="14" t="s">
        <v>1507</v>
      </c>
      <c r="D657" s="14" t="s">
        <v>2371</v>
      </c>
      <c r="E657" s="14" t="s">
        <v>672</v>
      </c>
      <c r="F657" s="14" t="s">
        <v>2847</v>
      </c>
      <c r="G657" s="14"/>
      <c r="H657" s="14" t="s">
        <v>647</v>
      </c>
      <c r="I657" s="14" t="s">
        <v>2842</v>
      </c>
      <c r="J657" s="14" t="s">
        <v>1972</v>
      </c>
      <c r="K657" s="14" t="s">
        <v>2843</v>
      </c>
      <c r="L657" s="14"/>
      <c r="M657" s="14">
        <v>23</v>
      </c>
      <c r="N657" s="14"/>
      <c r="O657" s="34"/>
      <c r="P657" s="14"/>
      <c r="Q657" s="14">
        <v>60</v>
      </c>
      <c r="R657" s="14">
        <v>10</v>
      </c>
      <c r="S657" s="14"/>
      <c r="T657" s="14"/>
      <c r="U657" s="14"/>
      <c r="V657" s="14">
        <v>13</v>
      </c>
      <c r="W657" s="14">
        <f t="shared" si="60"/>
        <v>0.56521739130434778</v>
      </c>
      <c r="X657" s="14"/>
      <c r="Y657" s="14"/>
      <c r="Z657" s="14"/>
      <c r="AA657" s="14"/>
      <c r="AB657" s="14"/>
      <c r="AC657" s="14">
        <v>4</v>
      </c>
      <c r="AD657" s="34">
        <f t="shared" si="62"/>
        <v>0.17391304347826086</v>
      </c>
      <c r="AE657" s="35"/>
      <c r="AF657" s="35"/>
      <c r="AG657" s="35"/>
      <c r="AH657" s="35"/>
      <c r="AI657" s="35"/>
      <c r="AJ657" s="35"/>
      <c r="AK657" s="35"/>
      <c r="AL657" s="35"/>
      <c r="AM657" s="35"/>
      <c r="AN657" s="35"/>
      <c r="AO657" s="35"/>
      <c r="AP657" s="35"/>
      <c r="AQ657" s="35"/>
      <c r="AR657" s="35"/>
      <c r="AS657" s="35"/>
      <c r="AT657" s="35"/>
      <c r="AU657" s="14"/>
      <c r="AV657" s="14"/>
      <c r="AW657" s="14"/>
      <c r="AX657" s="14"/>
      <c r="AY657" s="14"/>
      <c r="AZ657" s="14"/>
      <c r="BA657" s="29"/>
      <c r="BB657" s="14"/>
      <c r="BC657" s="14"/>
      <c r="BD657" s="14"/>
      <c r="BE657" s="14"/>
      <c r="BF657" s="29"/>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c r="CM657" s="14"/>
      <c r="CN657" s="14"/>
      <c r="CO657" s="14"/>
      <c r="CP657" s="14"/>
      <c r="CQ657" s="14"/>
      <c r="CR657" s="14"/>
      <c r="CS657" s="14"/>
      <c r="CT657" s="14"/>
      <c r="CU657" s="14"/>
      <c r="CV657" s="14" t="s">
        <v>2844</v>
      </c>
      <c r="CW657" s="14" t="s">
        <v>1504</v>
      </c>
      <c r="CX657" s="14" t="s">
        <v>1505</v>
      </c>
      <c r="CY657" s="14">
        <v>2021</v>
      </c>
      <c r="CZ657" s="36"/>
      <c r="DA657" s="14" t="s">
        <v>105</v>
      </c>
      <c r="DB657" s="14">
        <v>3</v>
      </c>
      <c r="DC657" s="14">
        <v>3</v>
      </c>
      <c r="DD657" s="14"/>
      <c r="DE657" s="14" t="s">
        <v>1506</v>
      </c>
    </row>
    <row r="658" spans="1:109" s="13" customFormat="1" ht="20">
      <c r="A658" s="14" t="s">
        <v>2124</v>
      </c>
      <c r="B658" s="14" t="s">
        <v>1739</v>
      </c>
      <c r="C658" s="14" t="s">
        <v>473</v>
      </c>
      <c r="D658" s="14" t="s">
        <v>818</v>
      </c>
      <c r="E658" s="14" t="s">
        <v>674</v>
      </c>
      <c r="F658" s="14" t="s">
        <v>995</v>
      </c>
      <c r="G658" s="14"/>
      <c r="H658" s="14" t="s">
        <v>993</v>
      </c>
      <c r="I658" s="14" t="s">
        <v>3167</v>
      </c>
      <c r="J658" s="14" t="s">
        <v>994</v>
      </c>
      <c r="K658" s="14"/>
      <c r="L658" s="13" t="s">
        <v>2848</v>
      </c>
      <c r="M658" s="14">
        <v>30</v>
      </c>
      <c r="N658" s="14">
        <v>8</v>
      </c>
      <c r="O658" s="34">
        <v>0.266666666666666</v>
      </c>
      <c r="P658" s="14"/>
      <c r="Q658" s="14">
        <v>45.57</v>
      </c>
      <c r="R658" s="14">
        <v>13.12</v>
      </c>
      <c r="S658" s="14"/>
      <c r="T658" s="14"/>
      <c r="U658" s="14"/>
      <c r="V658" s="14">
        <v>24</v>
      </c>
      <c r="W658" s="14">
        <f t="shared" si="60"/>
        <v>0.8</v>
      </c>
      <c r="X658" s="14">
        <v>34.130000000000003</v>
      </c>
      <c r="Y658" s="14">
        <v>6.17</v>
      </c>
      <c r="Z658" s="14"/>
      <c r="AA658" s="14"/>
      <c r="AB658" s="14"/>
      <c r="AC658" s="14">
        <v>21</v>
      </c>
      <c r="AD658" s="34">
        <f t="shared" si="62"/>
        <v>0.7</v>
      </c>
      <c r="AE658" s="35">
        <f>3.53*12</f>
        <v>42.36</v>
      </c>
      <c r="AF658" s="35">
        <f>4.71*12</f>
        <v>56.519999999999996</v>
      </c>
      <c r="AG658" s="35"/>
      <c r="AH658" s="35"/>
      <c r="AI658" s="35"/>
      <c r="AJ658" s="35"/>
      <c r="AK658" s="35"/>
      <c r="AL658" s="35"/>
      <c r="AM658" s="35"/>
      <c r="AN658" s="35"/>
      <c r="AO658" s="35"/>
      <c r="AP658" s="35"/>
      <c r="AQ658" s="35"/>
      <c r="AR658" s="35"/>
      <c r="AS658" s="35"/>
      <c r="AT658" s="35"/>
      <c r="AU658" s="14"/>
      <c r="AV658" s="14"/>
      <c r="AW658" s="14"/>
      <c r="AX658" s="14"/>
      <c r="AY658" s="14"/>
      <c r="AZ658" s="14"/>
      <c r="BA658" s="29"/>
      <c r="BB658" s="14"/>
      <c r="BC658" s="14"/>
      <c r="BD658" s="14"/>
      <c r="BE658" s="14"/>
      <c r="BF658" s="29"/>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v>0.01</v>
      </c>
      <c r="CD658" s="14"/>
      <c r="CE658" s="14"/>
      <c r="CF658" s="14"/>
      <c r="CG658" s="14">
        <v>0.95</v>
      </c>
      <c r="CH658" s="14"/>
      <c r="CI658" s="14"/>
      <c r="CJ658" s="14"/>
      <c r="CK658" s="14"/>
      <c r="CL658" s="14"/>
      <c r="CM658" s="14"/>
      <c r="CN658" s="14"/>
      <c r="CO658" s="14"/>
      <c r="CP658" s="14"/>
      <c r="CQ658" s="14"/>
      <c r="CR658" s="14"/>
      <c r="CS658" s="14"/>
      <c r="CT658" s="14"/>
      <c r="CU658" s="14"/>
      <c r="CV658" s="14"/>
      <c r="CW658" s="14" t="s">
        <v>469</v>
      </c>
      <c r="CX658" s="14" t="s">
        <v>470</v>
      </c>
      <c r="CY658" s="14">
        <v>2021</v>
      </c>
      <c r="CZ658" s="36" t="s">
        <v>357</v>
      </c>
      <c r="DA658" s="14" t="s">
        <v>471</v>
      </c>
      <c r="DB658" s="14">
        <v>208</v>
      </c>
      <c r="DC658" s="14"/>
      <c r="DD658" s="14" t="s">
        <v>2161</v>
      </c>
      <c r="DE658" s="14" t="s">
        <v>472</v>
      </c>
    </row>
    <row r="659" spans="1:109" s="13" customFormat="1" ht="20">
      <c r="A659" s="14" t="s">
        <v>2124</v>
      </c>
      <c r="B659" s="14" t="s">
        <v>1739</v>
      </c>
      <c r="C659" s="14" t="s">
        <v>473</v>
      </c>
      <c r="D659" s="14" t="s">
        <v>818</v>
      </c>
      <c r="E659" s="14" t="s">
        <v>674</v>
      </c>
      <c r="F659" s="14" t="s">
        <v>996</v>
      </c>
      <c r="G659" s="14"/>
      <c r="H659" s="14" t="s">
        <v>993</v>
      </c>
      <c r="I659" s="14" t="s">
        <v>4097</v>
      </c>
      <c r="J659" s="14" t="s">
        <v>994</v>
      </c>
      <c r="K659" s="14"/>
      <c r="L659" s="13" t="s">
        <v>2848</v>
      </c>
      <c r="M659" s="14">
        <v>30</v>
      </c>
      <c r="N659" s="14">
        <v>8</v>
      </c>
      <c r="O659" s="34">
        <v>0.266666666666666</v>
      </c>
      <c r="P659" s="14"/>
      <c r="Q659" s="14">
        <v>45.57</v>
      </c>
      <c r="R659" s="14">
        <v>13.12</v>
      </c>
      <c r="S659" s="14"/>
      <c r="T659" s="14"/>
      <c r="U659" s="14"/>
      <c r="V659" s="14">
        <v>24</v>
      </c>
      <c r="W659" s="14">
        <f t="shared" si="60"/>
        <v>0.8</v>
      </c>
      <c r="X659" s="14">
        <v>34.130000000000003</v>
      </c>
      <c r="Y659" s="14">
        <v>6.17</v>
      </c>
      <c r="Z659" s="14"/>
      <c r="AA659" s="14"/>
      <c r="AB659" s="14"/>
      <c r="AC659" s="14">
        <v>21</v>
      </c>
      <c r="AD659" s="34">
        <f t="shared" si="62"/>
        <v>0.7</v>
      </c>
      <c r="AE659" s="35">
        <f>3.53*12</f>
        <v>42.36</v>
      </c>
      <c r="AF659" s="35">
        <f>4.71*12</f>
        <v>56.519999999999996</v>
      </c>
      <c r="AG659" s="35"/>
      <c r="AH659" s="35"/>
      <c r="AI659" s="35"/>
      <c r="AJ659" s="35"/>
      <c r="AK659" s="35"/>
      <c r="AL659" s="35"/>
      <c r="AM659" s="35"/>
      <c r="AN659" s="35"/>
      <c r="AO659" s="35"/>
      <c r="AP659" s="35"/>
      <c r="AQ659" s="35"/>
      <c r="AR659" s="35"/>
      <c r="AS659" s="35"/>
      <c r="AT659" s="35"/>
      <c r="AU659" s="14"/>
      <c r="AV659" s="14"/>
      <c r="AW659" s="14"/>
      <c r="AX659" s="14"/>
      <c r="AY659" s="14"/>
      <c r="AZ659" s="14"/>
      <c r="BA659" s="29"/>
      <c r="BB659" s="14"/>
      <c r="BC659" s="14"/>
      <c r="BD659" s="14"/>
      <c r="BE659" s="14"/>
      <c r="BF659" s="29"/>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v>-0.02</v>
      </c>
      <c r="CD659" s="14"/>
      <c r="CE659" s="14"/>
      <c r="CF659" s="14"/>
      <c r="CG659" s="14">
        <v>0.93</v>
      </c>
      <c r="CH659" s="14"/>
      <c r="CI659" s="14"/>
      <c r="CJ659" s="14"/>
      <c r="CK659" s="14"/>
      <c r="CL659" s="14"/>
      <c r="CM659" s="14"/>
      <c r="CN659" s="14"/>
      <c r="CO659" s="14"/>
      <c r="CP659" s="14"/>
      <c r="CQ659" s="14"/>
      <c r="CR659" s="14"/>
      <c r="CS659" s="14"/>
      <c r="CT659" s="14"/>
      <c r="CU659" s="14"/>
      <c r="CV659" s="14"/>
      <c r="CW659" s="14" t="s">
        <v>469</v>
      </c>
      <c r="CX659" s="14" t="s">
        <v>470</v>
      </c>
      <c r="CY659" s="14">
        <v>2021</v>
      </c>
      <c r="CZ659" s="36" t="s">
        <v>357</v>
      </c>
      <c r="DA659" s="14" t="s">
        <v>471</v>
      </c>
      <c r="DB659" s="14">
        <v>208</v>
      </c>
      <c r="DC659" s="14"/>
      <c r="DD659" s="14" t="s">
        <v>2161</v>
      </c>
      <c r="DE659" s="14" t="s">
        <v>472</v>
      </c>
    </row>
    <row r="660" spans="1:109" s="13" customFormat="1" ht="20">
      <c r="A660" s="14" t="s">
        <v>1904</v>
      </c>
      <c r="B660" s="14"/>
      <c r="C660" s="14" t="s">
        <v>1511</v>
      </c>
      <c r="D660" s="14" t="s">
        <v>818</v>
      </c>
      <c r="E660" s="14" t="s">
        <v>674</v>
      </c>
      <c r="F660" s="14" t="s">
        <v>2853</v>
      </c>
      <c r="G660" s="14"/>
      <c r="H660" s="14" t="s">
        <v>703</v>
      </c>
      <c r="I660" s="14" t="s">
        <v>3168</v>
      </c>
      <c r="J660" s="14" t="s">
        <v>2362</v>
      </c>
      <c r="K660" s="14" t="s">
        <v>2854</v>
      </c>
      <c r="L660" s="14"/>
      <c r="M660" s="14">
        <v>40</v>
      </c>
      <c r="N660" s="14">
        <v>0</v>
      </c>
      <c r="O660" s="34"/>
      <c r="P660" s="14">
        <v>0</v>
      </c>
      <c r="Q660" s="14">
        <v>67</v>
      </c>
      <c r="R660" s="14">
        <v>9.91</v>
      </c>
      <c r="S660" s="14"/>
      <c r="T660" s="14"/>
      <c r="U660" s="14"/>
      <c r="V660" s="14"/>
      <c r="W660" s="14"/>
      <c r="X660" s="14">
        <v>35.799999999999997</v>
      </c>
      <c r="Y660" s="14">
        <v>0.85</v>
      </c>
      <c r="Z660" s="14"/>
      <c r="AA660" s="14"/>
      <c r="AB660" s="14"/>
      <c r="AC660" s="14">
        <v>32</v>
      </c>
      <c r="AD660" s="34">
        <f t="shared" si="62"/>
        <v>0.8</v>
      </c>
      <c r="AE660" s="35"/>
      <c r="AF660" s="35"/>
      <c r="AG660" s="35"/>
      <c r="AH660" s="35"/>
      <c r="AI660" s="35"/>
      <c r="AJ660" s="35"/>
      <c r="AK660" s="35"/>
      <c r="AL660" s="35"/>
      <c r="AM660" s="35"/>
      <c r="AN660" s="35"/>
      <c r="AO660" s="35"/>
      <c r="AP660" s="35"/>
      <c r="AQ660" s="35"/>
      <c r="AR660" s="35"/>
      <c r="AS660" s="35"/>
      <c r="AT660" s="35"/>
      <c r="AU660" s="14"/>
      <c r="AV660" s="14"/>
      <c r="AW660" s="14"/>
      <c r="AX660" s="14"/>
      <c r="AY660" s="14"/>
      <c r="AZ660" s="14"/>
      <c r="BA660" s="29"/>
      <c r="BB660" s="14"/>
      <c r="BC660" s="14"/>
      <c r="BD660" s="14"/>
      <c r="BE660" s="14"/>
      <c r="BF660" s="14"/>
      <c r="BG660" s="14"/>
      <c r="BH660" s="14"/>
      <c r="BI660" s="14"/>
      <c r="BJ660" s="14"/>
      <c r="BK660" s="14"/>
      <c r="BL660" s="14"/>
      <c r="BM660" s="14"/>
      <c r="BN660" s="14" t="s">
        <v>2552</v>
      </c>
      <c r="BO660" s="14" t="s">
        <v>2800</v>
      </c>
      <c r="BP660" s="14" t="s">
        <v>2852</v>
      </c>
      <c r="BQ660" s="14"/>
      <c r="BR660" s="14"/>
      <c r="BS660" s="14"/>
      <c r="BT660" s="14"/>
      <c r="BU660" s="14"/>
      <c r="BV660" s="14"/>
      <c r="BW660" s="14"/>
      <c r="BX660" s="14"/>
      <c r="BY660" s="14"/>
      <c r="BZ660" s="14"/>
      <c r="CA660" s="14"/>
      <c r="CB660" s="14"/>
      <c r="CC660" s="14"/>
      <c r="CD660" s="14"/>
      <c r="CE660" s="14"/>
      <c r="CF660" s="14"/>
      <c r="CG660" s="14"/>
      <c r="CH660" s="14"/>
      <c r="CI660" s="14"/>
      <c r="CJ660" s="14" t="s">
        <v>2855</v>
      </c>
      <c r="CK660" s="14">
        <v>0.40899999999999997</v>
      </c>
      <c r="CL660" s="14"/>
      <c r="CM660" s="14"/>
      <c r="CN660" s="14">
        <v>6.0000000000000001E-3</v>
      </c>
      <c r="CO660" s="14"/>
      <c r="CP660" s="14"/>
      <c r="CQ660" s="14"/>
      <c r="CR660" s="14"/>
      <c r="CS660" s="14"/>
      <c r="CT660" s="14"/>
      <c r="CU660" s="14"/>
      <c r="CV660" s="14" t="s">
        <v>2856</v>
      </c>
      <c r="CW660" s="14" t="s">
        <v>1508</v>
      </c>
      <c r="CX660" s="14" t="s">
        <v>1509</v>
      </c>
      <c r="CY660" s="14">
        <v>2019</v>
      </c>
      <c r="CZ660" s="36"/>
      <c r="DA660" s="14" t="s">
        <v>1197</v>
      </c>
      <c r="DB660" s="14">
        <v>13</v>
      </c>
      <c r="DC660" s="14"/>
      <c r="DD660" s="14" t="s">
        <v>2160</v>
      </c>
      <c r="DE660" s="14" t="s">
        <v>1510</v>
      </c>
    </row>
    <row r="661" spans="1:109" s="13" customFormat="1" ht="20">
      <c r="A661" s="14" t="s">
        <v>1905</v>
      </c>
      <c r="B661" s="14" t="s">
        <v>1740</v>
      </c>
      <c r="C661" s="14" t="s">
        <v>478</v>
      </c>
      <c r="D661" s="14" t="s">
        <v>1015</v>
      </c>
      <c r="E661" s="14" t="s">
        <v>672</v>
      </c>
      <c r="F661" s="14" t="s">
        <v>680</v>
      </c>
      <c r="G661" s="14"/>
      <c r="H661" s="14" t="s">
        <v>2860</v>
      </c>
      <c r="I661" s="14" t="s">
        <v>4098</v>
      </c>
      <c r="J661" s="14" t="s">
        <v>585</v>
      </c>
      <c r="K661" s="14"/>
      <c r="L661" s="14" t="s">
        <v>639</v>
      </c>
      <c r="M661" s="14">
        <v>161</v>
      </c>
      <c r="N661" s="14"/>
      <c r="O661" s="34"/>
      <c r="P661" s="14">
        <v>6</v>
      </c>
      <c r="Q661" s="14"/>
      <c r="R661" s="14"/>
      <c r="S661" s="14">
        <v>62</v>
      </c>
      <c r="T661" s="14"/>
      <c r="U661" s="14"/>
      <c r="V661" s="14">
        <v>103</v>
      </c>
      <c r="W661" s="14">
        <f>V661/M661</f>
        <v>0.63975155279503104</v>
      </c>
      <c r="X661" s="14"/>
      <c r="Y661" s="14"/>
      <c r="Z661" s="14">
        <v>43</v>
      </c>
      <c r="AA661" s="14"/>
      <c r="AB661" s="14"/>
      <c r="AC661" s="14">
        <v>60</v>
      </c>
      <c r="AD661" s="34">
        <f t="shared" si="62"/>
        <v>0.37267080745341613</v>
      </c>
      <c r="AE661" s="35"/>
      <c r="AF661" s="35"/>
      <c r="AG661" s="35">
        <v>10.3</v>
      </c>
      <c r="AH661" s="35"/>
      <c r="AI661" s="35"/>
      <c r="AJ661" s="35"/>
      <c r="AK661" s="35"/>
      <c r="AL661" s="35"/>
      <c r="AM661" s="35"/>
      <c r="AN661" s="35"/>
      <c r="AO661" s="35"/>
      <c r="AP661" s="35"/>
      <c r="AQ661" s="35"/>
      <c r="AR661" s="35"/>
      <c r="AS661" s="35"/>
      <c r="AT661" s="35"/>
      <c r="AU661" s="14" t="s">
        <v>2447</v>
      </c>
      <c r="AV661" s="14"/>
      <c r="AW661" s="14"/>
      <c r="AX661" s="14"/>
      <c r="AY661" s="14"/>
      <c r="AZ661" s="14"/>
      <c r="BA661" s="29"/>
      <c r="BB661" s="14"/>
      <c r="BC661" s="14"/>
      <c r="BD661" s="14"/>
      <c r="BE661" s="29" t="s">
        <v>2861</v>
      </c>
      <c r="BF661" s="29"/>
      <c r="BG661" s="14"/>
      <c r="BH661" s="14"/>
      <c r="BI661" s="14"/>
      <c r="BJ661" s="14" t="s">
        <v>4107</v>
      </c>
      <c r="BK661" s="14">
        <v>3.84</v>
      </c>
      <c r="BL661" s="14">
        <v>1.21</v>
      </c>
      <c r="BM661" s="14">
        <v>12</v>
      </c>
      <c r="BN661" s="14" t="s">
        <v>2231</v>
      </c>
      <c r="BO661" s="14"/>
      <c r="BP661" s="14"/>
      <c r="BQ661" s="14">
        <v>0.20899999999999999</v>
      </c>
      <c r="BR661" s="14"/>
      <c r="BS661" s="14">
        <v>3.9E-2</v>
      </c>
      <c r="BT661" s="14">
        <v>0.36799999999999999</v>
      </c>
      <c r="BU661" s="14">
        <v>1.38E-2</v>
      </c>
      <c r="BV661" s="14"/>
      <c r="BW661" s="14"/>
      <c r="BX661" s="14"/>
      <c r="BY661" s="14"/>
      <c r="BZ661" s="14"/>
      <c r="CA661" s="14"/>
      <c r="CB661" s="14"/>
      <c r="CC661" s="14">
        <v>-0.05</v>
      </c>
      <c r="CD661" s="14"/>
      <c r="CE661" s="14">
        <v>-0.22</v>
      </c>
      <c r="CF661" s="14">
        <v>0.123</v>
      </c>
      <c r="CG661" s="14">
        <v>0.56320000000000003</v>
      </c>
      <c r="CH661" s="14">
        <v>9.9000000000000005E-2</v>
      </c>
      <c r="CI661" s="14">
        <v>0.49049999999999999</v>
      </c>
      <c r="CJ661" s="14"/>
      <c r="CK661" s="14"/>
      <c r="CL661" s="14"/>
      <c r="CM661" s="14"/>
      <c r="CN661" s="14"/>
      <c r="CO661" s="14"/>
      <c r="CP661" s="14"/>
      <c r="CQ661" s="14"/>
      <c r="CR661" s="14"/>
      <c r="CS661" s="14"/>
      <c r="CT661" s="14"/>
      <c r="CU661" s="14"/>
      <c r="CV661" s="14"/>
      <c r="CW661" s="14" t="s">
        <v>474</v>
      </c>
      <c r="CX661" s="14" t="s">
        <v>475</v>
      </c>
      <c r="CY661" s="14">
        <v>2021</v>
      </c>
      <c r="CZ661" s="36" t="s">
        <v>330</v>
      </c>
      <c r="DA661" s="14" t="s">
        <v>64</v>
      </c>
      <c r="DB661" s="14">
        <v>22</v>
      </c>
      <c r="DC661" s="14">
        <v>45355</v>
      </c>
      <c r="DD661" s="14" t="s">
        <v>476</v>
      </c>
      <c r="DE661" s="14" t="s">
        <v>477</v>
      </c>
    </row>
    <row r="662" spans="1:109" s="13" customFormat="1" ht="20">
      <c r="A662" s="14" t="s">
        <v>1905</v>
      </c>
      <c r="B662" s="14" t="s">
        <v>1740</v>
      </c>
      <c r="C662" s="14" t="s">
        <v>478</v>
      </c>
      <c r="D662" s="14" t="s">
        <v>1015</v>
      </c>
      <c r="E662" s="14" t="s">
        <v>672</v>
      </c>
      <c r="F662" s="14" t="s">
        <v>675</v>
      </c>
      <c r="G662" s="14"/>
      <c r="H662" s="14" t="s">
        <v>2860</v>
      </c>
      <c r="I662" s="14" t="s">
        <v>2859</v>
      </c>
      <c r="J662" s="14" t="s">
        <v>585</v>
      </c>
      <c r="K662" s="14"/>
      <c r="L662" s="14" t="s">
        <v>639</v>
      </c>
      <c r="M662" s="14">
        <v>161</v>
      </c>
      <c r="N662" s="14"/>
      <c r="O662" s="34"/>
      <c r="P662" s="14">
        <v>6</v>
      </c>
      <c r="Q662" s="14"/>
      <c r="R662" s="14"/>
      <c r="S662" s="14">
        <v>62</v>
      </c>
      <c r="T662" s="14"/>
      <c r="U662" s="14"/>
      <c r="V662" s="14">
        <v>103</v>
      </c>
      <c r="W662" s="14">
        <f>V662/M662</f>
        <v>0.63975155279503104</v>
      </c>
      <c r="X662" s="14"/>
      <c r="Y662" s="14"/>
      <c r="Z662" s="14">
        <v>43</v>
      </c>
      <c r="AA662" s="14"/>
      <c r="AB662" s="14"/>
      <c r="AC662" s="14">
        <v>60</v>
      </c>
      <c r="AD662" s="34">
        <f t="shared" si="62"/>
        <v>0.37267080745341613</v>
      </c>
      <c r="AE662" s="35"/>
      <c r="AF662" s="35"/>
      <c r="AG662" s="35">
        <v>10.3</v>
      </c>
      <c r="AH662" s="35"/>
      <c r="AI662" s="35"/>
      <c r="AJ662" s="35"/>
      <c r="AK662" s="35"/>
      <c r="AL662" s="35"/>
      <c r="AM662" s="35"/>
      <c r="AN662" s="35"/>
      <c r="AO662" s="35"/>
      <c r="AP662" s="35"/>
      <c r="AQ662" s="35"/>
      <c r="AR662" s="35"/>
      <c r="AS662" s="35"/>
      <c r="AT662" s="35"/>
      <c r="AU662" s="14" t="s">
        <v>2447</v>
      </c>
      <c r="AV662" s="14"/>
      <c r="AW662" s="14"/>
      <c r="AX662" s="14"/>
      <c r="AY662" s="14"/>
      <c r="AZ662" s="14"/>
      <c r="BA662" s="29"/>
      <c r="BB662" s="14"/>
      <c r="BC662" s="14"/>
      <c r="BD662" s="14"/>
      <c r="BE662" s="29" t="s">
        <v>2861</v>
      </c>
      <c r="BF662" s="29"/>
      <c r="BG662" s="14"/>
      <c r="BH662" s="14"/>
      <c r="BI662" s="14"/>
      <c r="BJ662" s="14" t="s">
        <v>4107</v>
      </c>
      <c r="BK662" s="14">
        <v>5.27</v>
      </c>
      <c r="BL662" s="14">
        <v>1.96</v>
      </c>
      <c r="BM662" s="14">
        <v>14.2</v>
      </c>
      <c r="BN662" s="14" t="s">
        <v>2231</v>
      </c>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t="s">
        <v>474</v>
      </c>
      <c r="CX662" s="14" t="s">
        <v>475</v>
      </c>
      <c r="CY662" s="14">
        <v>2021</v>
      </c>
      <c r="CZ662" s="36" t="s">
        <v>330</v>
      </c>
      <c r="DA662" s="14" t="s">
        <v>64</v>
      </c>
      <c r="DB662" s="14">
        <v>22</v>
      </c>
      <c r="DC662" s="14">
        <v>45355</v>
      </c>
      <c r="DD662" s="14" t="s">
        <v>476</v>
      </c>
      <c r="DE662" s="14" t="s">
        <v>477</v>
      </c>
    </row>
    <row r="663" spans="1:109" s="13" customFormat="1" ht="20">
      <c r="A663" s="14" t="s">
        <v>1905</v>
      </c>
      <c r="B663" s="14" t="s">
        <v>1740</v>
      </c>
      <c r="C663" s="14" t="s">
        <v>478</v>
      </c>
      <c r="D663" s="14" t="s">
        <v>1015</v>
      </c>
      <c r="E663" s="14" t="s">
        <v>672</v>
      </c>
      <c r="F663" s="14" t="s">
        <v>686</v>
      </c>
      <c r="G663" s="14"/>
      <c r="H663" s="14" t="s">
        <v>2860</v>
      </c>
      <c r="I663" s="14" t="s">
        <v>2859</v>
      </c>
      <c r="J663" s="14" t="s">
        <v>585</v>
      </c>
      <c r="K663" s="14"/>
      <c r="L663" s="14" t="s">
        <v>639</v>
      </c>
      <c r="M663" s="14">
        <v>161</v>
      </c>
      <c r="N663" s="14"/>
      <c r="O663" s="34"/>
      <c r="P663" s="14">
        <v>6</v>
      </c>
      <c r="Q663" s="14"/>
      <c r="R663" s="14"/>
      <c r="S663" s="14">
        <v>62</v>
      </c>
      <c r="T663" s="14"/>
      <c r="U663" s="14"/>
      <c r="V663" s="14">
        <v>103</v>
      </c>
      <c r="W663" s="14">
        <f>V663/M663</f>
        <v>0.63975155279503104</v>
      </c>
      <c r="X663" s="14"/>
      <c r="Y663" s="14"/>
      <c r="Z663" s="14">
        <v>43</v>
      </c>
      <c r="AA663" s="14"/>
      <c r="AB663" s="14"/>
      <c r="AC663" s="14">
        <v>60</v>
      </c>
      <c r="AD663" s="34">
        <f t="shared" si="62"/>
        <v>0.37267080745341613</v>
      </c>
      <c r="AE663" s="35"/>
      <c r="AF663" s="35"/>
      <c r="AG663" s="35">
        <v>10.3</v>
      </c>
      <c r="AH663" s="35"/>
      <c r="AI663" s="35"/>
      <c r="AJ663" s="35"/>
      <c r="AK663" s="35"/>
      <c r="AL663" s="35"/>
      <c r="AM663" s="35"/>
      <c r="AN663" s="35"/>
      <c r="AO663" s="35"/>
      <c r="AP663" s="35"/>
      <c r="AQ663" s="35"/>
      <c r="AR663" s="35"/>
      <c r="AS663" s="35"/>
      <c r="AT663" s="35"/>
      <c r="AU663" s="14" t="s">
        <v>2447</v>
      </c>
      <c r="AV663" s="14"/>
      <c r="AW663" s="14"/>
      <c r="AX663" s="14"/>
      <c r="AY663" s="14"/>
      <c r="AZ663" s="14"/>
      <c r="BA663" s="29"/>
      <c r="BB663" s="14"/>
      <c r="BC663" s="14"/>
      <c r="BD663" s="14"/>
      <c r="BE663" s="29" t="s">
        <v>2861</v>
      </c>
      <c r="BF663" s="29"/>
      <c r="BG663" s="14"/>
      <c r="BH663" s="14"/>
      <c r="BI663" s="14"/>
      <c r="BJ663" s="14" t="s">
        <v>4107</v>
      </c>
      <c r="BK663" s="14">
        <v>3.03</v>
      </c>
      <c r="BL663" s="14">
        <v>1.17</v>
      </c>
      <c r="BM663" s="14">
        <v>7.82</v>
      </c>
      <c r="BN663" s="14" t="s">
        <v>2231</v>
      </c>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t="s">
        <v>474</v>
      </c>
      <c r="CX663" s="14" t="s">
        <v>475</v>
      </c>
      <c r="CY663" s="14">
        <v>2021</v>
      </c>
      <c r="CZ663" s="36" t="s">
        <v>330</v>
      </c>
      <c r="DA663" s="14" t="s">
        <v>64</v>
      </c>
      <c r="DB663" s="14">
        <v>22</v>
      </c>
      <c r="DC663" s="14">
        <v>45355</v>
      </c>
      <c r="DD663" s="14" t="s">
        <v>476</v>
      </c>
      <c r="DE663" s="14" t="s">
        <v>477</v>
      </c>
    </row>
    <row r="664" spans="1:109" s="13" customFormat="1" ht="20">
      <c r="A664" s="14" t="s">
        <v>1906</v>
      </c>
      <c r="B664" s="14"/>
      <c r="C664" s="14" t="s">
        <v>1516</v>
      </c>
      <c r="D664" s="14" t="s">
        <v>4179</v>
      </c>
      <c r="E664" s="14"/>
      <c r="F664" s="14"/>
      <c r="G664" s="14" t="s">
        <v>2862</v>
      </c>
      <c r="H664" s="14"/>
      <c r="I664" s="14"/>
      <c r="J664" s="14"/>
      <c r="K664" s="14"/>
      <c r="L664" s="14"/>
      <c r="M664" s="14"/>
      <c r="N664" s="14"/>
      <c r="O664" s="34"/>
      <c r="P664" s="14"/>
      <c r="Q664" s="14"/>
      <c r="R664" s="14"/>
      <c r="S664" s="14"/>
      <c r="T664" s="14"/>
      <c r="U664" s="14"/>
      <c r="V664" s="14"/>
      <c r="W664" s="14"/>
      <c r="X664" s="14"/>
      <c r="Y664" s="14"/>
      <c r="Z664" s="14"/>
      <c r="AA664" s="14"/>
      <c r="AB664" s="14"/>
      <c r="AC664" s="14"/>
      <c r="AD664" s="34"/>
      <c r="AE664" s="35"/>
      <c r="AF664" s="35"/>
      <c r="AG664" s="35"/>
      <c r="AH664" s="35"/>
      <c r="AI664" s="35"/>
      <c r="AJ664" s="35"/>
      <c r="AK664" s="35"/>
      <c r="AL664" s="35"/>
      <c r="AM664" s="35"/>
      <c r="AN664" s="35"/>
      <c r="AO664" s="35"/>
      <c r="AP664" s="35"/>
      <c r="AQ664" s="35"/>
      <c r="AR664" s="35"/>
      <c r="AS664" s="35"/>
      <c r="AT664" s="35"/>
      <c r="AU664" s="14"/>
      <c r="AV664" s="14"/>
      <c r="AW664" s="14"/>
      <c r="AX664" s="14"/>
      <c r="AY664" s="14"/>
      <c r="AZ664" s="14"/>
      <c r="BA664" s="29"/>
      <c r="BB664" s="14"/>
      <c r="BC664" s="14"/>
      <c r="BD664" s="14"/>
      <c r="BE664" s="29"/>
      <c r="BF664" s="29"/>
      <c r="BG664" s="14"/>
      <c r="BH664" s="14"/>
      <c r="BI664" s="14"/>
      <c r="BJ664" s="29"/>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t="s">
        <v>1512</v>
      </c>
      <c r="CX664" s="14" t="s">
        <v>1513</v>
      </c>
      <c r="CY664" s="14">
        <v>2021</v>
      </c>
      <c r="CZ664" s="36" t="s">
        <v>162</v>
      </c>
      <c r="DA664" s="14" t="s">
        <v>1514</v>
      </c>
      <c r="DB664" s="14">
        <v>74</v>
      </c>
      <c r="DC664" s="14"/>
      <c r="DD664" s="14"/>
      <c r="DE664" s="14" t="s">
        <v>1515</v>
      </c>
    </row>
    <row r="665" spans="1:109" s="13" customFormat="1" ht="20">
      <c r="A665" s="14" t="s">
        <v>1907</v>
      </c>
      <c r="B665" s="14"/>
      <c r="C665" s="14" t="s">
        <v>1520</v>
      </c>
      <c r="D665" s="14" t="s">
        <v>825</v>
      </c>
      <c r="E665" s="14" t="s">
        <v>673</v>
      </c>
      <c r="F665" s="14" t="s">
        <v>675</v>
      </c>
      <c r="G665" s="14"/>
      <c r="H665" s="14" t="s">
        <v>712</v>
      </c>
      <c r="I665" s="14" t="s">
        <v>2863</v>
      </c>
      <c r="J665" s="14" t="s">
        <v>652</v>
      </c>
      <c r="K665" s="14"/>
      <c r="L665" s="14" t="s">
        <v>639</v>
      </c>
      <c r="M665" s="14">
        <v>30</v>
      </c>
      <c r="N665" s="14"/>
      <c r="O665" s="34"/>
      <c r="P665" s="14"/>
      <c r="Q665" s="14"/>
      <c r="R665" s="14"/>
      <c r="S665" s="14">
        <v>59</v>
      </c>
      <c r="T665" s="14">
        <v>52.5</v>
      </c>
      <c r="U665" s="14">
        <v>64</v>
      </c>
      <c r="V665" s="14">
        <v>21</v>
      </c>
      <c r="W665" s="14">
        <f t="shared" ref="W665:W683" si="63">V665/M665</f>
        <v>0.7</v>
      </c>
      <c r="X665" s="14"/>
      <c r="Y665" s="14"/>
      <c r="Z665" s="14">
        <v>33</v>
      </c>
      <c r="AA665" s="14">
        <v>29.3</v>
      </c>
      <c r="AB665" s="14">
        <v>42</v>
      </c>
      <c r="AC665" s="14">
        <v>22</v>
      </c>
      <c r="AD665" s="34">
        <f t="shared" ref="AD665:AD671" si="64">AC665/M665</f>
        <v>0.73333333333333328</v>
      </c>
      <c r="AE665" s="35"/>
      <c r="AF665" s="35"/>
      <c r="AG665" s="35">
        <v>17.8</v>
      </c>
      <c r="AH665" s="35">
        <v>12.4</v>
      </c>
      <c r="AI665" s="35">
        <v>29.1</v>
      </c>
      <c r="AJ665" s="35"/>
      <c r="AK665" s="35"/>
      <c r="AL665" s="35"/>
      <c r="AM665" s="35"/>
      <c r="AN665" s="35"/>
      <c r="AO665" s="35"/>
      <c r="AP665" s="35"/>
      <c r="AQ665" s="35"/>
      <c r="AR665" s="35"/>
      <c r="AS665" s="35"/>
      <c r="AT665" s="35"/>
      <c r="AU665" s="14"/>
      <c r="AV665" s="14"/>
      <c r="AW665" s="14"/>
      <c r="AX665" s="14"/>
      <c r="AY665" s="14"/>
      <c r="AZ665" s="14"/>
      <c r="BA665" s="29"/>
      <c r="BB665" s="14"/>
      <c r="BC665" s="14"/>
      <c r="BD665" s="14"/>
      <c r="BE665" s="14"/>
      <c r="BF665" s="14"/>
      <c r="BG665" s="14"/>
      <c r="BH665" s="14"/>
      <c r="BI665" s="14"/>
      <c r="BJ665" s="14"/>
      <c r="BK665" s="14"/>
      <c r="BL665" s="14"/>
      <c r="BM665" s="14"/>
      <c r="BN665" s="14" t="s">
        <v>2552</v>
      </c>
      <c r="BO665" s="14" t="s">
        <v>2490</v>
      </c>
      <c r="BP665" s="14"/>
      <c r="BQ665" s="14">
        <f>SQRT(0.42)</f>
        <v>0.64807406984078597</v>
      </c>
      <c r="BR665" s="14"/>
      <c r="BS665" s="14"/>
      <c r="BT665" s="14"/>
      <c r="BU665" s="14">
        <v>1E-3</v>
      </c>
      <c r="BV665" s="14"/>
      <c r="BW665" s="14"/>
      <c r="BX665" s="14"/>
      <c r="BY665" s="14"/>
      <c r="BZ665" s="14"/>
      <c r="CA665" s="14"/>
      <c r="CB665" s="14"/>
      <c r="CC665" s="14">
        <f>-SQRT(0.15)</f>
        <v>-0.3872983346207417</v>
      </c>
      <c r="CD665" s="14"/>
      <c r="CE665" s="14"/>
      <c r="CF665" s="14"/>
      <c r="CG665" s="14">
        <v>4.7E-2</v>
      </c>
      <c r="CH665" s="14"/>
      <c r="CI665" s="14"/>
      <c r="CJ665" s="14"/>
      <c r="CK665" s="14"/>
      <c r="CL665" s="14"/>
      <c r="CM665" s="14"/>
      <c r="CN665" s="14"/>
      <c r="CO665" s="14"/>
      <c r="CP665" s="14"/>
      <c r="CQ665" s="14"/>
      <c r="CR665" s="14"/>
      <c r="CS665" s="14"/>
      <c r="CT665" s="14"/>
      <c r="CU665" s="14"/>
      <c r="CV665" s="14" t="s">
        <v>2864</v>
      </c>
      <c r="CW665" s="14" t="s">
        <v>1517</v>
      </c>
      <c r="CX665" s="14" t="s">
        <v>1518</v>
      </c>
      <c r="CY665" s="14">
        <v>2020</v>
      </c>
      <c r="CZ665" s="36"/>
      <c r="DA665" s="14" t="s">
        <v>416</v>
      </c>
      <c r="DB665" s="14">
        <v>11</v>
      </c>
      <c r="DC665" s="14"/>
      <c r="DD665" s="14" t="s">
        <v>2159</v>
      </c>
      <c r="DE665" s="14" t="s">
        <v>1519</v>
      </c>
    </row>
    <row r="666" spans="1:109" s="13" customFormat="1" ht="20">
      <c r="A666" s="14" t="s">
        <v>1908</v>
      </c>
      <c r="B666" s="14"/>
      <c r="C666" s="14" t="s">
        <v>1525</v>
      </c>
      <c r="D666" s="14" t="s">
        <v>827</v>
      </c>
      <c r="E666" s="14" t="s">
        <v>673</v>
      </c>
      <c r="F666" s="14" t="s">
        <v>2869</v>
      </c>
      <c r="G666" s="14"/>
      <c r="H666" s="14" t="s">
        <v>855</v>
      </c>
      <c r="I666" s="14" t="s">
        <v>3169</v>
      </c>
      <c r="J666" s="14" t="s">
        <v>2867</v>
      </c>
      <c r="K666" s="14" t="s">
        <v>2868</v>
      </c>
      <c r="L666" s="14"/>
      <c r="M666" s="14">
        <v>70</v>
      </c>
      <c r="N666" s="14"/>
      <c r="O666" s="34"/>
      <c r="P666" s="14"/>
      <c r="Q666" s="14"/>
      <c r="R666" s="14"/>
      <c r="S666" s="14">
        <v>65.5</v>
      </c>
      <c r="T666" s="14">
        <f>S666-15.5/2</f>
        <v>57.75</v>
      </c>
      <c r="U666" s="14">
        <f>T666+15.5</f>
        <v>73.25</v>
      </c>
      <c r="V666" s="14">
        <v>37</v>
      </c>
      <c r="W666" s="14">
        <f t="shared" si="63"/>
        <v>0.52857142857142858</v>
      </c>
      <c r="X666" s="14"/>
      <c r="Y666" s="14"/>
      <c r="Z666" s="14">
        <v>40.5</v>
      </c>
      <c r="AA666" s="14">
        <f>Z666-7.8/2</f>
        <v>36.6</v>
      </c>
      <c r="AB666" s="14">
        <f>AA666+7.8</f>
        <v>44.4</v>
      </c>
      <c r="AC666" s="14">
        <v>55</v>
      </c>
      <c r="AD666" s="34">
        <f t="shared" si="64"/>
        <v>0.7857142857142857</v>
      </c>
      <c r="AE666" s="35"/>
      <c r="AF666" s="35"/>
      <c r="AG666" s="35">
        <v>13</v>
      </c>
      <c r="AH666" s="35">
        <f>AG666-8.3/2</f>
        <v>8.85</v>
      </c>
      <c r="AI666" s="35">
        <f>AH666+8.3</f>
        <v>17.149999999999999</v>
      </c>
      <c r="AJ666" s="35"/>
      <c r="AK666" s="35"/>
      <c r="AL666" s="35"/>
      <c r="AM666" s="35"/>
      <c r="AN666" s="35"/>
      <c r="AO666" s="35"/>
      <c r="AP666" s="35"/>
      <c r="AQ666" s="35"/>
      <c r="AR666" s="35"/>
      <c r="AS666" s="35"/>
      <c r="AT666" s="35"/>
      <c r="AU666" s="14"/>
      <c r="AV666" s="14"/>
      <c r="AW666" s="14"/>
      <c r="AX666" s="14"/>
      <c r="AY666" s="14"/>
      <c r="AZ666" s="14"/>
      <c r="BA666" s="29"/>
      <c r="BB666" s="14"/>
      <c r="BC666" s="14"/>
      <c r="BD666" s="14"/>
      <c r="BE666" s="14"/>
      <c r="BF666" s="29"/>
      <c r="BG666" s="14"/>
      <c r="BH666" s="14"/>
      <c r="BI666" s="14"/>
      <c r="BJ666" s="14"/>
      <c r="BK666" s="14"/>
      <c r="BL666" s="14"/>
      <c r="BM666" s="14"/>
      <c r="BN666" s="14" t="s">
        <v>2231</v>
      </c>
      <c r="BO666" s="14" t="s">
        <v>2490</v>
      </c>
      <c r="BP666" s="14"/>
      <c r="BQ666" s="14"/>
      <c r="BR666" s="14"/>
      <c r="BS666" s="14"/>
      <c r="BT666" s="14"/>
      <c r="BU666" s="14"/>
      <c r="BV666" s="14"/>
      <c r="BW666" s="14"/>
      <c r="BX666" s="14"/>
      <c r="BY666" s="14"/>
      <c r="BZ666" s="14"/>
      <c r="CA666" s="14"/>
      <c r="CB666" s="14"/>
      <c r="CC666" s="14">
        <v>-0.40899999999999997</v>
      </c>
      <c r="CD666" s="14"/>
      <c r="CE666" s="14"/>
      <c r="CF666" s="14"/>
      <c r="CG666" s="14">
        <v>1E-3</v>
      </c>
      <c r="CH666" s="14"/>
      <c r="CI666" s="14"/>
      <c r="CJ666" s="14"/>
      <c r="CK666" s="14"/>
      <c r="CL666" s="14"/>
      <c r="CM666" s="14"/>
      <c r="CN666" s="14"/>
      <c r="CO666" s="14"/>
      <c r="CP666" s="14"/>
      <c r="CQ666" s="14"/>
      <c r="CR666" s="14"/>
      <c r="CS666" s="14"/>
      <c r="CT666" s="14"/>
      <c r="CU666" s="14"/>
      <c r="CV666" s="14"/>
      <c r="CW666" s="14" t="s">
        <v>1521</v>
      </c>
      <c r="CX666" s="14" t="s">
        <v>1522</v>
      </c>
      <c r="CY666" s="14">
        <v>2021</v>
      </c>
      <c r="CZ666" s="36" t="s">
        <v>119</v>
      </c>
      <c r="DA666" s="14" t="s">
        <v>64</v>
      </c>
      <c r="DB666" s="14">
        <v>22</v>
      </c>
      <c r="DC666" s="14">
        <v>45418</v>
      </c>
      <c r="DD666" s="14" t="s">
        <v>1523</v>
      </c>
      <c r="DE666" s="14" t="s">
        <v>1524</v>
      </c>
    </row>
    <row r="667" spans="1:109" s="13" customFormat="1" ht="20">
      <c r="A667" s="14" t="s">
        <v>1911</v>
      </c>
      <c r="B667" s="14"/>
      <c r="C667" s="14" t="s">
        <v>1541</v>
      </c>
      <c r="D667" s="14" t="s">
        <v>2772</v>
      </c>
      <c r="E667" s="14" t="s">
        <v>673</v>
      </c>
      <c r="F667" s="14" t="s">
        <v>2419</v>
      </c>
      <c r="G667" s="14"/>
      <c r="H667" s="14" t="s">
        <v>712</v>
      </c>
      <c r="I667" s="14" t="s">
        <v>2875</v>
      </c>
      <c r="J667" s="14" t="s">
        <v>1016</v>
      </c>
      <c r="K667" s="13" t="s">
        <v>2887</v>
      </c>
      <c r="L667" s="14" t="s">
        <v>885</v>
      </c>
      <c r="M667" s="14">
        <v>434</v>
      </c>
      <c r="N667" s="14"/>
      <c r="O667" s="34"/>
      <c r="P667" s="14"/>
      <c r="Q667" s="14">
        <v>55.33</v>
      </c>
      <c r="R667" s="14">
        <v>9.32</v>
      </c>
      <c r="S667" s="14"/>
      <c r="T667" s="14"/>
      <c r="U667" s="14"/>
      <c r="V667" s="14">
        <v>281</v>
      </c>
      <c r="W667" s="14">
        <f t="shared" si="63"/>
        <v>0.64746543778801846</v>
      </c>
      <c r="X667" s="14"/>
      <c r="Y667" s="14"/>
      <c r="Z667" s="14"/>
      <c r="AA667" s="14"/>
      <c r="AB667" s="14"/>
      <c r="AC667" s="14">
        <v>361</v>
      </c>
      <c r="AD667" s="34">
        <f t="shared" si="64"/>
        <v>0.83179723502304148</v>
      </c>
      <c r="AE667" s="35"/>
      <c r="AF667" s="35"/>
      <c r="AG667" s="35"/>
      <c r="AH667" s="35"/>
      <c r="AI667" s="35"/>
      <c r="AJ667" s="35"/>
      <c r="AK667" s="35"/>
      <c r="AL667" s="35"/>
      <c r="AM667" s="35"/>
      <c r="AN667" s="35"/>
      <c r="AO667" s="35"/>
      <c r="AP667" s="35"/>
      <c r="AQ667" s="35"/>
      <c r="AR667" s="35"/>
      <c r="AS667" s="35"/>
      <c r="AT667" s="35">
        <v>93</v>
      </c>
      <c r="AU667" s="14"/>
      <c r="AV667" s="14"/>
      <c r="AW667" s="14"/>
      <c r="AX667" s="14"/>
      <c r="AY667" s="14"/>
      <c r="AZ667" s="14"/>
      <c r="BA667" s="29"/>
      <c r="BB667" s="14"/>
      <c r="BC667" s="14"/>
      <c r="BD667" s="14"/>
      <c r="BE667" s="14" t="s">
        <v>2878</v>
      </c>
      <c r="BF667" s="29"/>
      <c r="BG667" s="14"/>
      <c r="BH667" s="14"/>
      <c r="BI667" s="14"/>
      <c r="BJ667" s="14" t="s">
        <v>2674</v>
      </c>
      <c r="BK667" s="14"/>
      <c r="BL667" s="14"/>
      <c r="BM667" s="14"/>
      <c r="BN667" s="14" t="s">
        <v>2231</v>
      </c>
      <c r="BO667" s="14"/>
      <c r="BP667" s="14"/>
      <c r="BQ667" s="14" t="s">
        <v>2268</v>
      </c>
      <c r="BR667" s="14"/>
      <c r="BS667" s="14"/>
      <c r="BT667" s="14"/>
      <c r="BU667" s="14"/>
      <c r="BV667" s="14"/>
      <c r="BW667" s="14"/>
      <c r="BX667" s="14"/>
      <c r="BY667" s="14"/>
      <c r="BZ667" s="14"/>
      <c r="CA667" s="14"/>
      <c r="CB667" s="14"/>
      <c r="CC667" s="14" t="s">
        <v>2268</v>
      </c>
      <c r="CD667" s="14"/>
      <c r="CE667" s="14"/>
      <c r="CF667" s="14"/>
      <c r="CG667" s="14"/>
      <c r="CH667" s="14"/>
      <c r="CI667" s="14"/>
      <c r="CJ667" s="14"/>
      <c r="CK667" s="14"/>
      <c r="CL667" s="14"/>
      <c r="CM667" s="14"/>
      <c r="CN667" s="14"/>
      <c r="CO667" s="14"/>
      <c r="CP667" s="14"/>
      <c r="CQ667" s="14"/>
      <c r="CR667" s="14"/>
      <c r="CS667" s="14"/>
      <c r="CT667" s="14"/>
      <c r="CU667" s="14"/>
      <c r="CV667" s="14"/>
      <c r="CW667" s="14" t="s">
        <v>1537</v>
      </c>
      <c r="CX667" s="14" t="s">
        <v>1538</v>
      </c>
      <c r="CY667" s="14">
        <v>2019</v>
      </c>
      <c r="CZ667" s="36" t="s">
        <v>330</v>
      </c>
      <c r="DA667" s="14" t="s">
        <v>64</v>
      </c>
      <c r="DB667" s="14">
        <v>20</v>
      </c>
      <c r="DC667" s="14">
        <v>45355</v>
      </c>
      <c r="DD667" s="14" t="s">
        <v>1539</v>
      </c>
      <c r="DE667" s="14" t="s">
        <v>1540</v>
      </c>
    </row>
    <row r="668" spans="1:109" s="13" customFormat="1" ht="20">
      <c r="A668" s="14" t="s">
        <v>1911</v>
      </c>
      <c r="B668" s="14"/>
      <c r="C668" s="14" t="s">
        <v>1541</v>
      </c>
      <c r="D668" s="14" t="s">
        <v>2772</v>
      </c>
      <c r="E668" s="14" t="s">
        <v>672</v>
      </c>
      <c r="F668" s="14" t="s">
        <v>2419</v>
      </c>
      <c r="G668" s="14"/>
      <c r="H668" s="14" t="s">
        <v>712</v>
      </c>
      <c r="I668" s="14" t="s">
        <v>2875</v>
      </c>
      <c r="J668" s="14" t="s">
        <v>1016</v>
      </c>
      <c r="K668" s="13" t="s">
        <v>2887</v>
      </c>
      <c r="L668" s="14" t="s">
        <v>885</v>
      </c>
      <c r="M668" s="14">
        <v>434</v>
      </c>
      <c r="N668" s="14"/>
      <c r="O668" s="34"/>
      <c r="P668" s="14"/>
      <c r="Q668" s="14">
        <v>55.33</v>
      </c>
      <c r="R668" s="14">
        <v>9.32</v>
      </c>
      <c r="S668" s="14"/>
      <c r="T668" s="14"/>
      <c r="U668" s="14"/>
      <c r="V668" s="14">
        <v>281</v>
      </c>
      <c r="W668" s="14">
        <f t="shared" si="63"/>
        <v>0.64746543778801846</v>
      </c>
      <c r="X668" s="14"/>
      <c r="Y668" s="14"/>
      <c r="Z668" s="14"/>
      <c r="AA668" s="14"/>
      <c r="AB668" s="14"/>
      <c r="AC668" s="14">
        <v>361</v>
      </c>
      <c r="AD668" s="34">
        <f t="shared" si="64"/>
        <v>0.83179723502304148</v>
      </c>
      <c r="AE668" s="35"/>
      <c r="AF668" s="35"/>
      <c r="AG668" s="35"/>
      <c r="AH668" s="35"/>
      <c r="AI668" s="35"/>
      <c r="AJ668" s="35"/>
      <c r="AK668" s="35"/>
      <c r="AL668" s="35"/>
      <c r="AM668" s="35"/>
      <c r="AN668" s="35"/>
      <c r="AO668" s="35"/>
      <c r="AP668" s="35"/>
      <c r="AQ668" s="35"/>
      <c r="AR668" s="35"/>
      <c r="AS668" s="35"/>
      <c r="AT668" s="35">
        <v>93</v>
      </c>
      <c r="AU668" s="14"/>
      <c r="AV668" s="14"/>
      <c r="AW668" s="14"/>
      <c r="AX668" s="14"/>
      <c r="AY668" s="14"/>
      <c r="AZ668" s="14"/>
      <c r="BA668" s="29"/>
      <c r="BB668" s="14"/>
      <c r="BC668" s="14"/>
      <c r="BD668" s="14"/>
      <c r="BE668" s="14"/>
      <c r="BF668" s="29"/>
      <c r="BG668" s="14"/>
      <c r="BH668" s="14"/>
      <c r="BI668" s="14"/>
      <c r="BJ668" s="14"/>
      <c r="BK668" s="14"/>
      <c r="BL668" s="14"/>
      <c r="BM668" s="14"/>
      <c r="BN668" s="14" t="s">
        <v>2231</v>
      </c>
      <c r="BO668" s="14"/>
      <c r="BP668" s="14"/>
      <c r="BQ668" s="14" t="s">
        <v>2268</v>
      </c>
      <c r="BR668" s="14"/>
      <c r="BS668" s="14"/>
      <c r="BT668" s="14"/>
      <c r="BU668" s="14"/>
      <c r="BV668" s="14"/>
      <c r="BW668" s="14"/>
      <c r="BX668" s="14"/>
      <c r="BY668" s="14"/>
      <c r="BZ668" s="14"/>
      <c r="CA668" s="14"/>
      <c r="CB668" s="14"/>
      <c r="CC668" s="14" t="s">
        <v>2268</v>
      </c>
      <c r="CD668" s="14"/>
      <c r="CE668" s="14"/>
      <c r="CF668" s="14"/>
      <c r="CG668" s="14"/>
      <c r="CH668" s="14"/>
      <c r="CI668" s="14"/>
      <c r="CJ668" s="14"/>
      <c r="CK668" s="14"/>
      <c r="CL668" s="14"/>
      <c r="CM668" s="14"/>
      <c r="CN668" s="14"/>
      <c r="CO668" s="14"/>
      <c r="CP668" s="14"/>
      <c r="CQ668" s="14"/>
      <c r="CR668" s="14"/>
      <c r="CS668" s="14"/>
      <c r="CT668" s="14"/>
      <c r="CU668" s="14"/>
      <c r="CV668" s="14"/>
      <c r="CW668" s="14" t="s">
        <v>1537</v>
      </c>
      <c r="CX668" s="14" t="s">
        <v>1538</v>
      </c>
      <c r="CY668" s="14">
        <v>2019</v>
      </c>
      <c r="CZ668" s="36" t="s">
        <v>330</v>
      </c>
      <c r="DA668" s="14" t="s">
        <v>64</v>
      </c>
      <c r="DB668" s="14">
        <v>20</v>
      </c>
      <c r="DC668" s="14">
        <v>45355</v>
      </c>
      <c r="DD668" s="14" t="s">
        <v>1539</v>
      </c>
      <c r="DE668" s="14" t="s">
        <v>1540</v>
      </c>
    </row>
    <row r="669" spans="1:109" s="13" customFormat="1" ht="20">
      <c r="A669" s="14" t="s">
        <v>1911</v>
      </c>
      <c r="B669" s="14"/>
      <c r="C669" s="14" t="s">
        <v>1541</v>
      </c>
      <c r="D669" s="14" t="s">
        <v>2772</v>
      </c>
      <c r="E669" s="14" t="s">
        <v>672</v>
      </c>
      <c r="F669" s="14" t="s">
        <v>2880</v>
      </c>
      <c r="G669" s="14"/>
      <c r="H669" s="14" t="s">
        <v>712</v>
      </c>
      <c r="I669" s="14" t="s">
        <v>2875</v>
      </c>
      <c r="J669" s="14" t="s">
        <v>1016</v>
      </c>
      <c r="K669" s="13" t="s">
        <v>2887</v>
      </c>
      <c r="L669" s="14" t="s">
        <v>885</v>
      </c>
      <c r="M669" s="14">
        <v>434</v>
      </c>
      <c r="N669" s="14"/>
      <c r="O669" s="34"/>
      <c r="P669" s="14"/>
      <c r="Q669" s="14">
        <v>55.33</v>
      </c>
      <c r="R669" s="14">
        <v>9.32</v>
      </c>
      <c r="S669" s="14"/>
      <c r="T669" s="14"/>
      <c r="U669" s="14"/>
      <c r="V669" s="14">
        <v>281</v>
      </c>
      <c r="W669" s="14">
        <f t="shared" si="63"/>
        <v>0.64746543778801846</v>
      </c>
      <c r="X669" s="14"/>
      <c r="Y669" s="14"/>
      <c r="Z669" s="14"/>
      <c r="AA669" s="14"/>
      <c r="AB669" s="14"/>
      <c r="AC669" s="14">
        <v>361</v>
      </c>
      <c r="AD669" s="34">
        <f t="shared" si="64"/>
        <v>0.83179723502304148</v>
      </c>
      <c r="AE669" s="35"/>
      <c r="AF669" s="35"/>
      <c r="AG669" s="35"/>
      <c r="AH669" s="35"/>
      <c r="AI669" s="35"/>
      <c r="AJ669" s="35"/>
      <c r="AK669" s="35"/>
      <c r="AL669" s="35"/>
      <c r="AM669" s="35"/>
      <c r="AN669" s="35"/>
      <c r="AO669" s="35"/>
      <c r="AP669" s="35"/>
      <c r="AQ669" s="35"/>
      <c r="AR669" s="35"/>
      <c r="AS669" s="35"/>
      <c r="AT669" s="35">
        <v>93</v>
      </c>
      <c r="AU669" s="14"/>
      <c r="AV669" s="14"/>
      <c r="AW669" s="14"/>
      <c r="AX669" s="14"/>
      <c r="AY669" s="14"/>
      <c r="AZ669" s="14"/>
      <c r="BA669" s="29"/>
      <c r="BB669" s="14"/>
      <c r="BC669" s="14"/>
      <c r="BD669" s="14"/>
      <c r="BE669" s="14"/>
      <c r="BF669" s="29"/>
      <c r="BG669" s="14"/>
      <c r="BH669" s="14"/>
      <c r="BI669" s="14"/>
      <c r="BJ669" s="14"/>
      <c r="BK669" s="14"/>
      <c r="BL669" s="14"/>
      <c r="BM669" s="14"/>
      <c r="BN669" s="14" t="s">
        <v>2231</v>
      </c>
      <c r="BO669" s="14"/>
      <c r="BP669" s="14"/>
      <c r="BQ669" s="14" t="s">
        <v>2268</v>
      </c>
      <c r="BR669" s="14"/>
      <c r="BS669" s="14"/>
      <c r="BT669" s="14"/>
      <c r="BU669" s="14"/>
      <c r="BV669" s="14"/>
      <c r="BW669" s="14"/>
      <c r="BX669" s="14"/>
      <c r="BY669" s="14"/>
      <c r="BZ669" s="14"/>
      <c r="CA669" s="14"/>
      <c r="CB669" s="14"/>
      <c r="CC669" s="14" t="s">
        <v>2268</v>
      </c>
      <c r="CD669" s="14"/>
      <c r="CE669" s="14"/>
      <c r="CF669" s="14"/>
      <c r="CG669" s="14"/>
      <c r="CH669" s="14"/>
      <c r="CI669" s="14"/>
      <c r="CJ669" s="14"/>
      <c r="CK669" s="14"/>
      <c r="CL669" s="14"/>
      <c r="CM669" s="14"/>
      <c r="CN669" s="14"/>
      <c r="CO669" s="14"/>
      <c r="CP669" s="14"/>
      <c r="CQ669" s="14"/>
      <c r="CR669" s="14"/>
      <c r="CS669" s="14"/>
      <c r="CT669" s="14"/>
      <c r="CU669" s="14"/>
      <c r="CV669" s="14"/>
      <c r="CW669" s="14" t="s">
        <v>1537</v>
      </c>
      <c r="CX669" s="14" t="s">
        <v>1538</v>
      </c>
      <c r="CY669" s="14">
        <v>2019</v>
      </c>
      <c r="CZ669" s="36" t="s">
        <v>330</v>
      </c>
      <c r="DA669" s="14" t="s">
        <v>64</v>
      </c>
      <c r="DB669" s="14">
        <v>20</v>
      </c>
      <c r="DC669" s="14">
        <v>45355</v>
      </c>
      <c r="DD669" s="14" t="s">
        <v>1539</v>
      </c>
      <c r="DE669" s="14" t="s">
        <v>1540</v>
      </c>
    </row>
    <row r="670" spans="1:109" s="13" customFormat="1" ht="20">
      <c r="A670" s="14" t="s">
        <v>1911</v>
      </c>
      <c r="B670" s="14"/>
      <c r="C670" s="14" t="s">
        <v>1541</v>
      </c>
      <c r="D670" s="14" t="s">
        <v>2772</v>
      </c>
      <c r="E670" s="14" t="s">
        <v>673</v>
      </c>
      <c r="F670" s="14" t="s">
        <v>2881</v>
      </c>
      <c r="G670" s="14"/>
      <c r="H670" s="14" t="s">
        <v>712</v>
      </c>
      <c r="I670" s="14" t="s">
        <v>2875</v>
      </c>
      <c r="J670" s="14" t="s">
        <v>1016</v>
      </c>
      <c r="K670" s="13" t="s">
        <v>2887</v>
      </c>
      <c r="L670" s="14" t="s">
        <v>885</v>
      </c>
      <c r="M670" s="14">
        <v>434</v>
      </c>
      <c r="N670" s="14"/>
      <c r="O670" s="34"/>
      <c r="P670" s="14"/>
      <c r="Q670" s="14">
        <v>55.33</v>
      </c>
      <c r="R670" s="14">
        <v>9.32</v>
      </c>
      <c r="S670" s="14"/>
      <c r="T670" s="14"/>
      <c r="U670" s="14"/>
      <c r="V670" s="14">
        <v>281</v>
      </c>
      <c r="W670" s="14">
        <f t="shared" si="63"/>
        <v>0.64746543778801846</v>
      </c>
      <c r="X670" s="14"/>
      <c r="Y670" s="14"/>
      <c r="Z670" s="14"/>
      <c r="AA670" s="14"/>
      <c r="AB670" s="14"/>
      <c r="AC670" s="14">
        <v>361</v>
      </c>
      <c r="AD670" s="34">
        <f t="shared" si="64"/>
        <v>0.83179723502304148</v>
      </c>
      <c r="AE670" s="35"/>
      <c r="AF670" s="35"/>
      <c r="AG670" s="35"/>
      <c r="AH670" s="35"/>
      <c r="AI670" s="35"/>
      <c r="AJ670" s="35"/>
      <c r="AK670" s="35"/>
      <c r="AL670" s="35"/>
      <c r="AM670" s="35"/>
      <c r="AN670" s="35"/>
      <c r="AO670" s="35"/>
      <c r="AP670" s="35"/>
      <c r="AQ670" s="35"/>
      <c r="AR670" s="35"/>
      <c r="AS670" s="35"/>
      <c r="AT670" s="35">
        <v>93</v>
      </c>
      <c r="AU670" s="14"/>
      <c r="AV670" s="14"/>
      <c r="AW670" s="14"/>
      <c r="AX670" s="14"/>
      <c r="AY670" s="14"/>
      <c r="AZ670" s="14"/>
      <c r="BA670" s="29"/>
      <c r="BB670" s="14"/>
      <c r="BC670" s="14"/>
      <c r="BD670" s="14"/>
      <c r="BE670" s="14"/>
      <c r="BF670" s="29"/>
      <c r="BG670" s="14"/>
      <c r="BH670" s="14"/>
      <c r="BI670" s="14"/>
      <c r="BJ670" s="14"/>
      <c r="BK670" s="14"/>
      <c r="BL670" s="14"/>
      <c r="BM670" s="14"/>
      <c r="BN670" s="14" t="s">
        <v>2231</v>
      </c>
      <c r="BO670" s="14"/>
      <c r="BP670" s="14"/>
      <c r="BQ670" s="14" t="s">
        <v>2268</v>
      </c>
      <c r="BR670" s="14"/>
      <c r="BS670" s="14"/>
      <c r="BT670" s="14"/>
      <c r="BU670" s="14"/>
      <c r="BV670" s="14"/>
      <c r="BW670" s="14"/>
      <c r="BX670" s="14"/>
      <c r="BY670" s="14"/>
      <c r="BZ670" s="14"/>
      <c r="CA670" s="14"/>
      <c r="CB670" s="14"/>
      <c r="CC670" s="14" t="s">
        <v>2268</v>
      </c>
      <c r="CD670" s="14"/>
      <c r="CE670" s="14"/>
      <c r="CF670" s="14"/>
      <c r="CG670" s="14"/>
      <c r="CH670" s="14"/>
      <c r="CI670" s="14"/>
      <c r="CJ670" s="14"/>
      <c r="CK670" s="14"/>
      <c r="CL670" s="14"/>
      <c r="CM670" s="14"/>
      <c r="CN670" s="14"/>
      <c r="CO670" s="14"/>
      <c r="CP670" s="14"/>
      <c r="CQ670" s="14"/>
      <c r="CR670" s="14"/>
      <c r="CS670" s="14"/>
      <c r="CT670" s="14"/>
      <c r="CU670" s="14"/>
      <c r="CV670" s="14"/>
      <c r="CW670" s="14" t="s">
        <v>1537</v>
      </c>
      <c r="CX670" s="14" t="s">
        <v>1538</v>
      </c>
      <c r="CY670" s="14">
        <v>2019</v>
      </c>
      <c r="CZ670" s="36" t="s">
        <v>330</v>
      </c>
      <c r="DA670" s="14" t="s">
        <v>64</v>
      </c>
      <c r="DB670" s="14">
        <v>20</v>
      </c>
      <c r="DC670" s="14">
        <v>45355</v>
      </c>
      <c r="DD670" s="14" t="s">
        <v>1539</v>
      </c>
      <c r="DE670" s="14" t="s">
        <v>1540</v>
      </c>
    </row>
    <row r="671" spans="1:109" s="13" customFormat="1" ht="20">
      <c r="A671" s="14" t="s">
        <v>1911</v>
      </c>
      <c r="B671" s="14"/>
      <c r="C671" s="14" t="s">
        <v>1541</v>
      </c>
      <c r="D671" s="14" t="s">
        <v>2772</v>
      </c>
      <c r="E671" s="14" t="s">
        <v>673</v>
      </c>
      <c r="F671" s="14" t="s">
        <v>2882</v>
      </c>
      <c r="G671" s="14"/>
      <c r="H671" s="14" t="s">
        <v>712</v>
      </c>
      <c r="I671" s="14" t="s">
        <v>2875</v>
      </c>
      <c r="J671" s="14" t="s">
        <v>1016</v>
      </c>
      <c r="K671" s="13" t="s">
        <v>2887</v>
      </c>
      <c r="L671" s="14" t="s">
        <v>885</v>
      </c>
      <c r="M671" s="14">
        <v>434</v>
      </c>
      <c r="N671" s="14"/>
      <c r="O671" s="34"/>
      <c r="P671" s="14"/>
      <c r="Q671" s="14">
        <v>55.33</v>
      </c>
      <c r="R671" s="14">
        <v>9.32</v>
      </c>
      <c r="S671" s="14"/>
      <c r="T671" s="14"/>
      <c r="U671" s="14"/>
      <c r="V671" s="14">
        <v>281</v>
      </c>
      <c r="W671" s="14">
        <f t="shared" si="63"/>
        <v>0.64746543778801846</v>
      </c>
      <c r="X671" s="14"/>
      <c r="Y671" s="14"/>
      <c r="Z671" s="14"/>
      <c r="AA671" s="14"/>
      <c r="AB671" s="14"/>
      <c r="AC671" s="14">
        <v>361</v>
      </c>
      <c r="AD671" s="34">
        <f t="shared" si="64"/>
        <v>0.83179723502304148</v>
      </c>
      <c r="AE671" s="35"/>
      <c r="AF671" s="35"/>
      <c r="AG671" s="35"/>
      <c r="AH671" s="35"/>
      <c r="AI671" s="35"/>
      <c r="AJ671" s="35"/>
      <c r="AK671" s="35"/>
      <c r="AL671" s="35"/>
      <c r="AM671" s="35"/>
      <c r="AN671" s="35"/>
      <c r="AO671" s="35"/>
      <c r="AP671" s="35"/>
      <c r="AQ671" s="35"/>
      <c r="AR671" s="35"/>
      <c r="AS671" s="35"/>
      <c r="AT671" s="35">
        <v>93</v>
      </c>
      <c r="AU671" s="14"/>
      <c r="AV671" s="14"/>
      <c r="AW671" s="14"/>
      <c r="AX671" s="14"/>
      <c r="AY671" s="14"/>
      <c r="AZ671" s="14"/>
      <c r="BA671" s="29"/>
      <c r="BB671" s="14"/>
      <c r="BC671" s="14"/>
      <c r="BD671" s="14"/>
      <c r="BE671" s="14"/>
      <c r="BF671" s="29"/>
      <c r="BG671" s="14"/>
      <c r="BH671" s="14"/>
      <c r="BI671" s="14"/>
      <c r="BJ671" s="14"/>
      <c r="BK671" s="14"/>
      <c r="BL671" s="14"/>
      <c r="BM671" s="14"/>
      <c r="BN671" s="14" t="s">
        <v>2231</v>
      </c>
      <c r="BO671" s="14"/>
      <c r="BP671" s="14"/>
      <c r="BQ671" s="14" t="s">
        <v>2268</v>
      </c>
      <c r="BR671" s="14"/>
      <c r="BS671" s="14"/>
      <c r="BT671" s="14"/>
      <c r="BU671" s="14"/>
      <c r="BV671" s="14"/>
      <c r="BW671" s="14"/>
      <c r="BX671" s="14"/>
      <c r="BY671" s="14"/>
      <c r="BZ671" s="14"/>
      <c r="CA671" s="14"/>
      <c r="CB671" s="14"/>
      <c r="CC671" s="14" t="s">
        <v>2268</v>
      </c>
      <c r="CD671" s="14"/>
      <c r="CE671" s="14"/>
      <c r="CF671" s="14"/>
      <c r="CG671" s="14"/>
      <c r="CH671" s="14"/>
      <c r="CI671" s="14"/>
      <c r="CJ671" s="14"/>
      <c r="CK671" s="14"/>
      <c r="CL671" s="14"/>
      <c r="CM671" s="14"/>
      <c r="CN671" s="14"/>
      <c r="CO671" s="14"/>
      <c r="CP671" s="14"/>
      <c r="CQ671" s="14"/>
      <c r="CR671" s="14"/>
      <c r="CS671" s="14"/>
      <c r="CT671" s="14"/>
      <c r="CU671" s="14"/>
      <c r="CV671" s="14"/>
      <c r="CW671" s="14" t="s">
        <v>1537</v>
      </c>
      <c r="CX671" s="14" t="s">
        <v>1538</v>
      </c>
      <c r="CY671" s="14">
        <v>2019</v>
      </c>
      <c r="CZ671" s="36" t="s">
        <v>330</v>
      </c>
      <c r="DA671" s="14" t="s">
        <v>64</v>
      </c>
      <c r="DB671" s="14">
        <v>20</v>
      </c>
      <c r="DC671" s="14">
        <v>45355</v>
      </c>
      <c r="DD671" s="14" t="s">
        <v>1539</v>
      </c>
      <c r="DE671" s="14" t="s">
        <v>1540</v>
      </c>
    </row>
    <row r="672" spans="1:109" s="13" customFormat="1" ht="20">
      <c r="A672" s="14" t="s">
        <v>1909</v>
      </c>
      <c r="B672" s="14"/>
      <c r="C672" s="14" t="s">
        <v>1530</v>
      </c>
      <c r="D672" s="14" t="s">
        <v>2872</v>
      </c>
      <c r="E672" s="14" t="s">
        <v>673</v>
      </c>
      <c r="F672" s="14" t="s">
        <v>2337</v>
      </c>
      <c r="G672" s="14"/>
      <c r="H672" s="14" t="s">
        <v>868</v>
      </c>
      <c r="I672" s="14" t="s">
        <v>2873</v>
      </c>
      <c r="J672" s="14" t="s">
        <v>4116</v>
      </c>
      <c r="K672" s="13" t="s">
        <v>2876</v>
      </c>
      <c r="L672" s="14" t="s">
        <v>2376</v>
      </c>
      <c r="M672" s="14">
        <v>399</v>
      </c>
      <c r="N672" s="14"/>
      <c r="O672" s="34"/>
      <c r="P672" s="14"/>
      <c r="Q672" s="14">
        <v>66.25</v>
      </c>
      <c r="R672" s="14">
        <v>12.47</v>
      </c>
      <c r="S672" s="14"/>
      <c r="T672" s="14"/>
      <c r="U672" s="14"/>
      <c r="V672" s="14">
        <v>231</v>
      </c>
      <c r="W672" s="14">
        <f t="shared" si="63"/>
        <v>0.57894736842105265</v>
      </c>
      <c r="X672" s="14"/>
      <c r="Y672" s="14"/>
      <c r="Z672" s="14"/>
      <c r="AA672" s="14"/>
      <c r="AB672" s="14"/>
      <c r="AC672" s="14"/>
      <c r="AD672" s="34"/>
      <c r="AE672" s="35"/>
      <c r="AF672" s="35"/>
      <c r="AG672" s="35"/>
      <c r="AH672" s="35"/>
      <c r="AI672" s="35"/>
      <c r="AJ672" s="35">
        <f>2.36*12</f>
        <v>28.32</v>
      </c>
      <c r="AK672" s="35">
        <f>2.08*12</f>
        <v>24.96</v>
      </c>
      <c r="AL672" s="35"/>
      <c r="AM672" s="35"/>
      <c r="AN672" s="35"/>
      <c r="AO672" s="35">
        <f>2.36*12</f>
        <v>28.32</v>
      </c>
      <c r="AP672" s="35">
        <f>2.08*12</f>
        <v>24.96</v>
      </c>
      <c r="AQ672" s="35"/>
      <c r="AR672" s="35"/>
      <c r="AS672" s="35"/>
      <c r="AT672" s="41" t="s">
        <v>2547</v>
      </c>
      <c r="AU672" s="14" t="s">
        <v>2447</v>
      </c>
      <c r="AV672" s="14" t="s">
        <v>2490</v>
      </c>
      <c r="AW672" s="14"/>
      <c r="AX672" s="14"/>
      <c r="AY672" s="14"/>
      <c r="AZ672" s="14"/>
      <c r="BA672" s="29"/>
      <c r="BB672" s="14"/>
      <c r="BC672" s="14"/>
      <c r="BD672" s="14"/>
      <c r="BE672" s="14" t="s">
        <v>2817</v>
      </c>
      <c r="BF672" s="29">
        <v>399</v>
      </c>
      <c r="BG672" s="14">
        <v>1.67</v>
      </c>
      <c r="BH672" s="14">
        <v>1.31</v>
      </c>
      <c r="BI672" s="14">
        <v>2.12</v>
      </c>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t="s">
        <v>1526</v>
      </c>
      <c r="CX672" s="14" t="s">
        <v>1527</v>
      </c>
      <c r="CY672" s="14">
        <v>2020</v>
      </c>
      <c r="CZ672" s="36" t="s">
        <v>44</v>
      </c>
      <c r="DA672" s="14" t="s">
        <v>19</v>
      </c>
      <c r="DB672" s="14">
        <v>27</v>
      </c>
      <c r="DC672" s="14">
        <v>11</v>
      </c>
      <c r="DD672" s="14" t="s">
        <v>1528</v>
      </c>
      <c r="DE672" s="14" t="s">
        <v>1529</v>
      </c>
    </row>
    <row r="673" spans="1:109" s="13" customFormat="1" ht="20">
      <c r="A673" s="14" t="s">
        <v>1909</v>
      </c>
      <c r="B673" s="14"/>
      <c r="C673" s="14" t="s">
        <v>1530</v>
      </c>
      <c r="D673" s="14" t="s">
        <v>2872</v>
      </c>
      <c r="E673" s="14" t="s">
        <v>673</v>
      </c>
      <c r="F673" s="14" t="s">
        <v>2378</v>
      </c>
      <c r="G673" s="14"/>
      <c r="H673" s="14" t="s">
        <v>868</v>
      </c>
      <c r="I673" s="14" t="s">
        <v>2873</v>
      </c>
      <c r="J673" s="14" t="s">
        <v>4116</v>
      </c>
      <c r="K673" s="13" t="s">
        <v>2876</v>
      </c>
      <c r="L673" s="14" t="s">
        <v>903</v>
      </c>
      <c r="M673" s="14">
        <v>399</v>
      </c>
      <c r="N673" s="14"/>
      <c r="O673" s="34"/>
      <c r="P673" s="14"/>
      <c r="Q673" s="14">
        <v>66.25</v>
      </c>
      <c r="R673" s="14">
        <v>12.47</v>
      </c>
      <c r="S673" s="14"/>
      <c r="T673" s="14"/>
      <c r="U673" s="14"/>
      <c r="V673" s="14">
        <v>231</v>
      </c>
      <c r="W673" s="14">
        <f t="shared" si="63"/>
        <v>0.57894736842105265</v>
      </c>
      <c r="X673" s="14"/>
      <c r="Y673" s="14"/>
      <c r="Z673" s="14"/>
      <c r="AA673" s="14"/>
      <c r="AB673" s="14"/>
      <c r="AC673" s="14"/>
      <c r="AD673" s="34"/>
      <c r="AE673" s="35"/>
      <c r="AF673" s="35"/>
      <c r="AG673" s="35"/>
      <c r="AH673" s="35"/>
      <c r="AI673" s="35"/>
      <c r="AJ673" s="35">
        <f>2.36*12</f>
        <v>28.32</v>
      </c>
      <c r="AK673" s="35">
        <f>2.08*12</f>
        <v>24.96</v>
      </c>
      <c r="AL673" s="35"/>
      <c r="AM673" s="35"/>
      <c r="AN673" s="35"/>
      <c r="AO673" s="35">
        <f>2.36*12</f>
        <v>28.32</v>
      </c>
      <c r="AP673" s="35">
        <f>2.08*12</f>
        <v>24.96</v>
      </c>
      <c r="AQ673" s="35"/>
      <c r="AR673" s="35"/>
      <c r="AS673" s="35"/>
      <c r="AT673" s="41" t="s">
        <v>2547</v>
      </c>
      <c r="AU673" s="14" t="s">
        <v>2447</v>
      </c>
      <c r="AV673" s="14" t="s">
        <v>2490</v>
      </c>
      <c r="AW673" s="14"/>
      <c r="AX673" s="14"/>
      <c r="AY673" s="14"/>
      <c r="AZ673" s="14"/>
      <c r="BA673" s="29"/>
      <c r="BB673" s="14"/>
      <c r="BC673" s="14"/>
      <c r="BD673" s="14"/>
      <c r="BE673" s="14" t="s">
        <v>2817</v>
      </c>
      <c r="BF673" s="29">
        <v>269</v>
      </c>
      <c r="BG673" s="14">
        <v>1.49</v>
      </c>
      <c r="BH673" s="14">
        <v>1.1299999999999999</v>
      </c>
      <c r="BI673" s="14">
        <v>1.96</v>
      </c>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t="s">
        <v>1526</v>
      </c>
      <c r="CX673" s="14" t="s">
        <v>1527</v>
      </c>
      <c r="CY673" s="14">
        <v>2020</v>
      </c>
      <c r="CZ673" s="36" t="s">
        <v>44</v>
      </c>
      <c r="DA673" s="14" t="s">
        <v>19</v>
      </c>
      <c r="DB673" s="14">
        <v>27</v>
      </c>
      <c r="DC673" s="14">
        <v>11</v>
      </c>
      <c r="DD673" s="14" t="s">
        <v>1528</v>
      </c>
      <c r="DE673" s="14" t="s">
        <v>1529</v>
      </c>
    </row>
    <row r="674" spans="1:109" s="13" customFormat="1" ht="20">
      <c r="A674" s="14" t="s">
        <v>1909</v>
      </c>
      <c r="B674" s="14"/>
      <c r="C674" s="14" t="s">
        <v>1530</v>
      </c>
      <c r="D674" s="14" t="s">
        <v>2872</v>
      </c>
      <c r="E674" s="14" t="s">
        <v>673</v>
      </c>
      <c r="F674" s="14" t="s">
        <v>2273</v>
      </c>
      <c r="G674" s="14"/>
      <c r="H674" s="14" t="s">
        <v>868</v>
      </c>
      <c r="I674" s="14" t="s">
        <v>2873</v>
      </c>
      <c r="J674" s="14" t="s">
        <v>4116</v>
      </c>
      <c r="K674" s="13" t="s">
        <v>2876</v>
      </c>
      <c r="L674" s="14" t="s">
        <v>2512</v>
      </c>
      <c r="M674" s="14">
        <v>399</v>
      </c>
      <c r="N674" s="14"/>
      <c r="O674" s="34"/>
      <c r="P674" s="14"/>
      <c r="Q674" s="14">
        <v>66.25</v>
      </c>
      <c r="R674" s="14">
        <v>12.47</v>
      </c>
      <c r="S674" s="14"/>
      <c r="T674" s="14"/>
      <c r="U674" s="14"/>
      <c r="V674" s="14">
        <v>231</v>
      </c>
      <c r="W674" s="14">
        <f t="shared" si="63"/>
        <v>0.57894736842105265</v>
      </c>
      <c r="X674" s="14"/>
      <c r="Y674" s="14"/>
      <c r="Z674" s="14"/>
      <c r="AA674" s="14"/>
      <c r="AB674" s="14"/>
      <c r="AC674" s="14"/>
      <c r="AD674" s="34"/>
      <c r="AE674" s="35"/>
      <c r="AF674" s="35"/>
      <c r="AG674" s="35"/>
      <c r="AH674" s="35"/>
      <c r="AI674" s="35"/>
      <c r="AJ674" s="35">
        <f>2.36*12</f>
        <v>28.32</v>
      </c>
      <c r="AK674" s="35">
        <f>2.08*12</f>
        <v>24.96</v>
      </c>
      <c r="AL674" s="35"/>
      <c r="AM674" s="35"/>
      <c r="AN674" s="35"/>
      <c r="AO674" s="35">
        <f>2.36*12</f>
        <v>28.32</v>
      </c>
      <c r="AP674" s="35">
        <f>2.08*12</f>
        <v>24.96</v>
      </c>
      <c r="AQ674" s="35"/>
      <c r="AR674" s="35"/>
      <c r="AS674" s="35"/>
      <c r="AT674" s="41" t="s">
        <v>2547</v>
      </c>
      <c r="AU674" s="14" t="s">
        <v>2447</v>
      </c>
      <c r="AV674" s="14" t="s">
        <v>2380</v>
      </c>
      <c r="AW674" s="14"/>
      <c r="AX674" s="14"/>
      <c r="AY674" s="14"/>
      <c r="AZ674" s="14"/>
      <c r="BA674" s="29"/>
      <c r="BB674" s="14"/>
      <c r="BC674" s="14"/>
      <c r="BD674" s="14"/>
      <c r="BE674" s="14" t="s">
        <v>2817</v>
      </c>
      <c r="BF674" s="14">
        <v>329</v>
      </c>
      <c r="BG674" s="14"/>
      <c r="BH674" s="14"/>
      <c r="BI674" s="14"/>
      <c r="BJ674" s="14" t="s">
        <v>2674</v>
      </c>
      <c r="BK674" s="14">
        <v>1.33</v>
      </c>
      <c r="BL674" s="14">
        <v>1.04</v>
      </c>
      <c r="BM674" s="14">
        <v>1.71</v>
      </c>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t="s">
        <v>1526</v>
      </c>
      <c r="CX674" s="14" t="s">
        <v>1527</v>
      </c>
      <c r="CY674" s="14">
        <v>2020</v>
      </c>
      <c r="CZ674" s="36" t="s">
        <v>44</v>
      </c>
      <c r="DA674" s="14" t="s">
        <v>19</v>
      </c>
      <c r="DB674" s="14">
        <v>27</v>
      </c>
      <c r="DC674" s="14">
        <v>11</v>
      </c>
      <c r="DD674" s="14" t="s">
        <v>1528</v>
      </c>
      <c r="DE674" s="14" t="s">
        <v>1529</v>
      </c>
    </row>
    <row r="675" spans="1:109" s="13" customFormat="1" ht="20">
      <c r="A675" s="14" t="s">
        <v>1909</v>
      </c>
      <c r="B675" s="14"/>
      <c r="C675" s="14" t="s">
        <v>1530</v>
      </c>
      <c r="D675" s="14" t="s">
        <v>2872</v>
      </c>
      <c r="E675" s="14" t="s">
        <v>673</v>
      </c>
      <c r="F675" s="14" t="s">
        <v>2874</v>
      </c>
      <c r="G675" s="14"/>
      <c r="H675" s="14" t="s">
        <v>868</v>
      </c>
      <c r="I675" s="14" t="s">
        <v>2873</v>
      </c>
      <c r="J675" s="14" t="s">
        <v>4116</v>
      </c>
      <c r="K675" s="13" t="s">
        <v>2876</v>
      </c>
      <c r="L675" s="14" t="s">
        <v>2512</v>
      </c>
      <c r="M675" s="14">
        <v>399</v>
      </c>
      <c r="N675" s="14"/>
      <c r="O675" s="34"/>
      <c r="P675" s="14"/>
      <c r="Q675" s="14">
        <v>66.25</v>
      </c>
      <c r="R675" s="14">
        <v>12.47</v>
      </c>
      <c r="S675" s="14"/>
      <c r="T675" s="14"/>
      <c r="U675" s="14"/>
      <c r="V675" s="14">
        <v>231</v>
      </c>
      <c r="W675" s="14">
        <f t="shared" si="63"/>
        <v>0.57894736842105265</v>
      </c>
      <c r="X675" s="14"/>
      <c r="Y675" s="14"/>
      <c r="Z675" s="14"/>
      <c r="AA675" s="14"/>
      <c r="AB675" s="14"/>
      <c r="AC675" s="14"/>
      <c r="AD675" s="34"/>
      <c r="AE675" s="35"/>
      <c r="AF675" s="35"/>
      <c r="AG675" s="35"/>
      <c r="AH675" s="35"/>
      <c r="AI675" s="35"/>
      <c r="AJ675" s="35">
        <f>2.36*12</f>
        <v>28.32</v>
      </c>
      <c r="AK675" s="35">
        <f>2.08*12</f>
        <v>24.96</v>
      </c>
      <c r="AL675" s="35"/>
      <c r="AM675" s="35"/>
      <c r="AN675" s="35"/>
      <c r="AO675" s="35">
        <f>2.36*12</f>
        <v>28.32</v>
      </c>
      <c r="AP675" s="35">
        <f>2.08*12</f>
        <v>24.96</v>
      </c>
      <c r="AQ675" s="35"/>
      <c r="AR675" s="35"/>
      <c r="AS675" s="35"/>
      <c r="AT675" s="41" t="s">
        <v>2547</v>
      </c>
      <c r="AU675" s="14" t="s">
        <v>2447</v>
      </c>
      <c r="AV675" s="14" t="s">
        <v>2490</v>
      </c>
      <c r="AW675" s="14"/>
      <c r="AX675" s="14"/>
      <c r="AY675" s="14"/>
      <c r="AZ675" s="14"/>
      <c r="BA675" s="29"/>
      <c r="BB675" s="14"/>
      <c r="BC675" s="14"/>
      <c r="BD675" s="14"/>
      <c r="BE675" s="14" t="s">
        <v>2817</v>
      </c>
      <c r="BF675" s="29">
        <v>284</v>
      </c>
      <c r="BG675" s="14">
        <v>1.67</v>
      </c>
      <c r="BH675" s="14">
        <v>1.1299999999999999</v>
      </c>
      <c r="BI675" s="14">
        <v>1.96</v>
      </c>
      <c r="BJ675" s="14" t="s">
        <v>2674</v>
      </c>
      <c r="BK675" s="14">
        <v>1.34</v>
      </c>
      <c r="BL675" s="14">
        <v>1.01</v>
      </c>
      <c r="BM675" s="14">
        <v>1.78</v>
      </c>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t="s">
        <v>1526</v>
      </c>
      <c r="CX675" s="14" t="s">
        <v>1527</v>
      </c>
      <c r="CY675" s="14">
        <v>2020</v>
      </c>
      <c r="CZ675" s="36" t="s">
        <v>44</v>
      </c>
      <c r="DA675" s="14" t="s">
        <v>19</v>
      </c>
      <c r="DB675" s="14">
        <v>27</v>
      </c>
      <c r="DC675" s="14">
        <v>11</v>
      </c>
      <c r="DD675" s="14" t="s">
        <v>1528</v>
      </c>
      <c r="DE675" s="14" t="s">
        <v>1529</v>
      </c>
    </row>
    <row r="676" spans="1:109" s="13" customFormat="1" ht="20">
      <c r="A676" s="14" t="s">
        <v>1912</v>
      </c>
      <c r="B676" s="14"/>
      <c r="C676" s="14" t="s">
        <v>1530</v>
      </c>
      <c r="D676" s="14" t="s">
        <v>2039</v>
      </c>
      <c r="E676" s="14" t="s">
        <v>672</v>
      </c>
      <c r="F676" s="14" t="s">
        <v>675</v>
      </c>
      <c r="G676" s="14"/>
      <c r="H676" s="14" t="s">
        <v>712</v>
      </c>
      <c r="I676" s="14" t="s">
        <v>2875</v>
      </c>
      <c r="J676" s="14" t="s">
        <v>585</v>
      </c>
      <c r="K676" s="14" t="s">
        <v>2888</v>
      </c>
      <c r="L676" s="14" t="s">
        <v>639</v>
      </c>
      <c r="M676" s="14">
        <v>45</v>
      </c>
      <c r="N676" s="14">
        <v>0</v>
      </c>
      <c r="O676" s="34"/>
      <c r="P676" s="14"/>
      <c r="Q676" s="14">
        <v>54.29</v>
      </c>
      <c r="R676" s="14">
        <v>8.81</v>
      </c>
      <c r="S676" s="14"/>
      <c r="T676" s="14"/>
      <c r="U676" s="14"/>
      <c r="V676" s="14">
        <v>25</v>
      </c>
      <c r="W676" s="14">
        <f t="shared" si="63"/>
        <v>0.55555555555555558</v>
      </c>
      <c r="X676" s="14">
        <v>37.29</v>
      </c>
      <c r="Y676" s="14">
        <v>8.5399999999999991</v>
      </c>
      <c r="Z676" s="14"/>
      <c r="AA676" s="14"/>
      <c r="AB676" s="14"/>
      <c r="AC676" s="14">
        <v>37</v>
      </c>
      <c r="AD676" s="34">
        <f t="shared" ref="AD676:AD683" si="65">AC676/M676</f>
        <v>0.82222222222222219</v>
      </c>
      <c r="AE676" s="35"/>
      <c r="AF676" s="35"/>
      <c r="AG676" s="35">
        <v>12</v>
      </c>
      <c r="AH676" s="35"/>
      <c r="AI676" s="35"/>
      <c r="AJ676" s="35"/>
      <c r="AK676" s="35"/>
      <c r="AL676" s="35"/>
      <c r="AM676" s="35"/>
      <c r="AN676" s="35"/>
      <c r="AO676" s="35"/>
      <c r="AP676" s="35"/>
      <c r="AQ676" s="35"/>
      <c r="AR676" s="35"/>
      <c r="AS676" s="35"/>
      <c r="AT676" s="35"/>
      <c r="AU676" s="14"/>
      <c r="AV676" s="14"/>
      <c r="AW676" s="14"/>
      <c r="AX676" s="14"/>
      <c r="AY676" s="14"/>
      <c r="AZ676" s="14"/>
      <c r="BA676" s="29"/>
      <c r="BB676" s="14"/>
      <c r="BC676" s="14"/>
      <c r="BD676" s="14"/>
      <c r="BE676" s="14"/>
      <c r="BF676" s="14"/>
      <c r="BG676" s="14"/>
      <c r="BH676" s="14"/>
      <c r="BI676" s="14"/>
      <c r="BJ676" s="14"/>
      <c r="BK676" s="14"/>
      <c r="BL676" s="14"/>
      <c r="BM676" s="14"/>
      <c r="BN676" s="14" t="s">
        <v>2231</v>
      </c>
      <c r="BO676" s="14" t="s">
        <v>2490</v>
      </c>
      <c r="BP676" s="14"/>
      <c r="BQ676" s="14">
        <v>0.46600000000000003</v>
      </c>
      <c r="BR676" s="14"/>
      <c r="BS676" s="14"/>
      <c r="BT676" s="14"/>
      <c r="BU676" s="14">
        <v>1E-3</v>
      </c>
      <c r="BV676" s="14"/>
      <c r="BW676" s="14"/>
      <c r="BX676" s="14"/>
      <c r="BY676" s="14"/>
      <c r="BZ676" s="14"/>
      <c r="CA676" s="14"/>
      <c r="CB676" s="14"/>
      <c r="CC676" s="14">
        <v>-0.38800000000000001</v>
      </c>
      <c r="CD676" s="14"/>
      <c r="CE676" s="14"/>
      <c r="CF676" s="14"/>
      <c r="CG676" s="14">
        <v>8.9999999999999993E-3</v>
      </c>
      <c r="CH676" s="14"/>
      <c r="CI676" s="14"/>
      <c r="CJ676" s="14"/>
      <c r="CK676" s="14"/>
      <c r="CL676" s="14"/>
      <c r="CM676" s="14"/>
      <c r="CN676" s="14"/>
      <c r="CO676" s="14"/>
      <c r="CP676" s="14"/>
      <c r="CQ676" s="14"/>
      <c r="CR676" s="14"/>
      <c r="CS676" s="14"/>
      <c r="CT676" s="14"/>
      <c r="CU676" s="14"/>
      <c r="CV676" s="14"/>
      <c r="CW676" s="14" t="s">
        <v>1542</v>
      </c>
      <c r="CX676" s="14" t="s">
        <v>1543</v>
      </c>
      <c r="CY676" s="14">
        <v>2020</v>
      </c>
      <c r="CZ676" s="36" t="s">
        <v>119</v>
      </c>
      <c r="DA676" s="14" t="s">
        <v>1215</v>
      </c>
      <c r="DB676" s="14">
        <v>11</v>
      </c>
      <c r="DC676" s="14"/>
      <c r="DD676" s="14"/>
      <c r="DE676" s="14" t="s">
        <v>1544</v>
      </c>
    </row>
    <row r="677" spans="1:109" s="13" customFormat="1" ht="20">
      <c r="A677" s="14" t="s">
        <v>1910</v>
      </c>
      <c r="B677" s="14"/>
      <c r="C677" s="14" t="s">
        <v>1536</v>
      </c>
      <c r="D677" s="14" t="s">
        <v>898</v>
      </c>
      <c r="E677" s="14" t="s">
        <v>673</v>
      </c>
      <c r="F677" s="14" t="s">
        <v>2720</v>
      </c>
      <c r="G677" s="14"/>
      <c r="H677" s="14" t="s">
        <v>712</v>
      </c>
      <c r="I677" s="14" t="s">
        <v>2875</v>
      </c>
      <c r="J677" s="14" t="s">
        <v>2886</v>
      </c>
      <c r="K677" s="14" t="s">
        <v>2877</v>
      </c>
      <c r="L677" s="14" t="s">
        <v>639</v>
      </c>
      <c r="M677" s="14">
        <v>248</v>
      </c>
      <c r="N677" s="14"/>
      <c r="O677" s="34"/>
      <c r="P677" s="14"/>
      <c r="Q677" s="14">
        <v>53.36</v>
      </c>
      <c r="R677" s="14">
        <v>10.19</v>
      </c>
      <c r="S677" s="14"/>
      <c r="T677" s="14"/>
      <c r="U677" s="14"/>
      <c r="V677" s="14">
        <v>131</v>
      </c>
      <c r="W677" s="14">
        <f t="shared" si="63"/>
        <v>0.52822580645161288</v>
      </c>
      <c r="X677" s="14">
        <v>37.17</v>
      </c>
      <c r="Y677" s="14">
        <v>6.81</v>
      </c>
      <c r="Z677" s="14"/>
      <c r="AA677" s="14"/>
      <c r="AB677" s="14"/>
      <c r="AC677" s="14">
        <v>175</v>
      </c>
      <c r="AD677" s="34">
        <f t="shared" si="65"/>
        <v>0.70564516129032262</v>
      </c>
      <c r="AE677" s="35"/>
      <c r="AF677" s="35"/>
      <c r="AG677" s="35">
        <v>12</v>
      </c>
      <c r="AH677" s="35">
        <v>8</v>
      </c>
      <c r="AI677" s="35">
        <v>19</v>
      </c>
      <c r="AJ677" s="35"/>
      <c r="AK677" s="35"/>
      <c r="AL677" s="35"/>
      <c r="AM677" s="35"/>
      <c r="AN677" s="35"/>
      <c r="AO677" s="35"/>
      <c r="AP677" s="35"/>
      <c r="AQ677" s="35"/>
      <c r="AR677" s="35"/>
      <c r="AS677" s="35"/>
      <c r="AT677" s="35"/>
      <c r="AU677" s="14"/>
      <c r="AV677" s="14"/>
      <c r="AW677" s="14"/>
      <c r="AX677" s="14"/>
      <c r="AY677" s="14"/>
      <c r="AZ677" s="14"/>
      <c r="BA677" s="29"/>
      <c r="BB677" s="14"/>
      <c r="BC677" s="14"/>
      <c r="BD677" s="14"/>
      <c r="BE677" s="14"/>
      <c r="BF677" s="14"/>
      <c r="BG677" s="14"/>
      <c r="BH677" s="14"/>
      <c r="BI677" s="14"/>
      <c r="BJ677" s="14"/>
      <c r="BK677" s="14"/>
      <c r="BL677" s="14"/>
      <c r="BM677" s="14"/>
      <c r="BN677" s="14" t="s">
        <v>2231</v>
      </c>
      <c r="BO677" s="14" t="s">
        <v>2490</v>
      </c>
      <c r="BP677" s="14"/>
      <c r="BQ677" s="14">
        <v>0.14599999999999999</v>
      </c>
      <c r="BR677" s="14"/>
      <c r="BS677" s="14"/>
      <c r="BT677" s="14"/>
      <c r="BU677" s="14">
        <v>0.13600000000000001</v>
      </c>
      <c r="BV677" s="14"/>
      <c r="BW677" s="14"/>
      <c r="BX677" s="14"/>
      <c r="BY677" s="14"/>
      <c r="BZ677" s="14"/>
      <c r="CA677" s="14"/>
      <c r="CB677" s="14"/>
      <c r="CC677" s="14">
        <v>-0.28000000000000003</v>
      </c>
      <c r="CD677" s="14"/>
      <c r="CE677" s="14"/>
      <c r="CF677" s="14"/>
      <c r="CG677" s="14">
        <v>4.0000000000000001E-3</v>
      </c>
      <c r="CH677" s="14"/>
      <c r="CI677" s="14"/>
      <c r="CJ677" s="14"/>
      <c r="CK677" s="14"/>
      <c r="CL677" s="14"/>
      <c r="CM677" s="14"/>
      <c r="CN677" s="14"/>
      <c r="CO677" s="14"/>
      <c r="CP677" s="14"/>
      <c r="CQ677" s="14"/>
      <c r="CR677" s="14"/>
      <c r="CS677" s="14"/>
      <c r="CT677" s="14"/>
      <c r="CU677" s="14"/>
      <c r="CV677" s="14"/>
      <c r="CW677" s="14" t="s">
        <v>1531</v>
      </c>
      <c r="CX677" s="14" t="s">
        <v>1532</v>
      </c>
      <c r="CY677" s="14">
        <v>2021</v>
      </c>
      <c r="CZ677" s="36"/>
      <c r="DA677" s="14" t="s">
        <v>1533</v>
      </c>
      <c r="DB677" s="14">
        <v>21</v>
      </c>
      <c r="DC677" s="14">
        <v>45355</v>
      </c>
      <c r="DD677" s="14" t="s">
        <v>1534</v>
      </c>
      <c r="DE677" s="14" t="s">
        <v>1535</v>
      </c>
    </row>
    <row r="678" spans="1:109" s="13" customFormat="1" ht="20">
      <c r="A678" s="14" t="s">
        <v>1910</v>
      </c>
      <c r="B678" s="14"/>
      <c r="C678" s="14" t="s">
        <v>1536</v>
      </c>
      <c r="D678" s="14" t="s">
        <v>898</v>
      </c>
      <c r="E678" s="14" t="s">
        <v>673</v>
      </c>
      <c r="F678" s="14" t="s">
        <v>2720</v>
      </c>
      <c r="G678" s="14"/>
      <c r="H678" s="14" t="s">
        <v>712</v>
      </c>
      <c r="I678" s="14" t="s">
        <v>2875</v>
      </c>
      <c r="J678" s="14" t="s">
        <v>2886</v>
      </c>
      <c r="K678" s="14" t="s">
        <v>2877</v>
      </c>
      <c r="L678" s="14" t="s">
        <v>639</v>
      </c>
      <c r="M678" s="14">
        <v>248</v>
      </c>
      <c r="N678" s="14"/>
      <c r="O678" s="34"/>
      <c r="P678" s="14"/>
      <c r="Q678" s="14">
        <v>53.36</v>
      </c>
      <c r="R678" s="14">
        <v>10.19</v>
      </c>
      <c r="S678" s="14"/>
      <c r="T678" s="14"/>
      <c r="U678" s="14"/>
      <c r="V678" s="14">
        <v>131</v>
      </c>
      <c r="W678" s="14">
        <f t="shared" si="63"/>
        <v>0.52822580645161288</v>
      </c>
      <c r="X678" s="14">
        <v>37.17</v>
      </c>
      <c r="Y678" s="14">
        <v>6.81</v>
      </c>
      <c r="Z678" s="14"/>
      <c r="AA678" s="14"/>
      <c r="AB678" s="14"/>
      <c r="AC678" s="14">
        <v>175</v>
      </c>
      <c r="AD678" s="34">
        <f t="shared" si="65"/>
        <v>0.70564516129032262</v>
      </c>
      <c r="AE678" s="35"/>
      <c r="AF678" s="35"/>
      <c r="AG678" s="35">
        <v>12</v>
      </c>
      <c r="AH678" s="35">
        <v>8</v>
      </c>
      <c r="AI678" s="35">
        <v>19</v>
      </c>
      <c r="AJ678" s="35"/>
      <c r="AK678" s="35"/>
      <c r="AL678" s="35"/>
      <c r="AM678" s="35"/>
      <c r="AN678" s="35"/>
      <c r="AO678" s="35"/>
      <c r="AP678" s="35"/>
      <c r="AQ678" s="35"/>
      <c r="AR678" s="35"/>
      <c r="AS678" s="35"/>
      <c r="AT678" s="35"/>
      <c r="AU678" s="14"/>
      <c r="AV678" s="14"/>
      <c r="AW678" s="14"/>
      <c r="AX678" s="14"/>
      <c r="AY678" s="14"/>
      <c r="AZ678" s="14"/>
      <c r="BA678" s="29"/>
      <c r="BB678" s="14"/>
      <c r="BC678" s="14"/>
      <c r="BD678" s="14"/>
      <c r="BE678" s="14"/>
      <c r="BF678" s="14"/>
      <c r="BG678" s="14"/>
      <c r="BH678" s="14"/>
      <c r="BI678" s="14"/>
      <c r="BJ678" s="14"/>
      <c r="BK678" s="14"/>
      <c r="BL678" s="14"/>
      <c r="BM678" s="14"/>
      <c r="BN678" s="14" t="s">
        <v>2231</v>
      </c>
      <c r="BO678" s="14" t="s">
        <v>2490</v>
      </c>
      <c r="BP678" s="14" t="s">
        <v>2878</v>
      </c>
      <c r="BQ678" s="14"/>
      <c r="BR678" s="14"/>
      <c r="BS678" s="14"/>
      <c r="BT678" s="14"/>
      <c r="BU678" s="14"/>
      <c r="BV678" s="14"/>
      <c r="BW678" s="14"/>
      <c r="BX678" s="14"/>
      <c r="BY678" s="14"/>
      <c r="BZ678" s="14"/>
      <c r="CA678" s="14"/>
      <c r="CB678" s="14"/>
      <c r="CC678" s="14">
        <v>-0.253</v>
      </c>
      <c r="CD678" s="14"/>
      <c r="CE678" s="14"/>
      <c r="CF678" s="14"/>
      <c r="CG678" s="14">
        <v>0.01</v>
      </c>
      <c r="CH678" s="14"/>
      <c r="CI678" s="14"/>
      <c r="CJ678" s="14"/>
      <c r="CK678" s="14"/>
      <c r="CL678" s="14"/>
      <c r="CM678" s="14"/>
      <c r="CN678" s="14"/>
      <c r="CO678" s="14"/>
      <c r="CP678" s="14"/>
      <c r="CQ678" s="14"/>
      <c r="CR678" s="14"/>
      <c r="CS678" s="14"/>
      <c r="CT678" s="14"/>
      <c r="CU678" s="14"/>
      <c r="CV678" s="14"/>
      <c r="CW678" s="14" t="s">
        <v>1531</v>
      </c>
      <c r="CX678" s="14" t="s">
        <v>1532</v>
      </c>
      <c r="CY678" s="14">
        <v>2021</v>
      </c>
      <c r="CZ678" s="36"/>
      <c r="DA678" s="14" t="s">
        <v>1533</v>
      </c>
      <c r="DB678" s="14">
        <v>21</v>
      </c>
      <c r="DC678" s="14">
        <v>45355</v>
      </c>
      <c r="DD678" s="14" t="s">
        <v>1534</v>
      </c>
      <c r="DE678" s="14" t="s">
        <v>1535</v>
      </c>
    </row>
    <row r="679" spans="1:109" s="13" customFormat="1" ht="20">
      <c r="A679" s="14" t="s">
        <v>1910</v>
      </c>
      <c r="B679" s="14"/>
      <c r="C679" s="14" t="s">
        <v>1536</v>
      </c>
      <c r="D679" s="14" t="s">
        <v>898</v>
      </c>
      <c r="E679" s="14" t="s">
        <v>673</v>
      </c>
      <c r="F679" s="14" t="s">
        <v>2382</v>
      </c>
      <c r="G679" s="14"/>
      <c r="H679" s="14" t="s">
        <v>712</v>
      </c>
      <c r="I679" s="14" t="s">
        <v>2875</v>
      </c>
      <c r="J679" s="14" t="s">
        <v>2886</v>
      </c>
      <c r="K679" s="14" t="s">
        <v>2877</v>
      </c>
      <c r="L679" s="14" t="s">
        <v>639</v>
      </c>
      <c r="M679" s="14">
        <v>248</v>
      </c>
      <c r="N679" s="14"/>
      <c r="O679" s="34"/>
      <c r="P679" s="14"/>
      <c r="Q679" s="14">
        <v>53.36</v>
      </c>
      <c r="R679" s="14">
        <v>10.19</v>
      </c>
      <c r="S679" s="14"/>
      <c r="T679" s="14"/>
      <c r="U679" s="14"/>
      <c r="V679" s="14">
        <v>131</v>
      </c>
      <c r="W679" s="14">
        <f t="shared" si="63"/>
        <v>0.52822580645161288</v>
      </c>
      <c r="X679" s="14">
        <v>37.17</v>
      </c>
      <c r="Y679" s="14">
        <v>6.81</v>
      </c>
      <c r="Z679" s="14"/>
      <c r="AA679" s="14"/>
      <c r="AB679" s="14"/>
      <c r="AC679" s="14">
        <v>175</v>
      </c>
      <c r="AD679" s="34">
        <f t="shared" si="65"/>
        <v>0.70564516129032262</v>
      </c>
      <c r="AE679" s="35"/>
      <c r="AF679" s="35"/>
      <c r="AG679" s="35">
        <v>12</v>
      </c>
      <c r="AH679" s="35">
        <v>8</v>
      </c>
      <c r="AI679" s="35">
        <v>19</v>
      </c>
      <c r="AJ679" s="35"/>
      <c r="AK679" s="35"/>
      <c r="AL679" s="35"/>
      <c r="AM679" s="35"/>
      <c r="AN679" s="35"/>
      <c r="AO679" s="35"/>
      <c r="AP679" s="35"/>
      <c r="AQ679" s="35"/>
      <c r="AR679" s="35"/>
      <c r="AS679" s="35"/>
      <c r="AT679" s="35"/>
      <c r="AU679" s="14"/>
      <c r="AV679" s="14"/>
      <c r="AW679" s="14"/>
      <c r="AX679" s="14"/>
      <c r="AY679" s="14"/>
      <c r="AZ679" s="14"/>
      <c r="BA679" s="29"/>
      <c r="BB679" s="14"/>
      <c r="BC679" s="14"/>
      <c r="BD679" s="14"/>
      <c r="BE679" s="14"/>
      <c r="BF679" s="14"/>
      <c r="BG679" s="14"/>
      <c r="BH679" s="14"/>
      <c r="BI679" s="14"/>
      <c r="BJ679" s="14"/>
      <c r="BK679" s="14"/>
      <c r="BL679" s="14"/>
      <c r="BM679" s="14"/>
      <c r="BN679" s="14" t="s">
        <v>2231</v>
      </c>
      <c r="BO679" s="14" t="s">
        <v>2490</v>
      </c>
      <c r="BP679" s="14"/>
      <c r="BQ679" s="14">
        <v>0.193</v>
      </c>
      <c r="BR679" s="14"/>
      <c r="BS679" s="14"/>
      <c r="BT679" s="14"/>
      <c r="BU679" s="14">
        <v>5.3999999999999999E-2</v>
      </c>
      <c r="BV679" s="14"/>
      <c r="BW679" s="14"/>
      <c r="BX679" s="14"/>
      <c r="BY679" s="14"/>
      <c r="BZ679" s="14"/>
      <c r="CA679" s="14"/>
      <c r="CB679" s="14"/>
      <c r="CC679" s="14">
        <v>-0.19800000000000001</v>
      </c>
      <c r="CD679" s="14"/>
      <c r="CE679" s="14"/>
      <c r="CF679" s="14"/>
      <c r="CG679" s="14">
        <v>4.8000000000000001E-2</v>
      </c>
      <c r="CH679" s="14"/>
      <c r="CI679" s="14"/>
      <c r="CJ679" s="14"/>
      <c r="CK679" s="14"/>
      <c r="CL679" s="14"/>
      <c r="CM679" s="14"/>
      <c r="CN679" s="14"/>
      <c r="CO679" s="14"/>
      <c r="CP679" s="14"/>
      <c r="CQ679" s="14"/>
      <c r="CR679" s="14"/>
      <c r="CS679" s="14"/>
      <c r="CT679" s="14"/>
      <c r="CU679" s="14"/>
      <c r="CV679" s="14"/>
      <c r="CW679" s="14" t="s">
        <v>1531</v>
      </c>
      <c r="CX679" s="14" t="s">
        <v>1532</v>
      </c>
      <c r="CY679" s="14">
        <v>2021</v>
      </c>
      <c r="CZ679" s="36"/>
      <c r="DA679" s="14" t="s">
        <v>1533</v>
      </c>
      <c r="DB679" s="14">
        <v>21</v>
      </c>
      <c r="DC679" s="14">
        <v>45355</v>
      </c>
      <c r="DD679" s="14" t="s">
        <v>1534</v>
      </c>
      <c r="DE679" s="14" t="s">
        <v>1535</v>
      </c>
    </row>
    <row r="680" spans="1:109" s="13" customFormat="1" ht="20">
      <c r="A680" s="14" t="s">
        <v>1910</v>
      </c>
      <c r="B680" s="14"/>
      <c r="C680" s="14" t="s">
        <v>1536</v>
      </c>
      <c r="D680" s="14" t="s">
        <v>898</v>
      </c>
      <c r="E680" s="14" t="s">
        <v>673</v>
      </c>
      <c r="F680" s="14" t="s">
        <v>2879</v>
      </c>
      <c r="G680" s="14"/>
      <c r="H680" s="14" t="s">
        <v>712</v>
      </c>
      <c r="I680" s="14" t="s">
        <v>2875</v>
      </c>
      <c r="J680" s="14" t="s">
        <v>2886</v>
      </c>
      <c r="K680" s="14" t="s">
        <v>2877</v>
      </c>
      <c r="L680" s="14" t="s">
        <v>639</v>
      </c>
      <c r="M680" s="14">
        <v>248</v>
      </c>
      <c r="N680" s="14"/>
      <c r="O680" s="34"/>
      <c r="P680" s="14"/>
      <c r="Q680" s="14">
        <v>53.36</v>
      </c>
      <c r="R680" s="14">
        <v>10.19</v>
      </c>
      <c r="S680" s="14"/>
      <c r="T680" s="14"/>
      <c r="U680" s="14"/>
      <c r="V680" s="14">
        <v>131</v>
      </c>
      <c r="W680" s="14">
        <f t="shared" si="63"/>
        <v>0.52822580645161288</v>
      </c>
      <c r="X680" s="14">
        <v>37.17</v>
      </c>
      <c r="Y680" s="14">
        <v>6.81</v>
      </c>
      <c r="Z680" s="14"/>
      <c r="AA680" s="14"/>
      <c r="AB680" s="14"/>
      <c r="AC680" s="14">
        <v>175</v>
      </c>
      <c r="AD680" s="34">
        <f t="shared" si="65"/>
        <v>0.70564516129032262</v>
      </c>
      <c r="AE680" s="35"/>
      <c r="AF680" s="35"/>
      <c r="AG680" s="35">
        <v>12</v>
      </c>
      <c r="AH680" s="35">
        <v>8</v>
      </c>
      <c r="AI680" s="35">
        <v>19</v>
      </c>
      <c r="AJ680" s="35"/>
      <c r="AK680" s="35"/>
      <c r="AL680" s="35"/>
      <c r="AM680" s="35"/>
      <c r="AN680" s="35"/>
      <c r="AO680" s="35"/>
      <c r="AP680" s="35"/>
      <c r="AQ680" s="35"/>
      <c r="AR680" s="35"/>
      <c r="AS680" s="35"/>
      <c r="AT680" s="35"/>
      <c r="AU680" s="14"/>
      <c r="AV680" s="14"/>
      <c r="AW680" s="14"/>
      <c r="AX680" s="14"/>
      <c r="AY680" s="14"/>
      <c r="AZ680" s="14"/>
      <c r="BA680" s="29"/>
      <c r="BB680" s="14"/>
      <c r="BC680" s="14"/>
      <c r="BD680" s="14"/>
      <c r="BE680" s="14"/>
      <c r="BF680" s="14"/>
      <c r="BG680" s="14"/>
      <c r="BH680" s="14"/>
      <c r="BI680" s="14"/>
      <c r="BJ680" s="14"/>
      <c r="BK680" s="14"/>
      <c r="BL680" s="14"/>
      <c r="BM680" s="14"/>
      <c r="BN680" s="14" t="s">
        <v>2231</v>
      </c>
      <c r="BO680" s="14" t="s">
        <v>2490</v>
      </c>
      <c r="BP680" s="14"/>
      <c r="BQ680" s="14">
        <v>1.4999999999999999E-2</v>
      </c>
      <c r="BR680" s="14"/>
      <c r="BS680" s="14"/>
      <c r="BT680" s="14"/>
      <c r="BU680" s="14">
        <v>0.93400000000000005</v>
      </c>
      <c r="BV680" s="14"/>
      <c r="BW680" s="14"/>
      <c r="BX680" s="14"/>
      <c r="BY680" s="14"/>
      <c r="BZ680" s="14"/>
      <c r="CA680" s="14"/>
      <c r="CB680" s="14"/>
      <c r="CC680" s="14">
        <v>-1.2E-2</v>
      </c>
      <c r="CD680" s="14"/>
      <c r="CE680" s="14"/>
      <c r="CF680" s="14"/>
      <c r="CG680" s="14">
        <v>0.94799999999999995</v>
      </c>
      <c r="CH680" s="14"/>
      <c r="CI680" s="14"/>
      <c r="CJ680" s="14"/>
      <c r="CK680" s="14"/>
      <c r="CL680" s="14"/>
      <c r="CM680" s="14"/>
      <c r="CN680" s="14"/>
      <c r="CO680" s="14"/>
      <c r="CP680" s="14"/>
      <c r="CQ680" s="14"/>
      <c r="CR680" s="14"/>
      <c r="CS680" s="14"/>
      <c r="CT680" s="14"/>
      <c r="CU680" s="14"/>
      <c r="CV680" s="14"/>
      <c r="CW680" s="14" t="s">
        <v>1531</v>
      </c>
      <c r="CX680" s="14" t="s">
        <v>1532</v>
      </c>
      <c r="CY680" s="14">
        <v>2021</v>
      </c>
      <c r="CZ680" s="36"/>
      <c r="DA680" s="14" t="s">
        <v>1533</v>
      </c>
      <c r="DB680" s="14">
        <v>21</v>
      </c>
      <c r="DC680" s="14">
        <v>45355</v>
      </c>
      <c r="DD680" s="14" t="s">
        <v>1534</v>
      </c>
      <c r="DE680" s="14" t="s">
        <v>1535</v>
      </c>
    </row>
    <row r="681" spans="1:109" s="13" customFormat="1" ht="20">
      <c r="A681" s="14" t="s">
        <v>1910</v>
      </c>
      <c r="B681" s="14"/>
      <c r="C681" s="14" t="s">
        <v>1536</v>
      </c>
      <c r="D681" s="14" t="s">
        <v>898</v>
      </c>
      <c r="E681" s="14" t="s">
        <v>673</v>
      </c>
      <c r="F681" s="14" t="s">
        <v>2722</v>
      </c>
      <c r="G681" s="14"/>
      <c r="H681" s="14" t="s">
        <v>712</v>
      </c>
      <c r="I681" s="14" t="s">
        <v>2875</v>
      </c>
      <c r="J681" s="14" t="s">
        <v>2886</v>
      </c>
      <c r="K681" s="14" t="s">
        <v>2877</v>
      </c>
      <c r="L681" s="14" t="s">
        <v>639</v>
      </c>
      <c r="M681" s="14">
        <v>248</v>
      </c>
      <c r="N681" s="14"/>
      <c r="O681" s="34"/>
      <c r="P681" s="14"/>
      <c r="Q681" s="14">
        <v>53.36</v>
      </c>
      <c r="R681" s="14">
        <v>10.19</v>
      </c>
      <c r="S681" s="14"/>
      <c r="T681" s="14"/>
      <c r="U681" s="14"/>
      <c r="V681" s="14">
        <v>131</v>
      </c>
      <c r="W681" s="14">
        <f t="shared" si="63"/>
        <v>0.52822580645161288</v>
      </c>
      <c r="X681" s="14">
        <v>37.17</v>
      </c>
      <c r="Y681" s="14">
        <v>6.81</v>
      </c>
      <c r="Z681" s="14"/>
      <c r="AA681" s="14"/>
      <c r="AB681" s="14"/>
      <c r="AC681" s="14">
        <v>175</v>
      </c>
      <c r="AD681" s="34">
        <f t="shared" si="65"/>
        <v>0.70564516129032262</v>
      </c>
      <c r="AE681" s="35"/>
      <c r="AF681" s="35"/>
      <c r="AG681" s="35">
        <v>12</v>
      </c>
      <c r="AH681" s="35">
        <v>8</v>
      </c>
      <c r="AI681" s="35">
        <v>19</v>
      </c>
      <c r="AJ681" s="35"/>
      <c r="AK681" s="35"/>
      <c r="AL681" s="35"/>
      <c r="AM681" s="35"/>
      <c r="AN681" s="35"/>
      <c r="AO681" s="35"/>
      <c r="AP681" s="35"/>
      <c r="AQ681" s="35"/>
      <c r="AR681" s="35"/>
      <c r="AS681" s="35"/>
      <c r="AT681" s="35"/>
      <c r="AU681" s="14"/>
      <c r="AV681" s="14"/>
      <c r="AW681" s="14"/>
      <c r="AX681" s="14"/>
      <c r="AY681" s="14"/>
      <c r="AZ681" s="14"/>
      <c r="BA681" s="29"/>
      <c r="BB681" s="14"/>
      <c r="BC681" s="14"/>
      <c r="BD681" s="14"/>
      <c r="BE681" s="14"/>
      <c r="BF681" s="14"/>
      <c r="BG681" s="14"/>
      <c r="BH681" s="14"/>
      <c r="BI681" s="14"/>
      <c r="BJ681" s="14"/>
      <c r="BK681" s="14"/>
      <c r="BL681" s="14"/>
      <c r="BM681" s="14"/>
      <c r="BN681" s="14" t="s">
        <v>2231</v>
      </c>
      <c r="BO681" s="14" t="s">
        <v>2490</v>
      </c>
      <c r="BP681" s="14"/>
      <c r="BQ681" s="14">
        <v>0.13700000000000001</v>
      </c>
      <c r="BR681" s="14"/>
      <c r="BS681" s="14"/>
      <c r="BT681" s="14"/>
      <c r="BU681" s="14">
        <v>0.16200000000000001</v>
      </c>
      <c r="BV681" s="14"/>
      <c r="BW681" s="14"/>
      <c r="BX681" s="14"/>
      <c r="BY681" s="14"/>
      <c r="BZ681" s="14"/>
      <c r="CA681" s="14"/>
      <c r="CB681" s="14"/>
      <c r="CC681" s="14">
        <v>-6.3E-2</v>
      </c>
      <c r="CD681" s="14"/>
      <c r="CE681" s="14"/>
      <c r="CF681" s="14"/>
      <c r="CG681" s="14">
        <v>0.52600000000000002</v>
      </c>
      <c r="CH681" s="14"/>
      <c r="CI681" s="14"/>
      <c r="CJ681" s="14"/>
      <c r="CK681" s="14"/>
      <c r="CL681" s="14"/>
      <c r="CM681" s="14"/>
      <c r="CN681" s="14"/>
      <c r="CO681" s="14"/>
      <c r="CP681" s="14"/>
      <c r="CQ681" s="14"/>
      <c r="CR681" s="14"/>
      <c r="CS681" s="14"/>
      <c r="CT681" s="14"/>
      <c r="CU681" s="14"/>
      <c r="CV681" s="14"/>
      <c r="CW681" s="14" t="s">
        <v>1531</v>
      </c>
      <c r="CX681" s="14" t="s">
        <v>1532</v>
      </c>
      <c r="CY681" s="14">
        <v>2021</v>
      </c>
      <c r="CZ681" s="36"/>
      <c r="DA681" s="14" t="s">
        <v>1533</v>
      </c>
      <c r="DB681" s="14">
        <v>21</v>
      </c>
      <c r="DC681" s="14">
        <v>45355</v>
      </c>
      <c r="DD681" s="14" t="s">
        <v>1534</v>
      </c>
      <c r="DE681" s="14" t="s">
        <v>1535</v>
      </c>
    </row>
    <row r="682" spans="1:109" s="13" customFormat="1" ht="20">
      <c r="A682" s="14" t="s">
        <v>1910</v>
      </c>
      <c r="B682" s="14"/>
      <c r="C682" s="14" t="s">
        <v>1536</v>
      </c>
      <c r="D682" s="14" t="s">
        <v>898</v>
      </c>
      <c r="E682" s="14" t="s">
        <v>673</v>
      </c>
      <c r="F682" s="14" t="s">
        <v>2717</v>
      </c>
      <c r="G682" s="14"/>
      <c r="H682" s="14" t="s">
        <v>712</v>
      </c>
      <c r="I682" s="14" t="s">
        <v>2875</v>
      </c>
      <c r="J682" s="14" t="s">
        <v>2886</v>
      </c>
      <c r="K682" s="14" t="s">
        <v>2877</v>
      </c>
      <c r="L682" s="14" t="s">
        <v>639</v>
      </c>
      <c r="M682" s="14">
        <v>248</v>
      </c>
      <c r="N682" s="14"/>
      <c r="O682" s="34"/>
      <c r="P682" s="14"/>
      <c r="Q682" s="14">
        <v>53.36</v>
      </c>
      <c r="R682" s="14">
        <v>10.19</v>
      </c>
      <c r="S682" s="14"/>
      <c r="T682" s="14"/>
      <c r="U682" s="14"/>
      <c r="V682" s="14">
        <v>131</v>
      </c>
      <c r="W682" s="14">
        <f t="shared" si="63"/>
        <v>0.52822580645161288</v>
      </c>
      <c r="X682" s="14">
        <v>37.17</v>
      </c>
      <c r="Y682" s="14">
        <v>6.81</v>
      </c>
      <c r="Z682" s="14"/>
      <c r="AA682" s="14"/>
      <c r="AB682" s="14"/>
      <c r="AC682" s="14">
        <v>175</v>
      </c>
      <c r="AD682" s="34">
        <f t="shared" si="65"/>
        <v>0.70564516129032262</v>
      </c>
      <c r="AE682" s="35"/>
      <c r="AF682" s="35"/>
      <c r="AG682" s="35">
        <v>12</v>
      </c>
      <c r="AH682" s="35">
        <v>8</v>
      </c>
      <c r="AI682" s="35">
        <v>19</v>
      </c>
      <c r="AJ682" s="35"/>
      <c r="AK682" s="35"/>
      <c r="AL682" s="35"/>
      <c r="AM682" s="35"/>
      <c r="AN682" s="35"/>
      <c r="AO682" s="35"/>
      <c r="AP682" s="35"/>
      <c r="AQ682" s="35"/>
      <c r="AR682" s="35"/>
      <c r="AS682" s="35"/>
      <c r="AT682" s="35"/>
      <c r="AU682" s="14"/>
      <c r="AV682" s="14"/>
      <c r="AW682" s="14"/>
      <c r="AX682" s="14"/>
      <c r="AY682" s="14"/>
      <c r="AZ682" s="14"/>
      <c r="BA682" s="29"/>
      <c r="BB682" s="14"/>
      <c r="BC682" s="14"/>
      <c r="BD682" s="14"/>
      <c r="BE682" s="14"/>
      <c r="BF682" s="14"/>
      <c r="BG682" s="14"/>
      <c r="BH682" s="14"/>
      <c r="BI682" s="14"/>
      <c r="BJ682" s="14"/>
      <c r="BK682" s="14"/>
      <c r="BL682" s="14"/>
      <c r="BM682" s="14"/>
      <c r="BN682" s="14" t="s">
        <v>2231</v>
      </c>
      <c r="BO682" s="14" t="s">
        <v>2490</v>
      </c>
      <c r="BP682" s="14"/>
      <c r="BQ682" s="14">
        <v>1.6E-2</v>
      </c>
      <c r="BR682" s="14"/>
      <c r="BS682" s="14"/>
      <c r="BT682" s="14"/>
      <c r="BU682" s="14">
        <v>0.87</v>
      </c>
      <c r="BV682" s="14"/>
      <c r="BW682" s="14"/>
      <c r="BX682" s="14"/>
      <c r="BY682" s="14"/>
      <c r="BZ682" s="14"/>
      <c r="CA682" s="14"/>
      <c r="CB682" s="14"/>
      <c r="CC682" s="14">
        <v>-4.9000000000000002E-2</v>
      </c>
      <c r="CD682" s="14"/>
      <c r="CE682" s="14"/>
      <c r="CF682" s="14"/>
      <c r="CG682" s="14">
        <v>0.622</v>
      </c>
      <c r="CH682" s="14"/>
      <c r="CI682" s="14"/>
      <c r="CJ682" s="14"/>
      <c r="CK682" s="14"/>
      <c r="CL682" s="14"/>
      <c r="CM682" s="14"/>
      <c r="CN682" s="14"/>
      <c r="CO682" s="14"/>
      <c r="CP682" s="14"/>
      <c r="CQ682" s="14"/>
      <c r="CR682" s="14"/>
      <c r="CS682" s="14"/>
      <c r="CT682" s="14"/>
      <c r="CU682" s="14"/>
      <c r="CV682" s="14"/>
      <c r="CW682" s="14" t="s">
        <v>1531</v>
      </c>
      <c r="CX682" s="14" t="s">
        <v>1532</v>
      </c>
      <c r="CY682" s="14">
        <v>2021</v>
      </c>
      <c r="CZ682" s="36"/>
      <c r="DA682" s="14" t="s">
        <v>1533</v>
      </c>
      <c r="DB682" s="14">
        <v>21</v>
      </c>
      <c r="DC682" s="14">
        <v>45355</v>
      </c>
      <c r="DD682" s="14" t="s">
        <v>1534</v>
      </c>
      <c r="DE682" s="14" t="s">
        <v>1535</v>
      </c>
    </row>
    <row r="683" spans="1:109" s="13" customFormat="1" ht="20">
      <c r="A683" s="14" t="s">
        <v>1910</v>
      </c>
      <c r="B683" s="14"/>
      <c r="C683" s="14" t="s">
        <v>1536</v>
      </c>
      <c r="D683" s="14" t="s">
        <v>898</v>
      </c>
      <c r="E683" s="14" t="s">
        <v>673</v>
      </c>
      <c r="F683" s="14" t="s">
        <v>2726</v>
      </c>
      <c r="G683" s="14"/>
      <c r="H683" s="14" t="s">
        <v>712</v>
      </c>
      <c r="I683" s="14" t="s">
        <v>2875</v>
      </c>
      <c r="J683" s="14" t="s">
        <v>2886</v>
      </c>
      <c r="K683" s="14" t="s">
        <v>2877</v>
      </c>
      <c r="L683" s="14" t="s">
        <v>639</v>
      </c>
      <c r="M683" s="14">
        <v>248</v>
      </c>
      <c r="N683" s="14"/>
      <c r="O683" s="34"/>
      <c r="P683" s="14"/>
      <c r="Q683" s="14">
        <v>53.36</v>
      </c>
      <c r="R683" s="14">
        <v>10.19</v>
      </c>
      <c r="S683" s="14"/>
      <c r="T683" s="14"/>
      <c r="U683" s="14"/>
      <c r="V683" s="14">
        <v>131</v>
      </c>
      <c r="W683" s="14">
        <f t="shared" si="63"/>
        <v>0.52822580645161288</v>
      </c>
      <c r="X683" s="14">
        <v>37.17</v>
      </c>
      <c r="Y683" s="14">
        <v>6.81</v>
      </c>
      <c r="Z683" s="14"/>
      <c r="AA683" s="14"/>
      <c r="AB683" s="14"/>
      <c r="AC683" s="14">
        <v>175</v>
      </c>
      <c r="AD683" s="34">
        <f t="shared" si="65"/>
        <v>0.70564516129032262</v>
      </c>
      <c r="AE683" s="35"/>
      <c r="AF683" s="35"/>
      <c r="AG683" s="35">
        <v>12</v>
      </c>
      <c r="AH683" s="35">
        <v>8</v>
      </c>
      <c r="AI683" s="35">
        <v>19</v>
      </c>
      <c r="AJ683" s="35"/>
      <c r="AK683" s="35"/>
      <c r="AL683" s="35"/>
      <c r="AM683" s="35"/>
      <c r="AN683" s="35"/>
      <c r="AO683" s="35"/>
      <c r="AP683" s="35"/>
      <c r="AQ683" s="35"/>
      <c r="AR683" s="35"/>
      <c r="AS683" s="35"/>
      <c r="AT683" s="35"/>
      <c r="AU683" s="14"/>
      <c r="AV683" s="14"/>
      <c r="AW683" s="14"/>
      <c r="AX683" s="14"/>
      <c r="AY683" s="14"/>
      <c r="AZ683" s="14"/>
      <c r="BA683" s="29"/>
      <c r="BB683" s="14"/>
      <c r="BC683" s="14"/>
      <c r="BD683" s="14"/>
      <c r="BE683" s="14"/>
      <c r="BF683" s="14"/>
      <c r="BG683" s="14"/>
      <c r="BH683" s="14"/>
      <c r="BI683" s="14"/>
      <c r="BJ683" s="14"/>
      <c r="BK683" s="14"/>
      <c r="BL683" s="14"/>
      <c r="BM683" s="14"/>
      <c r="BN683" s="14" t="s">
        <v>2231</v>
      </c>
      <c r="BO683" s="14" t="s">
        <v>2490</v>
      </c>
      <c r="BP683" s="14"/>
      <c r="BQ683" s="14">
        <v>0.17199999999999999</v>
      </c>
      <c r="BR683" s="14"/>
      <c r="BS683" s="14"/>
      <c r="BT683" s="14"/>
      <c r="BU683" s="14">
        <v>0.08</v>
      </c>
      <c r="BV683" s="14"/>
      <c r="BW683" s="14"/>
      <c r="BX683" s="14"/>
      <c r="BY683" s="14"/>
      <c r="BZ683" s="14"/>
      <c r="CA683" s="14"/>
      <c r="CB683" s="14"/>
      <c r="CC683" s="14">
        <v>-0.107</v>
      </c>
      <c r="CD683" s="14"/>
      <c r="CE683" s="14"/>
      <c r="CF683" s="14"/>
      <c r="CG683" s="14">
        <v>0.27900000000000003</v>
      </c>
      <c r="CH683" s="14"/>
      <c r="CI683" s="14"/>
      <c r="CJ683" s="14"/>
      <c r="CK683" s="14"/>
      <c r="CL683" s="14"/>
      <c r="CM683" s="14"/>
      <c r="CN683" s="14"/>
      <c r="CO683" s="14"/>
      <c r="CP683" s="14"/>
      <c r="CQ683" s="14"/>
      <c r="CR683" s="14"/>
      <c r="CS683" s="14"/>
      <c r="CT683" s="14"/>
      <c r="CU683" s="14"/>
      <c r="CV683" s="14"/>
      <c r="CW683" s="14" t="s">
        <v>1531</v>
      </c>
      <c r="CX683" s="14" t="s">
        <v>1532</v>
      </c>
      <c r="CY683" s="14">
        <v>2021</v>
      </c>
      <c r="CZ683" s="36"/>
      <c r="DA683" s="14" t="s">
        <v>1533</v>
      </c>
      <c r="DB683" s="14">
        <v>21</v>
      </c>
      <c r="DC683" s="14">
        <v>45355</v>
      </c>
      <c r="DD683" s="14" t="s">
        <v>1534</v>
      </c>
      <c r="DE683" s="14" t="s">
        <v>1535</v>
      </c>
    </row>
    <row r="684" spans="1:109" s="13" customFormat="1" ht="20">
      <c r="A684" s="14" t="s">
        <v>1913</v>
      </c>
      <c r="B684" s="14" t="s">
        <v>1741</v>
      </c>
      <c r="C684" s="14" t="s">
        <v>483</v>
      </c>
      <c r="D684" s="14" t="s">
        <v>818</v>
      </c>
      <c r="E684" s="14" t="s">
        <v>725</v>
      </c>
      <c r="F684" s="14" t="s">
        <v>2896</v>
      </c>
      <c r="G684" s="14"/>
      <c r="H684" s="14" t="s">
        <v>584</v>
      </c>
      <c r="I684" s="14" t="s">
        <v>2894</v>
      </c>
      <c r="J684" s="14" t="s">
        <v>1977</v>
      </c>
      <c r="K684" s="14" t="s">
        <v>1000</v>
      </c>
      <c r="L684" s="14"/>
      <c r="M684" s="14">
        <v>396</v>
      </c>
      <c r="N684" s="14"/>
      <c r="O684" s="34"/>
      <c r="P684" s="14"/>
      <c r="Q684" s="14"/>
      <c r="R684" s="14"/>
      <c r="S684" s="14"/>
      <c r="T684" s="14"/>
      <c r="U684" s="14"/>
      <c r="V684" s="14">
        <v>219</v>
      </c>
      <c r="W684" s="14">
        <v>0.55300000000000005</v>
      </c>
      <c r="X684" s="14"/>
      <c r="Y684" s="14"/>
      <c r="Z684" s="14"/>
      <c r="AA684" s="14"/>
      <c r="AB684" s="14"/>
      <c r="AC684" s="14">
        <v>238</v>
      </c>
      <c r="AD684" s="34">
        <v>0.6</v>
      </c>
      <c r="AE684" s="35"/>
      <c r="AF684" s="35"/>
      <c r="AG684" s="35"/>
      <c r="AH684" s="35"/>
      <c r="AI684" s="35"/>
      <c r="AJ684" s="35"/>
      <c r="AK684" s="35"/>
      <c r="AL684" s="35"/>
      <c r="AM684" s="35"/>
      <c r="AN684" s="35"/>
      <c r="AO684" s="35"/>
      <c r="AP684" s="35"/>
      <c r="AQ684" s="35">
        <f>2.44*12</f>
        <v>29.28</v>
      </c>
      <c r="AR684" s="35">
        <f>1.59*12</f>
        <v>19.080000000000002</v>
      </c>
      <c r="AS684" s="35">
        <f>3.87*12</f>
        <v>46.44</v>
      </c>
      <c r="AT684" s="35"/>
      <c r="AU684" s="14"/>
      <c r="AV684" s="14"/>
      <c r="AW684" s="14"/>
      <c r="AX684" s="14"/>
      <c r="AY684" s="14"/>
      <c r="AZ684" s="14"/>
      <c r="BA684" s="29"/>
      <c r="BB684" s="14"/>
      <c r="BC684" s="14"/>
      <c r="BD684" s="14"/>
      <c r="BE684" s="29" t="s">
        <v>2895</v>
      </c>
      <c r="BF684" s="29"/>
      <c r="BG684" s="14">
        <v>0.77</v>
      </c>
      <c r="BH684" s="14"/>
      <c r="BI684" s="14"/>
      <c r="BJ684" s="29"/>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t="s">
        <v>479</v>
      </c>
      <c r="CX684" s="14" t="s">
        <v>480</v>
      </c>
      <c r="CY684" s="14">
        <v>2019</v>
      </c>
      <c r="CZ684" s="36">
        <v>45434</v>
      </c>
      <c r="DA684" s="14" t="s">
        <v>481</v>
      </c>
      <c r="DB684" s="14">
        <v>17</v>
      </c>
      <c r="DC684" s="14">
        <v>1</v>
      </c>
      <c r="DD684" s="14" t="s">
        <v>2158</v>
      </c>
      <c r="DE684" s="14" t="s">
        <v>482</v>
      </c>
    </row>
    <row r="685" spans="1:109" s="13" customFormat="1" ht="20">
      <c r="A685" s="14" t="s">
        <v>1913</v>
      </c>
      <c r="B685" s="14" t="s">
        <v>1741</v>
      </c>
      <c r="C685" s="14" t="s">
        <v>483</v>
      </c>
      <c r="D685" s="14" t="s">
        <v>818</v>
      </c>
      <c r="E685" s="14" t="s">
        <v>725</v>
      </c>
      <c r="F685" s="14" t="s">
        <v>2897</v>
      </c>
      <c r="G685" s="14"/>
      <c r="H685" s="14" t="s">
        <v>584</v>
      </c>
      <c r="I685" s="14" t="s">
        <v>2894</v>
      </c>
      <c r="J685" s="14" t="s">
        <v>1977</v>
      </c>
      <c r="K685" s="14" t="s">
        <v>1000</v>
      </c>
      <c r="L685" s="14"/>
      <c r="M685" s="14">
        <v>396</v>
      </c>
      <c r="N685" s="14"/>
      <c r="O685" s="34"/>
      <c r="P685" s="14"/>
      <c r="Q685" s="14"/>
      <c r="R685" s="14"/>
      <c r="S685" s="14"/>
      <c r="T685" s="14"/>
      <c r="U685" s="14"/>
      <c r="V685" s="14">
        <v>219</v>
      </c>
      <c r="W685" s="14">
        <v>0.55300000000000005</v>
      </c>
      <c r="X685" s="14"/>
      <c r="Y685" s="14"/>
      <c r="Z685" s="14"/>
      <c r="AA685" s="14"/>
      <c r="AB685" s="14"/>
      <c r="AC685" s="14">
        <v>238</v>
      </c>
      <c r="AD685" s="34">
        <v>0.6</v>
      </c>
      <c r="AE685" s="35"/>
      <c r="AF685" s="35"/>
      <c r="AG685" s="35"/>
      <c r="AH685" s="35"/>
      <c r="AI685" s="35"/>
      <c r="AJ685" s="35"/>
      <c r="AK685" s="35"/>
      <c r="AL685" s="35"/>
      <c r="AM685" s="35"/>
      <c r="AN685" s="35"/>
      <c r="AO685" s="35"/>
      <c r="AP685" s="35"/>
      <c r="AQ685" s="35">
        <f>2.44*12</f>
        <v>29.28</v>
      </c>
      <c r="AR685" s="35">
        <f>1.59*12</f>
        <v>19.080000000000002</v>
      </c>
      <c r="AS685" s="35">
        <f>3.87*12</f>
        <v>46.44</v>
      </c>
      <c r="AT685" s="35"/>
      <c r="AU685" s="14"/>
      <c r="AV685" s="14"/>
      <c r="AW685" s="14"/>
      <c r="AX685" s="14"/>
      <c r="AY685" s="14"/>
      <c r="AZ685" s="14"/>
      <c r="BA685" s="29"/>
      <c r="BB685" s="14"/>
      <c r="BC685" s="14"/>
      <c r="BD685" s="14"/>
      <c r="BE685" s="29" t="s">
        <v>2895</v>
      </c>
      <c r="BF685" s="29"/>
      <c r="BG685" s="14">
        <v>1.02</v>
      </c>
      <c r="BH685" s="14"/>
      <c r="BI685" s="14"/>
      <c r="BJ685" s="29"/>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t="s">
        <v>479</v>
      </c>
      <c r="CX685" s="14" t="s">
        <v>480</v>
      </c>
      <c r="CY685" s="14">
        <v>2019</v>
      </c>
      <c r="CZ685" s="36">
        <v>45434</v>
      </c>
      <c r="DA685" s="14" t="s">
        <v>481</v>
      </c>
      <c r="DB685" s="14">
        <v>17</v>
      </c>
      <c r="DC685" s="14">
        <v>1</v>
      </c>
      <c r="DD685" s="14" t="s">
        <v>2158</v>
      </c>
      <c r="DE685" s="14" t="s">
        <v>482</v>
      </c>
    </row>
    <row r="686" spans="1:109" s="13" customFormat="1" ht="20">
      <c r="A686" s="14" t="s">
        <v>1913</v>
      </c>
      <c r="B686" s="14" t="s">
        <v>1741</v>
      </c>
      <c r="C686" s="14" t="s">
        <v>483</v>
      </c>
      <c r="D686" s="14" t="s">
        <v>818</v>
      </c>
      <c r="E686" s="14" t="s">
        <v>725</v>
      </c>
      <c r="F686" s="14" t="s">
        <v>2898</v>
      </c>
      <c r="G686" s="14"/>
      <c r="H686" s="14" t="s">
        <v>584</v>
      </c>
      <c r="I686" s="14" t="s">
        <v>2894</v>
      </c>
      <c r="J686" s="14" t="s">
        <v>1977</v>
      </c>
      <c r="K686" s="14" t="s">
        <v>1000</v>
      </c>
      <c r="L686" s="14"/>
      <c r="M686" s="14">
        <v>396</v>
      </c>
      <c r="N686" s="14"/>
      <c r="O686" s="34"/>
      <c r="P686" s="14"/>
      <c r="Q686" s="14"/>
      <c r="R686" s="14"/>
      <c r="S686" s="14"/>
      <c r="T686" s="14"/>
      <c r="U686" s="14"/>
      <c r="V686" s="14">
        <v>219</v>
      </c>
      <c r="W686" s="14">
        <v>0.55300000000000005</v>
      </c>
      <c r="X686" s="14"/>
      <c r="Y686" s="14"/>
      <c r="Z686" s="14"/>
      <c r="AA686" s="14"/>
      <c r="AB686" s="14"/>
      <c r="AC686" s="14">
        <v>238</v>
      </c>
      <c r="AD686" s="34">
        <v>0.6</v>
      </c>
      <c r="AE686" s="35"/>
      <c r="AF686" s="35"/>
      <c r="AG686" s="35"/>
      <c r="AH686" s="35"/>
      <c r="AI686" s="35"/>
      <c r="AJ686" s="35"/>
      <c r="AK686" s="35"/>
      <c r="AL686" s="35"/>
      <c r="AM686" s="35"/>
      <c r="AN686" s="35"/>
      <c r="AO686" s="35"/>
      <c r="AP686" s="35"/>
      <c r="AQ686" s="35">
        <f>2.44*12</f>
        <v>29.28</v>
      </c>
      <c r="AR686" s="35">
        <f>1.59*12</f>
        <v>19.080000000000002</v>
      </c>
      <c r="AS686" s="35">
        <f>3.87*12</f>
        <v>46.44</v>
      </c>
      <c r="AT686" s="35"/>
      <c r="AU686" s="14"/>
      <c r="AV686" s="14"/>
      <c r="AW686" s="14"/>
      <c r="AX686" s="14"/>
      <c r="AY686" s="14"/>
      <c r="AZ686" s="14"/>
      <c r="BA686" s="29"/>
      <c r="BB686" s="14"/>
      <c r="BC686" s="14"/>
      <c r="BD686" s="14"/>
      <c r="BE686" s="29" t="s">
        <v>2895</v>
      </c>
      <c r="BF686" s="29"/>
      <c r="BG686" s="14">
        <v>1.03</v>
      </c>
      <c r="BH686" s="14"/>
      <c r="BI686" s="14"/>
      <c r="BJ686" s="29"/>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t="s">
        <v>479</v>
      </c>
      <c r="CX686" s="14" t="s">
        <v>480</v>
      </c>
      <c r="CY686" s="14">
        <v>2019</v>
      </c>
      <c r="CZ686" s="36">
        <v>45434</v>
      </c>
      <c r="DA686" s="14" t="s">
        <v>481</v>
      </c>
      <c r="DB686" s="14">
        <v>17</v>
      </c>
      <c r="DC686" s="14">
        <v>1</v>
      </c>
      <c r="DD686" s="14" t="s">
        <v>2158</v>
      </c>
      <c r="DE686" s="14" t="s">
        <v>482</v>
      </c>
    </row>
    <row r="687" spans="1:109" s="13" customFormat="1" ht="20">
      <c r="A687" s="14" t="s">
        <v>1913</v>
      </c>
      <c r="B687" s="14" t="s">
        <v>1741</v>
      </c>
      <c r="C687" s="14" t="s">
        <v>483</v>
      </c>
      <c r="D687" s="14" t="s">
        <v>818</v>
      </c>
      <c r="E687" s="14" t="s">
        <v>725</v>
      </c>
      <c r="F687" s="14" t="s">
        <v>2899</v>
      </c>
      <c r="G687" s="14"/>
      <c r="H687" s="14" t="s">
        <v>584</v>
      </c>
      <c r="I687" s="14" t="s">
        <v>2894</v>
      </c>
      <c r="J687" s="14" t="s">
        <v>1977</v>
      </c>
      <c r="K687" s="14" t="s">
        <v>1000</v>
      </c>
      <c r="L687" s="14"/>
      <c r="M687" s="14">
        <v>396</v>
      </c>
      <c r="N687" s="14"/>
      <c r="O687" s="34"/>
      <c r="P687" s="14"/>
      <c r="Q687" s="14"/>
      <c r="R687" s="14"/>
      <c r="S687" s="14"/>
      <c r="T687" s="14"/>
      <c r="U687" s="14"/>
      <c r="V687" s="14">
        <v>219</v>
      </c>
      <c r="W687" s="14">
        <v>0.55300000000000005</v>
      </c>
      <c r="X687" s="14"/>
      <c r="Y687" s="14"/>
      <c r="Z687" s="14"/>
      <c r="AA687" s="14"/>
      <c r="AB687" s="14"/>
      <c r="AC687" s="14">
        <v>238</v>
      </c>
      <c r="AD687" s="34">
        <v>0.6</v>
      </c>
      <c r="AE687" s="35"/>
      <c r="AF687" s="35"/>
      <c r="AG687" s="35"/>
      <c r="AH687" s="35"/>
      <c r="AI687" s="35"/>
      <c r="AJ687" s="35"/>
      <c r="AK687" s="35"/>
      <c r="AL687" s="35"/>
      <c r="AM687" s="35"/>
      <c r="AN687" s="35"/>
      <c r="AO687" s="35"/>
      <c r="AP687" s="35"/>
      <c r="AQ687" s="35">
        <f>2.44*12</f>
        <v>29.28</v>
      </c>
      <c r="AR687" s="35">
        <f>1.59*12</f>
        <v>19.080000000000002</v>
      </c>
      <c r="AS687" s="35">
        <f>3.87*12</f>
        <v>46.44</v>
      </c>
      <c r="AT687" s="35"/>
      <c r="AU687" s="14"/>
      <c r="AV687" s="14"/>
      <c r="AW687" s="14"/>
      <c r="AX687" s="14"/>
      <c r="AY687" s="14"/>
      <c r="AZ687" s="14"/>
      <c r="BA687" s="29"/>
      <c r="BB687" s="14"/>
      <c r="BC687" s="14"/>
      <c r="BD687" s="14"/>
      <c r="BE687" s="29" t="s">
        <v>2895</v>
      </c>
      <c r="BF687" s="29"/>
      <c r="BG687" s="14">
        <v>0.71</v>
      </c>
      <c r="BH687" s="14"/>
      <c r="BI687" s="14"/>
      <c r="BJ687" s="29"/>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t="s">
        <v>479</v>
      </c>
      <c r="CX687" s="14" t="s">
        <v>480</v>
      </c>
      <c r="CY687" s="14">
        <v>2019</v>
      </c>
      <c r="CZ687" s="36">
        <v>45434</v>
      </c>
      <c r="DA687" s="14" t="s">
        <v>481</v>
      </c>
      <c r="DB687" s="14">
        <v>17</v>
      </c>
      <c r="DC687" s="14">
        <v>1</v>
      </c>
      <c r="DD687" s="14" t="s">
        <v>2158</v>
      </c>
      <c r="DE687" s="14" t="s">
        <v>482</v>
      </c>
    </row>
    <row r="688" spans="1:109" s="13" customFormat="1" ht="20">
      <c r="A688" s="14" t="s">
        <v>1913</v>
      </c>
      <c r="B688" s="14" t="s">
        <v>1741</v>
      </c>
      <c r="C688" s="14" t="s">
        <v>483</v>
      </c>
      <c r="D688" s="14" t="s">
        <v>818</v>
      </c>
      <c r="E688" s="14" t="s">
        <v>725</v>
      </c>
      <c r="F688" s="14" t="s">
        <v>2900</v>
      </c>
      <c r="G688" s="14"/>
      <c r="H688" s="14" t="s">
        <v>584</v>
      </c>
      <c r="I688" s="14" t="s">
        <v>2894</v>
      </c>
      <c r="J688" s="14" t="s">
        <v>1977</v>
      </c>
      <c r="K688" s="14" t="s">
        <v>1000</v>
      </c>
      <c r="L688" s="14"/>
      <c r="M688" s="14">
        <v>396</v>
      </c>
      <c r="N688" s="14"/>
      <c r="O688" s="34"/>
      <c r="P688" s="14"/>
      <c r="Q688" s="14"/>
      <c r="R688" s="14"/>
      <c r="S688" s="14"/>
      <c r="T688" s="14"/>
      <c r="U688" s="14"/>
      <c r="V688" s="14">
        <v>219</v>
      </c>
      <c r="W688" s="14">
        <v>0.55300000000000005</v>
      </c>
      <c r="X688" s="14"/>
      <c r="Y688" s="14"/>
      <c r="Z688" s="14"/>
      <c r="AA688" s="14"/>
      <c r="AB688" s="14"/>
      <c r="AC688" s="14">
        <v>238</v>
      </c>
      <c r="AD688" s="34">
        <v>0.6</v>
      </c>
      <c r="AE688" s="35"/>
      <c r="AF688" s="35"/>
      <c r="AG688" s="35"/>
      <c r="AH688" s="35"/>
      <c r="AI688" s="35"/>
      <c r="AJ688" s="35"/>
      <c r="AK688" s="35"/>
      <c r="AL688" s="35"/>
      <c r="AM688" s="35"/>
      <c r="AN688" s="35"/>
      <c r="AO688" s="35"/>
      <c r="AP688" s="35"/>
      <c r="AQ688" s="35">
        <f>2.44*12</f>
        <v>29.28</v>
      </c>
      <c r="AR688" s="35">
        <f>1.59*12</f>
        <v>19.080000000000002</v>
      </c>
      <c r="AS688" s="35">
        <f>3.87*12</f>
        <v>46.44</v>
      </c>
      <c r="AT688" s="35"/>
      <c r="AU688" s="14"/>
      <c r="AV688" s="14"/>
      <c r="AW688" s="14"/>
      <c r="AX688" s="14"/>
      <c r="AY688" s="14"/>
      <c r="AZ688" s="14"/>
      <c r="BA688" s="29"/>
      <c r="BB688" s="14"/>
      <c r="BC688" s="14"/>
      <c r="BD688" s="14"/>
      <c r="BE688" s="29" t="s">
        <v>2895</v>
      </c>
      <c r="BF688" s="29"/>
      <c r="BG688" s="14">
        <v>0.41</v>
      </c>
      <c r="BH688" s="14"/>
      <c r="BI688" s="14"/>
      <c r="BJ688" s="29"/>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t="s">
        <v>479</v>
      </c>
      <c r="CX688" s="14" t="s">
        <v>480</v>
      </c>
      <c r="CY688" s="14">
        <v>2019</v>
      </c>
      <c r="CZ688" s="36">
        <v>45434</v>
      </c>
      <c r="DA688" s="14" t="s">
        <v>481</v>
      </c>
      <c r="DB688" s="14">
        <v>17</v>
      </c>
      <c r="DC688" s="14">
        <v>1</v>
      </c>
      <c r="DD688" s="14" t="s">
        <v>2158</v>
      </c>
      <c r="DE688" s="14" t="s">
        <v>482</v>
      </c>
    </row>
    <row r="689" spans="1:109" s="13" customFormat="1" ht="20">
      <c r="A689" s="13" t="s">
        <v>3420</v>
      </c>
      <c r="C689" s="13" t="s">
        <v>3348</v>
      </c>
      <c r="D689" s="14" t="s">
        <v>2039</v>
      </c>
      <c r="E689" s="13" t="s">
        <v>725</v>
      </c>
      <c r="F689" s="13" t="s">
        <v>3956</v>
      </c>
      <c r="H689" s="14" t="s">
        <v>3954</v>
      </c>
      <c r="I689" s="14" t="s">
        <v>3955</v>
      </c>
      <c r="J689" s="13" t="s">
        <v>778</v>
      </c>
      <c r="O689" s="15"/>
      <c r="W689" s="17"/>
      <c r="BA689" s="16"/>
      <c r="BE689" s="16"/>
      <c r="BJ689" s="16"/>
      <c r="BN689" s="16"/>
      <c r="CW689" s="13" t="s">
        <v>3593</v>
      </c>
      <c r="CX689" s="13" t="s">
        <v>3594</v>
      </c>
      <c r="CY689" s="13">
        <v>2025</v>
      </c>
      <c r="CZ689" s="21">
        <v>45681</v>
      </c>
      <c r="DA689" s="13" t="s">
        <v>3595</v>
      </c>
      <c r="DE689" s="13" t="s">
        <v>3275</v>
      </c>
    </row>
    <row r="690" spans="1:109" s="13" customFormat="1" ht="20">
      <c r="A690" s="14" t="s">
        <v>2125</v>
      </c>
      <c r="B690" s="14"/>
      <c r="C690" s="14" t="s">
        <v>2095</v>
      </c>
      <c r="D690" s="14" t="s">
        <v>4179</v>
      </c>
      <c r="E690" s="29" t="s">
        <v>672</v>
      </c>
      <c r="F690" s="29" t="s">
        <v>676</v>
      </c>
      <c r="G690" s="14"/>
      <c r="H690" s="14"/>
      <c r="I690" s="14"/>
      <c r="J690" s="14"/>
      <c r="K690" s="14"/>
      <c r="L690" s="14"/>
      <c r="M690" s="14"/>
      <c r="N690" s="14"/>
      <c r="O690" s="34"/>
      <c r="P690" s="14"/>
      <c r="Q690" s="14"/>
      <c r="R690" s="14"/>
      <c r="S690" s="14"/>
      <c r="T690" s="14"/>
      <c r="U690" s="14"/>
      <c r="V690" s="14"/>
      <c r="W690" s="14"/>
      <c r="X690" s="14"/>
      <c r="Y690" s="14"/>
      <c r="Z690" s="14"/>
      <c r="AA690" s="14"/>
      <c r="AB690" s="14"/>
      <c r="AC690" s="14"/>
      <c r="AD690" s="34"/>
      <c r="AE690" s="35"/>
      <c r="AF690" s="35"/>
      <c r="AG690" s="35"/>
      <c r="AH690" s="35"/>
      <c r="AI690" s="35"/>
      <c r="AJ690" s="35"/>
      <c r="AK690" s="35"/>
      <c r="AL690" s="35"/>
      <c r="AM690" s="35"/>
      <c r="AN690" s="35"/>
      <c r="AO690" s="35"/>
      <c r="AP690" s="35"/>
      <c r="AQ690" s="35"/>
      <c r="AR690" s="35"/>
      <c r="AS690" s="35"/>
      <c r="AT690" s="35"/>
      <c r="AU690" s="14"/>
      <c r="AV690" s="14"/>
      <c r="AW690" s="14"/>
      <c r="AX690" s="14"/>
      <c r="AY690" s="14"/>
      <c r="AZ690" s="14"/>
      <c r="BA690" s="29"/>
      <c r="BB690" s="14"/>
      <c r="BC690" s="14"/>
      <c r="BD690" s="14"/>
      <c r="BE690" s="29"/>
      <c r="BF690" s="29"/>
      <c r="BG690" s="14"/>
      <c r="BH690" s="14"/>
      <c r="BI690" s="14"/>
      <c r="BJ690" s="29"/>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t="s">
        <v>2091</v>
      </c>
      <c r="CX690" s="14" t="s">
        <v>2092</v>
      </c>
      <c r="CY690" s="14">
        <v>2023</v>
      </c>
      <c r="CZ690" s="36" t="s">
        <v>25</v>
      </c>
      <c r="DA690" s="14" t="s">
        <v>2093</v>
      </c>
      <c r="DB690" s="14">
        <v>2023</v>
      </c>
      <c r="DC690" s="14"/>
      <c r="DD690" s="14"/>
      <c r="DE690" s="14" t="s">
        <v>2094</v>
      </c>
    </row>
    <row r="691" spans="1:109" s="13" customFormat="1" ht="20">
      <c r="A691" s="14" t="s">
        <v>2125</v>
      </c>
      <c r="B691" s="14"/>
      <c r="C691" s="14" t="s">
        <v>2095</v>
      </c>
      <c r="D691" s="14" t="s">
        <v>4179</v>
      </c>
      <c r="E691" s="29" t="s">
        <v>672</v>
      </c>
      <c r="F691" s="29" t="s">
        <v>4141</v>
      </c>
      <c r="G691" s="14"/>
      <c r="H691" s="14"/>
      <c r="I691" s="14"/>
      <c r="J691" s="14"/>
      <c r="K691" s="14"/>
      <c r="L691" s="14"/>
      <c r="M691" s="14"/>
      <c r="N691" s="14"/>
      <c r="O691" s="34"/>
      <c r="P691" s="14"/>
      <c r="Q691" s="14"/>
      <c r="R691" s="14"/>
      <c r="S691" s="14"/>
      <c r="T691" s="14"/>
      <c r="U691" s="14"/>
      <c r="V691" s="14"/>
      <c r="W691" s="14"/>
      <c r="X691" s="14"/>
      <c r="Y691" s="14"/>
      <c r="Z691" s="14"/>
      <c r="AA691" s="14"/>
      <c r="AB691" s="14"/>
      <c r="AC691" s="14"/>
      <c r="AD691" s="34"/>
      <c r="AE691" s="35"/>
      <c r="AF691" s="35"/>
      <c r="AG691" s="35"/>
      <c r="AH691" s="35"/>
      <c r="AI691" s="35"/>
      <c r="AJ691" s="35"/>
      <c r="AK691" s="35"/>
      <c r="AL691" s="35"/>
      <c r="AM691" s="35"/>
      <c r="AN691" s="35"/>
      <c r="AO691" s="35"/>
      <c r="AP691" s="35"/>
      <c r="AQ691" s="35"/>
      <c r="AR691" s="35"/>
      <c r="AS691" s="35"/>
      <c r="AT691" s="35"/>
      <c r="AU691" s="14"/>
      <c r="AV691" s="14"/>
      <c r="AW691" s="14"/>
      <c r="AX691" s="14"/>
      <c r="AY691" s="14"/>
      <c r="AZ691" s="14"/>
      <c r="BA691" s="29"/>
      <c r="BB691" s="14"/>
      <c r="BC691" s="14"/>
      <c r="BD691" s="14"/>
      <c r="BE691" s="29"/>
      <c r="BF691" s="29"/>
      <c r="BG691" s="14"/>
      <c r="BH691" s="14"/>
      <c r="BI691" s="14"/>
      <c r="BJ691" s="29"/>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t="s">
        <v>2091</v>
      </c>
      <c r="CX691" s="14" t="s">
        <v>2092</v>
      </c>
      <c r="CY691" s="14">
        <v>2023</v>
      </c>
      <c r="CZ691" s="36" t="s">
        <v>25</v>
      </c>
      <c r="DA691" s="14" t="s">
        <v>2093</v>
      </c>
      <c r="DB691" s="14">
        <v>2023</v>
      </c>
      <c r="DC691" s="14"/>
      <c r="DD691" s="14"/>
      <c r="DE691" s="14" t="s">
        <v>2094</v>
      </c>
    </row>
    <row r="692" spans="1:109" s="13" customFormat="1" ht="20">
      <c r="A692" s="14" t="s">
        <v>1914</v>
      </c>
      <c r="B692" s="14"/>
      <c r="C692" s="14" t="s">
        <v>1549</v>
      </c>
      <c r="D692" s="14" t="s">
        <v>2264</v>
      </c>
      <c r="E692" s="14" t="s">
        <v>673</v>
      </c>
      <c r="F692" s="14" t="s">
        <v>2664</v>
      </c>
      <c r="G692" s="14"/>
      <c r="H692" s="14" t="s">
        <v>865</v>
      </c>
      <c r="I692" s="14" t="s">
        <v>2901</v>
      </c>
      <c r="J692" s="13" t="s">
        <v>585</v>
      </c>
      <c r="K692" s="14" t="s">
        <v>2902</v>
      </c>
      <c r="L692" s="14" t="s">
        <v>639</v>
      </c>
      <c r="M692" s="14">
        <v>142</v>
      </c>
      <c r="N692" s="14">
        <v>4</v>
      </c>
      <c r="O692" s="34"/>
      <c r="P692" s="14"/>
      <c r="Q692" s="14">
        <v>49.37</v>
      </c>
      <c r="R692" s="14">
        <v>12.65</v>
      </c>
      <c r="S692" s="14"/>
      <c r="T692" s="14"/>
      <c r="U692" s="14"/>
      <c r="V692" s="14">
        <v>93</v>
      </c>
      <c r="W692" s="14">
        <f>V692/M692</f>
        <v>0.65492957746478875</v>
      </c>
      <c r="X692" s="14">
        <v>32.71</v>
      </c>
      <c r="Y692" s="14">
        <v>9.59</v>
      </c>
      <c r="Z692" s="14"/>
      <c r="AA692" s="14"/>
      <c r="AB692" s="14"/>
      <c r="AC692" s="14">
        <f>M692-47</f>
        <v>95</v>
      </c>
      <c r="AD692" s="34">
        <f>AC692/M692</f>
        <v>0.66901408450704225</v>
      </c>
      <c r="AE692" s="35">
        <v>20.53</v>
      </c>
      <c r="AF692" s="35">
        <v>20.88</v>
      </c>
      <c r="AG692" s="35"/>
      <c r="AH692" s="35"/>
      <c r="AI692" s="35"/>
      <c r="AJ692" s="35"/>
      <c r="AK692" s="35"/>
      <c r="AL692" s="35"/>
      <c r="AM692" s="35"/>
      <c r="AN692" s="35"/>
      <c r="AO692" s="35"/>
      <c r="AP692" s="35"/>
      <c r="AQ692" s="35"/>
      <c r="AR692" s="35"/>
      <c r="AS692" s="35"/>
      <c r="AT692" s="35"/>
      <c r="AU692" s="14"/>
      <c r="AV692" s="14"/>
      <c r="AW692" s="14"/>
      <c r="AX692" s="14"/>
      <c r="AY692" s="14"/>
      <c r="AZ692" s="14"/>
      <c r="BA692" s="29"/>
      <c r="BB692" s="14"/>
      <c r="BC692" s="14"/>
      <c r="BD692" s="14"/>
      <c r="BE692" s="29"/>
      <c r="BF692" s="29"/>
      <c r="BG692" s="14"/>
      <c r="BH692" s="14"/>
      <c r="BI692" s="14"/>
      <c r="BJ692" s="29"/>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c r="CM692" s="14"/>
      <c r="CN692" s="14"/>
      <c r="CO692" s="14"/>
      <c r="CP692" s="14"/>
      <c r="CQ692" s="14"/>
      <c r="CR692" s="14"/>
      <c r="CS692" s="14"/>
      <c r="CT692" s="14"/>
      <c r="CU692" s="14"/>
      <c r="CV692" s="14" t="s">
        <v>2903</v>
      </c>
      <c r="CW692" s="14" t="s">
        <v>1545</v>
      </c>
      <c r="CX692" s="14" t="s">
        <v>1546</v>
      </c>
      <c r="CY692" s="14">
        <v>2024</v>
      </c>
      <c r="CZ692" s="36" t="s">
        <v>253</v>
      </c>
      <c r="DA692" s="14" t="s">
        <v>64</v>
      </c>
      <c r="DB692" s="14">
        <v>25</v>
      </c>
      <c r="DC692" s="14">
        <v>45293</v>
      </c>
      <c r="DD692" s="14" t="s">
        <v>1547</v>
      </c>
      <c r="DE692" s="14" t="s">
        <v>1548</v>
      </c>
    </row>
    <row r="693" spans="1:109" s="13" customFormat="1" ht="20">
      <c r="A693" s="14" t="s">
        <v>1914</v>
      </c>
      <c r="B693" s="14"/>
      <c r="C693" s="14" t="s">
        <v>1549</v>
      </c>
      <c r="D693" s="14" t="s">
        <v>2264</v>
      </c>
      <c r="E693" s="14" t="s">
        <v>672</v>
      </c>
      <c r="F693" s="14" t="s">
        <v>2664</v>
      </c>
      <c r="G693" s="14"/>
      <c r="H693" s="14" t="s">
        <v>865</v>
      </c>
      <c r="I693" s="14" t="s">
        <v>2901</v>
      </c>
      <c r="J693" s="13" t="s">
        <v>585</v>
      </c>
      <c r="K693" s="14" t="s">
        <v>2902</v>
      </c>
      <c r="L693" s="14" t="s">
        <v>639</v>
      </c>
      <c r="M693" s="14">
        <v>76</v>
      </c>
      <c r="N693" s="14"/>
      <c r="O693" s="34"/>
      <c r="P693" s="14"/>
      <c r="Q693" s="14"/>
      <c r="R693" s="14"/>
      <c r="S693" s="14"/>
      <c r="T693" s="14"/>
      <c r="U693" s="14"/>
      <c r="V693" s="14"/>
      <c r="W693" s="14"/>
      <c r="X693" s="14"/>
      <c r="Y693" s="14"/>
      <c r="Z693" s="14"/>
      <c r="AA693" s="14"/>
      <c r="AB693" s="14"/>
      <c r="AC693" s="14"/>
      <c r="AD693" s="34"/>
      <c r="AE693" s="35"/>
      <c r="AF693" s="35"/>
      <c r="AG693" s="35"/>
      <c r="AH693" s="35"/>
      <c r="AI693" s="35"/>
      <c r="AJ693" s="35"/>
      <c r="AK693" s="35"/>
      <c r="AL693" s="35"/>
      <c r="AM693" s="35"/>
      <c r="AN693" s="35"/>
      <c r="AO693" s="35"/>
      <c r="AP693" s="35"/>
      <c r="AQ693" s="35"/>
      <c r="AR693" s="35"/>
      <c r="AS693" s="35"/>
      <c r="AT693" s="35"/>
      <c r="AU693" s="14"/>
      <c r="AV693" s="14"/>
      <c r="AW693" s="14"/>
      <c r="AX693" s="14"/>
      <c r="AY693" s="14"/>
      <c r="AZ693" s="14"/>
      <c r="BA693" s="29"/>
      <c r="BB693" s="14"/>
      <c r="BC693" s="14"/>
      <c r="BD693" s="14"/>
      <c r="BE693" s="29"/>
      <c r="BF693" s="29"/>
      <c r="BG693" s="14"/>
      <c r="BH693" s="14"/>
      <c r="BI693" s="14"/>
      <c r="BJ693" s="29"/>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c r="CM693" s="14"/>
      <c r="CN693" s="14"/>
      <c r="CO693" s="14"/>
      <c r="CP693" s="14"/>
      <c r="CQ693" s="14"/>
      <c r="CR693" s="14"/>
      <c r="CS693" s="14"/>
      <c r="CT693" s="14"/>
      <c r="CU693" s="14"/>
      <c r="CV693" s="14" t="s">
        <v>2903</v>
      </c>
      <c r="CW693" s="14" t="s">
        <v>1545</v>
      </c>
      <c r="CX693" s="14" t="s">
        <v>1546</v>
      </c>
      <c r="CY693" s="14">
        <v>2024</v>
      </c>
      <c r="CZ693" s="36" t="s">
        <v>253</v>
      </c>
      <c r="DA693" s="14" t="s">
        <v>64</v>
      </c>
      <c r="DB693" s="14">
        <v>25</v>
      </c>
      <c r="DC693" s="14">
        <v>45293</v>
      </c>
      <c r="DD693" s="14" t="s">
        <v>1547</v>
      </c>
      <c r="DE693" s="14" t="s">
        <v>1548</v>
      </c>
    </row>
    <row r="694" spans="1:109" s="13" customFormat="1" ht="20">
      <c r="A694" s="13" t="s">
        <v>3421</v>
      </c>
      <c r="B694" s="16"/>
      <c r="C694" s="13" t="s">
        <v>3349</v>
      </c>
      <c r="D694" s="14" t="s">
        <v>830</v>
      </c>
      <c r="E694" s="13" t="s">
        <v>674</v>
      </c>
      <c r="F694" s="13" t="s">
        <v>675</v>
      </c>
      <c r="H694" s="14" t="s">
        <v>584</v>
      </c>
      <c r="I694" s="14" t="s">
        <v>3957</v>
      </c>
      <c r="J694" s="13" t="s">
        <v>3958</v>
      </c>
      <c r="K694" s="13" t="s">
        <v>3959</v>
      </c>
      <c r="M694" s="13">
        <v>48</v>
      </c>
      <c r="O694" s="15"/>
      <c r="P694" s="13">
        <v>20</v>
      </c>
      <c r="Q694" s="13">
        <v>57.7</v>
      </c>
      <c r="R694" s="13">
        <v>10.9</v>
      </c>
      <c r="V694" s="13">
        <v>23</v>
      </c>
      <c r="W694" s="2">
        <f t="shared" ref="W694:W715" si="66">V694/M694</f>
        <v>0.47916666666666669</v>
      </c>
      <c r="X694" s="13">
        <v>33.6</v>
      </c>
      <c r="Y694" s="13">
        <v>9.1999999999999993</v>
      </c>
      <c r="AC694" s="13">
        <v>34</v>
      </c>
      <c r="AD694" s="13">
        <f t="shared" ref="AD694:AD715" si="67">AC694/M694</f>
        <v>0.70833333333333337</v>
      </c>
      <c r="AE694" s="13">
        <v>28</v>
      </c>
      <c r="AF694" s="13">
        <v>22</v>
      </c>
      <c r="BA694" s="16"/>
      <c r="BE694" s="16"/>
      <c r="BJ694" s="16"/>
      <c r="BN694" s="16" t="s">
        <v>2231</v>
      </c>
      <c r="CC694" s="13">
        <v>-0.44</v>
      </c>
      <c r="CG694" s="13" t="s">
        <v>760</v>
      </c>
      <c r="CW694" s="13" t="s">
        <v>3596</v>
      </c>
      <c r="CX694" s="13" t="s">
        <v>3597</v>
      </c>
      <c r="CY694" s="13">
        <v>2025</v>
      </c>
      <c r="CZ694" s="21">
        <v>45694</v>
      </c>
      <c r="DA694" s="13" t="s">
        <v>26</v>
      </c>
      <c r="DE694" s="13" t="s">
        <v>3276</v>
      </c>
    </row>
    <row r="695" spans="1:109" s="13" customFormat="1" ht="20">
      <c r="A695" s="13" t="s">
        <v>3421</v>
      </c>
      <c r="B695" s="16"/>
      <c r="C695" s="13" t="s">
        <v>3349</v>
      </c>
      <c r="D695" s="14" t="s">
        <v>830</v>
      </c>
      <c r="E695" s="13" t="s">
        <v>674</v>
      </c>
      <c r="F695" s="13" t="s">
        <v>807</v>
      </c>
      <c r="H695" s="14" t="s">
        <v>584</v>
      </c>
      <c r="I695" s="14" t="s">
        <v>3957</v>
      </c>
      <c r="J695" s="13" t="s">
        <v>3958</v>
      </c>
      <c r="K695" s="13" t="s">
        <v>3959</v>
      </c>
      <c r="M695" s="13">
        <v>48</v>
      </c>
      <c r="O695" s="15"/>
      <c r="P695" s="13">
        <v>20</v>
      </c>
      <c r="Q695" s="13">
        <v>57.7</v>
      </c>
      <c r="R695" s="13">
        <v>10.9</v>
      </c>
      <c r="V695" s="13">
        <v>23</v>
      </c>
      <c r="W695" s="2">
        <f t="shared" si="66"/>
        <v>0.47916666666666669</v>
      </c>
      <c r="X695" s="13">
        <v>33.6</v>
      </c>
      <c r="Y695" s="13">
        <v>9.1999999999999993</v>
      </c>
      <c r="AC695" s="13">
        <v>34</v>
      </c>
      <c r="AD695" s="13">
        <f t="shared" si="67"/>
        <v>0.70833333333333337</v>
      </c>
      <c r="AE695" s="13">
        <v>28</v>
      </c>
      <c r="AF695" s="13">
        <v>22</v>
      </c>
      <c r="BA695" s="16"/>
      <c r="BE695" s="16"/>
      <c r="BJ695" s="16"/>
      <c r="BN695" s="16" t="s">
        <v>2231</v>
      </c>
      <c r="CW695" s="13" t="s">
        <v>3596</v>
      </c>
      <c r="CX695" s="13" t="s">
        <v>3597</v>
      </c>
      <c r="CY695" s="13">
        <v>2025</v>
      </c>
      <c r="CZ695" s="21">
        <v>45694</v>
      </c>
      <c r="DA695" s="13" t="s">
        <v>26</v>
      </c>
      <c r="DE695" s="13" t="s">
        <v>3276</v>
      </c>
    </row>
    <row r="696" spans="1:109" s="13" customFormat="1" ht="20">
      <c r="A696" s="13" t="s">
        <v>3421</v>
      </c>
      <c r="B696" s="16"/>
      <c r="C696" s="13" t="s">
        <v>3349</v>
      </c>
      <c r="D696" s="14" t="s">
        <v>830</v>
      </c>
      <c r="E696" s="13" t="s">
        <v>674</v>
      </c>
      <c r="F696" s="13" t="s">
        <v>721</v>
      </c>
      <c r="H696" s="14" t="s">
        <v>584</v>
      </c>
      <c r="I696" s="14" t="s">
        <v>3957</v>
      </c>
      <c r="J696" s="13" t="s">
        <v>3958</v>
      </c>
      <c r="K696" s="13" t="s">
        <v>3959</v>
      </c>
      <c r="M696" s="13">
        <v>48</v>
      </c>
      <c r="O696" s="15"/>
      <c r="P696" s="13">
        <v>20</v>
      </c>
      <c r="Q696" s="13">
        <v>57.7</v>
      </c>
      <c r="R696" s="13">
        <v>10.9</v>
      </c>
      <c r="V696" s="13">
        <v>23</v>
      </c>
      <c r="W696" s="2">
        <f t="shared" si="66"/>
        <v>0.47916666666666669</v>
      </c>
      <c r="X696" s="13">
        <v>33.6</v>
      </c>
      <c r="Y696" s="13">
        <v>9.1999999999999993</v>
      </c>
      <c r="AC696" s="13">
        <v>34</v>
      </c>
      <c r="AD696" s="13">
        <f t="shared" si="67"/>
        <v>0.70833333333333337</v>
      </c>
      <c r="AE696" s="13">
        <v>28</v>
      </c>
      <c r="AF696" s="13">
        <v>22</v>
      </c>
      <c r="BA696" s="16"/>
      <c r="BE696" s="16"/>
      <c r="BJ696" s="16"/>
      <c r="BN696" s="16" t="s">
        <v>2231</v>
      </c>
      <c r="CC696" s="13">
        <v>-0.32</v>
      </c>
      <c r="CG696" s="13" t="s">
        <v>769</v>
      </c>
      <c r="CW696" s="13" t="s">
        <v>3596</v>
      </c>
      <c r="CX696" s="13" t="s">
        <v>3597</v>
      </c>
      <c r="CY696" s="13">
        <v>2025</v>
      </c>
      <c r="CZ696" s="21">
        <v>45694</v>
      </c>
      <c r="DA696" s="13" t="s">
        <v>26</v>
      </c>
      <c r="DE696" s="13" t="s">
        <v>3276</v>
      </c>
    </row>
    <row r="697" spans="1:109" s="13" customFormat="1" ht="20">
      <c r="A697" s="13" t="s">
        <v>3421</v>
      </c>
      <c r="B697" s="16"/>
      <c r="C697" s="13" t="s">
        <v>3349</v>
      </c>
      <c r="D697" s="14" t="s">
        <v>830</v>
      </c>
      <c r="E697" s="13" t="s">
        <v>674</v>
      </c>
      <c r="F697" s="13" t="s">
        <v>3661</v>
      </c>
      <c r="H697" s="14" t="s">
        <v>584</v>
      </c>
      <c r="I697" s="14" t="s">
        <v>3957</v>
      </c>
      <c r="J697" s="13" t="s">
        <v>3958</v>
      </c>
      <c r="K697" s="13" t="s">
        <v>3959</v>
      </c>
      <c r="M697" s="13">
        <v>48</v>
      </c>
      <c r="O697" s="15"/>
      <c r="P697" s="13">
        <v>20</v>
      </c>
      <c r="Q697" s="13">
        <v>57.7</v>
      </c>
      <c r="R697" s="13">
        <v>10.9</v>
      </c>
      <c r="V697" s="13">
        <v>23</v>
      </c>
      <c r="W697" s="2">
        <f t="shared" si="66"/>
        <v>0.47916666666666669</v>
      </c>
      <c r="X697" s="13">
        <v>33.6</v>
      </c>
      <c r="Y697" s="13">
        <v>9.1999999999999993</v>
      </c>
      <c r="AC697" s="13">
        <v>34</v>
      </c>
      <c r="AD697" s="13">
        <f t="shared" si="67"/>
        <v>0.70833333333333337</v>
      </c>
      <c r="AE697" s="13">
        <v>28</v>
      </c>
      <c r="AF697" s="13">
        <v>22</v>
      </c>
      <c r="BA697" s="16"/>
      <c r="BE697" s="16"/>
      <c r="BJ697" s="16"/>
      <c r="BN697" s="16" t="s">
        <v>2231</v>
      </c>
      <c r="CC697" s="13">
        <v>-0.39</v>
      </c>
      <c r="CG697" s="13" t="s">
        <v>760</v>
      </c>
      <c r="CW697" s="13" t="s">
        <v>3596</v>
      </c>
      <c r="CX697" s="13" t="s">
        <v>3597</v>
      </c>
      <c r="CY697" s="13">
        <v>2025</v>
      </c>
      <c r="CZ697" s="21">
        <v>45694</v>
      </c>
      <c r="DA697" s="13" t="s">
        <v>26</v>
      </c>
      <c r="DE697" s="13" t="s">
        <v>3276</v>
      </c>
    </row>
    <row r="698" spans="1:109" s="13" customFormat="1" ht="20">
      <c r="A698" s="13" t="s">
        <v>3421</v>
      </c>
      <c r="B698" s="16"/>
      <c r="C698" s="13" t="s">
        <v>3349</v>
      </c>
      <c r="D698" s="14" t="s">
        <v>830</v>
      </c>
      <c r="E698" s="13" t="s">
        <v>674</v>
      </c>
      <c r="F698" s="13" t="s">
        <v>3961</v>
      </c>
      <c r="H698" s="14" t="s">
        <v>584</v>
      </c>
      <c r="I698" s="14" t="s">
        <v>3957</v>
      </c>
      <c r="J698" s="13" t="s">
        <v>3958</v>
      </c>
      <c r="K698" s="13" t="s">
        <v>3959</v>
      </c>
      <c r="M698" s="13">
        <v>48</v>
      </c>
      <c r="O698" s="15"/>
      <c r="P698" s="13">
        <v>20</v>
      </c>
      <c r="Q698" s="13">
        <v>57.7</v>
      </c>
      <c r="R698" s="13">
        <v>10.9</v>
      </c>
      <c r="V698" s="13">
        <v>23</v>
      </c>
      <c r="W698" s="2">
        <f t="shared" si="66"/>
        <v>0.47916666666666669</v>
      </c>
      <c r="X698" s="13">
        <v>33.6</v>
      </c>
      <c r="Y698" s="13">
        <v>9.1999999999999993</v>
      </c>
      <c r="AC698" s="13">
        <v>34</v>
      </c>
      <c r="AD698" s="13">
        <f t="shared" si="67"/>
        <v>0.70833333333333337</v>
      </c>
      <c r="AE698" s="13">
        <v>28</v>
      </c>
      <c r="AF698" s="13">
        <v>22</v>
      </c>
      <c r="BA698" s="16"/>
      <c r="BE698" s="16"/>
      <c r="BJ698" s="16"/>
      <c r="BN698" s="16" t="s">
        <v>2231</v>
      </c>
      <c r="CC698" s="13">
        <v>-0.31</v>
      </c>
      <c r="CG698" s="13" t="s">
        <v>769</v>
      </c>
      <c r="CW698" s="13" t="s">
        <v>3596</v>
      </c>
      <c r="CX698" s="13" t="s">
        <v>3597</v>
      </c>
      <c r="CY698" s="13">
        <v>2025</v>
      </c>
      <c r="CZ698" s="21">
        <v>45694</v>
      </c>
      <c r="DA698" s="13" t="s">
        <v>26</v>
      </c>
      <c r="DE698" s="13" t="s">
        <v>3276</v>
      </c>
    </row>
    <row r="699" spans="1:109" s="13" customFormat="1" ht="20">
      <c r="A699" s="13" t="s">
        <v>3421</v>
      </c>
      <c r="B699" s="16"/>
      <c r="C699" s="13" t="s">
        <v>3349</v>
      </c>
      <c r="D699" s="14" t="s">
        <v>830</v>
      </c>
      <c r="E699" s="13" t="s">
        <v>674</v>
      </c>
      <c r="F699" s="13" t="s">
        <v>960</v>
      </c>
      <c r="H699" s="14" t="s">
        <v>584</v>
      </c>
      <c r="I699" s="14" t="s">
        <v>3957</v>
      </c>
      <c r="J699" s="13" t="s">
        <v>3958</v>
      </c>
      <c r="K699" s="13" t="s">
        <v>3959</v>
      </c>
      <c r="M699" s="13">
        <v>48</v>
      </c>
      <c r="O699" s="15"/>
      <c r="P699" s="13">
        <v>20</v>
      </c>
      <c r="Q699" s="13">
        <v>57.7</v>
      </c>
      <c r="R699" s="13">
        <v>10.9</v>
      </c>
      <c r="V699" s="13">
        <v>23</v>
      </c>
      <c r="W699" s="2">
        <f t="shared" si="66"/>
        <v>0.47916666666666669</v>
      </c>
      <c r="X699" s="13">
        <v>33.6</v>
      </c>
      <c r="Y699" s="13">
        <v>9.1999999999999993</v>
      </c>
      <c r="AC699" s="13">
        <v>34</v>
      </c>
      <c r="AD699" s="13">
        <f t="shared" si="67"/>
        <v>0.70833333333333337</v>
      </c>
      <c r="AE699" s="13">
        <v>28</v>
      </c>
      <c r="AF699" s="13">
        <v>22</v>
      </c>
      <c r="BA699" s="16"/>
      <c r="BE699" s="16"/>
      <c r="BJ699" s="16"/>
      <c r="BN699" s="16" t="s">
        <v>2231</v>
      </c>
      <c r="CW699" s="13" t="s">
        <v>3596</v>
      </c>
      <c r="CX699" s="13" t="s">
        <v>3597</v>
      </c>
      <c r="CY699" s="13">
        <v>2025</v>
      </c>
      <c r="CZ699" s="21">
        <v>45694</v>
      </c>
      <c r="DA699" s="13" t="s">
        <v>26</v>
      </c>
      <c r="DE699" s="13" t="s">
        <v>3276</v>
      </c>
    </row>
    <row r="700" spans="1:109" s="13" customFormat="1" ht="20">
      <c r="A700" s="14" t="s">
        <v>1915</v>
      </c>
      <c r="B700" s="14" t="s">
        <v>1742</v>
      </c>
      <c r="C700" s="14" t="s">
        <v>488</v>
      </c>
      <c r="D700" s="14" t="s">
        <v>830</v>
      </c>
      <c r="E700" s="14" t="s">
        <v>672</v>
      </c>
      <c r="F700" s="14" t="s">
        <v>680</v>
      </c>
      <c r="G700" s="14"/>
      <c r="H700" s="14" t="s">
        <v>586</v>
      </c>
      <c r="I700" s="14" t="s">
        <v>2906</v>
      </c>
      <c r="J700" s="14" t="s">
        <v>585</v>
      </c>
      <c r="K700" s="14"/>
      <c r="L700" s="14" t="s">
        <v>641</v>
      </c>
      <c r="M700" s="14">
        <v>82</v>
      </c>
      <c r="N700" s="14"/>
      <c r="O700" s="34"/>
      <c r="P700" s="14">
        <v>5</v>
      </c>
      <c r="Q700" s="14">
        <v>59.9</v>
      </c>
      <c r="R700" s="14">
        <v>10.7</v>
      </c>
      <c r="S700" s="14"/>
      <c r="T700" s="14"/>
      <c r="U700" s="14"/>
      <c r="V700" s="14">
        <v>63</v>
      </c>
      <c r="W700" s="14">
        <f t="shared" si="66"/>
        <v>0.76829268292682928</v>
      </c>
      <c r="X700" s="14"/>
      <c r="Y700" s="14"/>
      <c r="Z700" s="14"/>
      <c r="AA700" s="14"/>
      <c r="AB700" s="14"/>
      <c r="AC700" s="14">
        <f>M700-22</f>
        <v>60</v>
      </c>
      <c r="AD700" s="34">
        <f t="shared" si="67"/>
        <v>0.73170731707317072</v>
      </c>
      <c r="AE700" s="35"/>
      <c r="AF700" s="35"/>
      <c r="AG700" s="35"/>
      <c r="AH700" s="35"/>
      <c r="AI700" s="35"/>
      <c r="AJ700" s="35"/>
      <c r="AK700" s="35"/>
      <c r="AL700" s="35"/>
      <c r="AM700" s="35"/>
      <c r="AN700" s="35"/>
      <c r="AO700" s="35"/>
      <c r="AP700" s="35"/>
      <c r="AQ700" s="35"/>
      <c r="AR700" s="35"/>
      <c r="AS700" s="35"/>
      <c r="AT700" s="35"/>
      <c r="AU700" s="14" t="s">
        <v>2447</v>
      </c>
      <c r="AV700" s="14" t="s">
        <v>2380</v>
      </c>
      <c r="AW700" s="14"/>
      <c r="AX700" s="14" t="s">
        <v>2268</v>
      </c>
      <c r="AY700" s="14"/>
      <c r="AZ700" s="14"/>
      <c r="BA700" s="29"/>
      <c r="BB700" s="14"/>
      <c r="BC700" s="14"/>
      <c r="BD700" s="14"/>
      <c r="BE700" s="29" t="s">
        <v>2907</v>
      </c>
      <c r="BF700" s="29"/>
      <c r="BG700" s="14">
        <v>4.8440000000000003</v>
      </c>
      <c r="BH700" s="14">
        <v>1.675</v>
      </c>
      <c r="BI700" s="14">
        <v>14.007999999999999</v>
      </c>
      <c r="BJ700" s="29"/>
      <c r="BK700" s="14"/>
      <c r="BL700" s="14"/>
      <c r="BM700" s="14"/>
      <c r="BN700" s="14" t="s">
        <v>2552</v>
      </c>
      <c r="BO700" s="14" t="s">
        <v>2490</v>
      </c>
      <c r="BP700" s="14"/>
      <c r="BQ700" s="14">
        <v>0.49</v>
      </c>
      <c r="BR700" s="14"/>
      <c r="BS700" s="14"/>
      <c r="BT700" s="14"/>
      <c r="BU700" s="14" t="s">
        <v>635</v>
      </c>
      <c r="BV700" s="14"/>
      <c r="BW700" s="14"/>
      <c r="BX700" s="14"/>
      <c r="BY700" s="14"/>
      <c r="BZ700" s="14"/>
      <c r="CA700" s="1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t="s">
        <v>484</v>
      </c>
      <c r="CX700" s="14" t="s">
        <v>485</v>
      </c>
      <c r="CY700" s="14">
        <v>2019</v>
      </c>
      <c r="CZ700" s="36" t="s">
        <v>44</v>
      </c>
      <c r="DA700" s="14" t="s">
        <v>195</v>
      </c>
      <c r="DB700" s="14">
        <v>90</v>
      </c>
      <c r="DC700" s="14">
        <v>11</v>
      </c>
      <c r="DD700" s="14" t="s">
        <v>486</v>
      </c>
      <c r="DE700" s="14" t="s">
        <v>487</v>
      </c>
    </row>
    <row r="701" spans="1:109" s="13" customFormat="1" ht="20">
      <c r="A701" s="14" t="s">
        <v>1915</v>
      </c>
      <c r="B701" s="14" t="s">
        <v>1742</v>
      </c>
      <c r="C701" s="14" t="s">
        <v>488</v>
      </c>
      <c r="D701" s="14" t="s">
        <v>830</v>
      </c>
      <c r="E701" s="14" t="s">
        <v>672</v>
      </c>
      <c r="F701" s="14" t="s">
        <v>679</v>
      </c>
      <c r="G701" s="14"/>
      <c r="H701" s="14" t="s">
        <v>586</v>
      </c>
      <c r="I701" s="14" t="s">
        <v>2906</v>
      </c>
      <c r="J701" s="14" t="s">
        <v>585</v>
      </c>
      <c r="K701" s="14"/>
      <c r="L701" s="14" t="s">
        <v>641</v>
      </c>
      <c r="M701" s="14">
        <v>82</v>
      </c>
      <c r="N701" s="14"/>
      <c r="O701" s="34"/>
      <c r="P701" s="14">
        <v>5</v>
      </c>
      <c r="Q701" s="14">
        <v>59.9</v>
      </c>
      <c r="R701" s="14">
        <v>10.7</v>
      </c>
      <c r="S701" s="14"/>
      <c r="T701" s="14"/>
      <c r="U701" s="14"/>
      <c r="V701" s="14">
        <v>63</v>
      </c>
      <c r="W701" s="14">
        <f t="shared" si="66"/>
        <v>0.76829268292682928</v>
      </c>
      <c r="X701" s="14"/>
      <c r="Y701" s="14"/>
      <c r="Z701" s="14"/>
      <c r="AA701" s="14"/>
      <c r="AB701" s="14"/>
      <c r="AC701" s="14">
        <f>M701-22</f>
        <v>60</v>
      </c>
      <c r="AD701" s="34">
        <f t="shared" si="67"/>
        <v>0.73170731707317072</v>
      </c>
      <c r="AE701" s="35"/>
      <c r="AF701" s="35"/>
      <c r="AG701" s="35"/>
      <c r="AH701" s="35"/>
      <c r="AI701" s="35"/>
      <c r="AJ701" s="35"/>
      <c r="AK701" s="35"/>
      <c r="AL701" s="35"/>
      <c r="AM701" s="35"/>
      <c r="AN701" s="35"/>
      <c r="AO701" s="35"/>
      <c r="AP701" s="35"/>
      <c r="AQ701" s="35"/>
      <c r="AR701" s="35"/>
      <c r="AS701" s="35"/>
      <c r="AT701" s="35"/>
      <c r="AU701" s="14" t="s">
        <v>2447</v>
      </c>
      <c r="AV701" s="14" t="s">
        <v>2380</v>
      </c>
      <c r="AW701" s="14"/>
      <c r="AX701" s="14" t="s">
        <v>2268</v>
      </c>
      <c r="AY701" s="14"/>
      <c r="AZ701" s="14"/>
      <c r="BA701" s="29"/>
      <c r="BB701" s="14"/>
      <c r="BC701" s="14"/>
      <c r="BD701" s="14"/>
      <c r="BE701" s="29" t="s">
        <v>2907</v>
      </c>
      <c r="BF701" s="29"/>
      <c r="BG701" s="14">
        <v>1.014</v>
      </c>
      <c r="BH701" s="14">
        <v>5.8000000000000003E-2</v>
      </c>
      <c r="BI701" s="14">
        <v>17.661999999999999</v>
      </c>
      <c r="BJ701" s="29"/>
      <c r="BK701" s="14"/>
      <c r="BL701" s="14"/>
      <c r="BM701" s="14"/>
      <c r="BN701" s="14" t="s">
        <v>2552</v>
      </c>
      <c r="BO701" s="14" t="s">
        <v>2490</v>
      </c>
      <c r="BP701" s="14"/>
      <c r="BQ701" s="14">
        <v>0.13</v>
      </c>
      <c r="BR701" s="14"/>
      <c r="BS701" s="14"/>
      <c r="BT701" s="14"/>
      <c r="BU701" s="14">
        <v>0.24099999999999999</v>
      </c>
      <c r="BV701" s="14"/>
      <c r="BW701" s="14"/>
      <c r="BX701" s="14"/>
      <c r="BY701" s="14"/>
      <c r="BZ701" s="14"/>
      <c r="CA701" s="1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t="s">
        <v>484</v>
      </c>
      <c r="CX701" s="14" t="s">
        <v>485</v>
      </c>
      <c r="CY701" s="14">
        <v>2019</v>
      </c>
      <c r="CZ701" s="36" t="s">
        <v>44</v>
      </c>
      <c r="DA701" s="14" t="s">
        <v>195</v>
      </c>
      <c r="DB701" s="14">
        <v>90</v>
      </c>
      <c r="DC701" s="14">
        <v>11</v>
      </c>
      <c r="DD701" s="14" t="s">
        <v>486</v>
      </c>
      <c r="DE701" s="14" t="s">
        <v>487</v>
      </c>
    </row>
    <row r="702" spans="1:109" s="13" customFormat="1" ht="20">
      <c r="A702" s="14" t="s">
        <v>1915</v>
      </c>
      <c r="B702" s="14" t="s">
        <v>1742</v>
      </c>
      <c r="C702" s="14" t="s">
        <v>488</v>
      </c>
      <c r="D702" s="14" t="s">
        <v>830</v>
      </c>
      <c r="E702" s="14" t="s">
        <v>672</v>
      </c>
      <c r="F702" s="14" t="s">
        <v>1004</v>
      </c>
      <c r="G702" s="14"/>
      <c r="H702" s="14" t="s">
        <v>586</v>
      </c>
      <c r="I702" s="14" t="s">
        <v>2906</v>
      </c>
      <c r="J702" s="14" t="s">
        <v>585</v>
      </c>
      <c r="K702" s="14"/>
      <c r="L702" s="14" t="s">
        <v>641</v>
      </c>
      <c r="M702" s="14">
        <v>82</v>
      </c>
      <c r="N702" s="14"/>
      <c r="O702" s="34"/>
      <c r="P702" s="14">
        <v>5</v>
      </c>
      <c r="Q702" s="14">
        <v>59.9</v>
      </c>
      <c r="R702" s="14">
        <v>10.7</v>
      </c>
      <c r="S702" s="14"/>
      <c r="T702" s="14"/>
      <c r="U702" s="14"/>
      <c r="V702" s="14">
        <v>63</v>
      </c>
      <c r="W702" s="14">
        <f t="shared" si="66"/>
        <v>0.76829268292682928</v>
      </c>
      <c r="X702" s="14"/>
      <c r="Y702" s="14"/>
      <c r="Z702" s="14"/>
      <c r="AA702" s="14"/>
      <c r="AB702" s="14"/>
      <c r="AC702" s="14">
        <f>M702-22</f>
        <v>60</v>
      </c>
      <c r="AD702" s="34">
        <f t="shared" si="67"/>
        <v>0.73170731707317072</v>
      </c>
      <c r="AE702" s="35"/>
      <c r="AF702" s="35"/>
      <c r="AG702" s="35"/>
      <c r="AH702" s="35"/>
      <c r="AI702" s="35"/>
      <c r="AJ702" s="35"/>
      <c r="AK702" s="35"/>
      <c r="AL702" s="35"/>
      <c r="AM702" s="35"/>
      <c r="AN702" s="35"/>
      <c r="AO702" s="35"/>
      <c r="AP702" s="35"/>
      <c r="AQ702" s="35"/>
      <c r="AR702" s="35"/>
      <c r="AS702" s="35"/>
      <c r="AT702" s="35"/>
      <c r="AU702" s="14" t="s">
        <v>2447</v>
      </c>
      <c r="AV702" s="14" t="s">
        <v>2380</v>
      </c>
      <c r="AW702" s="14"/>
      <c r="AX702" s="14" t="s">
        <v>2268</v>
      </c>
      <c r="AY702" s="14"/>
      <c r="AZ702" s="14"/>
      <c r="BA702" s="29"/>
      <c r="BB702" s="14"/>
      <c r="BC702" s="14"/>
      <c r="BD702" s="14"/>
      <c r="BE702" s="29" t="s">
        <v>2907</v>
      </c>
      <c r="BF702" s="29"/>
      <c r="BG702" s="14">
        <v>2.1920000000000002</v>
      </c>
      <c r="BH702" s="14">
        <v>0.23499999999999999</v>
      </c>
      <c r="BI702" s="14">
        <v>20.411000000000001</v>
      </c>
      <c r="BJ702" s="29"/>
      <c r="BK702" s="14"/>
      <c r="BL702" s="14"/>
      <c r="BM702" s="14"/>
      <c r="BN702" s="14" t="s">
        <v>2552</v>
      </c>
      <c r="BO702" s="14" t="s">
        <v>2490</v>
      </c>
      <c r="BP702" s="14"/>
      <c r="BQ702" s="14">
        <v>0.42</v>
      </c>
      <c r="BR702" s="14"/>
      <c r="BS702" s="14"/>
      <c r="BT702" s="14"/>
      <c r="BU702" s="14" t="s">
        <v>635</v>
      </c>
      <c r="BV702" s="14"/>
      <c r="BW702" s="14"/>
      <c r="BX702" s="14"/>
      <c r="BY702" s="14"/>
      <c r="BZ702" s="14"/>
      <c r="CA702" s="1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t="s">
        <v>484</v>
      </c>
      <c r="CX702" s="14" t="s">
        <v>485</v>
      </c>
      <c r="CY702" s="14">
        <v>2019</v>
      </c>
      <c r="CZ702" s="36" t="s">
        <v>44</v>
      </c>
      <c r="DA702" s="14" t="s">
        <v>195</v>
      </c>
      <c r="DB702" s="14">
        <v>90</v>
      </c>
      <c r="DC702" s="14">
        <v>11</v>
      </c>
      <c r="DD702" s="14" t="s">
        <v>486</v>
      </c>
      <c r="DE702" s="14" t="s">
        <v>487</v>
      </c>
    </row>
    <row r="703" spans="1:109" s="13" customFormat="1" ht="20">
      <c r="A703" s="14" t="s">
        <v>1915</v>
      </c>
      <c r="B703" s="14" t="s">
        <v>1742</v>
      </c>
      <c r="C703" s="14" t="s">
        <v>488</v>
      </c>
      <c r="D703" s="14" t="s">
        <v>830</v>
      </c>
      <c r="E703" s="14" t="s">
        <v>672</v>
      </c>
      <c r="F703" s="14" t="s">
        <v>686</v>
      </c>
      <c r="G703" s="14"/>
      <c r="H703" s="14" t="s">
        <v>586</v>
      </c>
      <c r="I703" s="14" t="s">
        <v>2906</v>
      </c>
      <c r="J703" s="14" t="s">
        <v>585</v>
      </c>
      <c r="K703" s="14"/>
      <c r="L703" s="14" t="s">
        <v>641</v>
      </c>
      <c r="M703" s="14">
        <v>82</v>
      </c>
      <c r="N703" s="14"/>
      <c r="O703" s="34"/>
      <c r="P703" s="14">
        <v>5</v>
      </c>
      <c r="Q703" s="14">
        <v>59.9</v>
      </c>
      <c r="R703" s="14">
        <v>10.7</v>
      </c>
      <c r="S703" s="14"/>
      <c r="T703" s="14"/>
      <c r="U703" s="14"/>
      <c r="V703" s="14">
        <v>63</v>
      </c>
      <c r="W703" s="14">
        <f t="shared" si="66"/>
        <v>0.76829268292682928</v>
      </c>
      <c r="X703" s="14"/>
      <c r="Y703" s="14"/>
      <c r="Z703" s="14"/>
      <c r="AA703" s="14"/>
      <c r="AB703" s="14"/>
      <c r="AC703" s="14">
        <f>M703-22</f>
        <v>60</v>
      </c>
      <c r="AD703" s="34">
        <f t="shared" si="67"/>
        <v>0.73170731707317072</v>
      </c>
      <c r="AE703" s="35"/>
      <c r="AF703" s="35"/>
      <c r="AG703" s="35"/>
      <c r="AH703" s="35"/>
      <c r="AI703" s="35"/>
      <c r="AJ703" s="35"/>
      <c r="AK703" s="35"/>
      <c r="AL703" s="35"/>
      <c r="AM703" s="35"/>
      <c r="AN703" s="35"/>
      <c r="AO703" s="35"/>
      <c r="AP703" s="35"/>
      <c r="AQ703" s="35"/>
      <c r="AR703" s="35"/>
      <c r="AS703" s="35"/>
      <c r="AT703" s="35"/>
      <c r="AU703" s="14" t="s">
        <v>2447</v>
      </c>
      <c r="AV703" s="14" t="s">
        <v>2380</v>
      </c>
      <c r="AW703" s="14"/>
      <c r="AX703" s="14" t="s">
        <v>2268</v>
      </c>
      <c r="AY703" s="14"/>
      <c r="AZ703" s="14"/>
      <c r="BA703" s="29"/>
      <c r="BB703" s="14"/>
      <c r="BC703" s="14"/>
      <c r="BD703" s="14"/>
      <c r="BE703" s="29" t="s">
        <v>2907</v>
      </c>
      <c r="BF703" s="29"/>
      <c r="BG703" s="14">
        <v>1.3859999999999999</v>
      </c>
      <c r="BH703" s="14">
        <v>1.1100000000000001</v>
      </c>
      <c r="BI703" s="14">
        <v>1.732</v>
      </c>
      <c r="BJ703" s="29"/>
      <c r="BK703" s="14"/>
      <c r="BL703" s="14"/>
      <c r="BM703" s="14"/>
      <c r="BN703" s="14" t="s">
        <v>2552</v>
      </c>
      <c r="BO703" s="14" t="s">
        <v>2490</v>
      </c>
      <c r="BP703" s="14"/>
      <c r="BQ703" s="14">
        <v>0.69</v>
      </c>
      <c r="BR703" s="14"/>
      <c r="BS703" s="14"/>
      <c r="BT703" s="14"/>
      <c r="BU703" s="14" t="s">
        <v>635</v>
      </c>
      <c r="BV703" s="14"/>
      <c r="BW703" s="14"/>
      <c r="BX703" s="14"/>
      <c r="BY703" s="14"/>
      <c r="BZ703" s="14"/>
      <c r="CA703" s="1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t="s">
        <v>484</v>
      </c>
      <c r="CX703" s="14" t="s">
        <v>485</v>
      </c>
      <c r="CY703" s="14">
        <v>2019</v>
      </c>
      <c r="CZ703" s="36" t="s">
        <v>44</v>
      </c>
      <c r="DA703" s="14" t="s">
        <v>195</v>
      </c>
      <c r="DB703" s="14">
        <v>90</v>
      </c>
      <c r="DC703" s="14">
        <v>11</v>
      </c>
      <c r="DD703" s="14" t="s">
        <v>486</v>
      </c>
      <c r="DE703" s="14" t="s">
        <v>487</v>
      </c>
    </row>
    <row r="704" spans="1:109" s="13" customFormat="1" ht="20">
      <c r="A704" s="14" t="s">
        <v>1916</v>
      </c>
      <c r="B704" s="14" t="s">
        <v>1743</v>
      </c>
      <c r="C704" s="14" t="s">
        <v>492</v>
      </c>
      <c r="D704" s="14" t="s">
        <v>830</v>
      </c>
      <c r="E704" s="14" t="s">
        <v>672</v>
      </c>
      <c r="F704" s="14" t="s">
        <v>675</v>
      </c>
      <c r="G704" s="14"/>
      <c r="H704" s="14" t="s">
        <v>586</v>
      </c>
      <c r="I704" s="14" t="s">
        <v>2908</v>
      </c>
      <c r="J704" s="14" t="s">
        <v>695</v>
      </c>
      <c r="K704" s="14" t="s">
        <v>1009</v>
      </c>
      <c r="L704" s="14" t="s">
        <v>639</v>
      </c>
      <c r="M704" s="14">
        <v>111</v>
      </c>
      <c r="N704" s="14"/>
      <c r="O704" s="34"/>
      <c r="P704" s="14"/>
      <c r="Q704" s="14">
        <v>61</v>
      </c>
      <c r="R704" s="14">
        <v>12.2</v>
      </c>
      <c r="S704" s="14"/>
      <c r="T704" s="14"/>
      <c r="U704" s="14"/>
      <c r="V704" s="14">
        <v>74</v>
      </c>
      <c r="W704" s="14">
        <f t="shared" si="66"/>
        <v>0.66666666666666663</v>
      </c>
      <c r="X704" s="14"/>
      <c r="Y704" s="14"/>
      <c r="Z704" s="14"/>
      <c r="AA704" s="14"/>
      <c r="AB704" s="14"/>
      <c r="AC704" s="14">
        <v>198</v>
      </c>
      <c r="AD704" s="34">
        <f t="shared" si="67"/>
        <v>1.7837837837837838</v>
      </c>
      <c r="AE704" s="35"/>
      <c r="AF704" s="35"/>
      <c r="AG704" s="35">
        <v>13.5</v>
      </c>
      <c r="AH704" s="35">
        <v>7</v>
      </c>
      <c r="AI704" s="35">
        <v>18.100000000000001</v>
      </c>
      <c r="AJ704" s="35"/>
      <c r="AK704" s="35"/>
      <c r="AL704" s="35"/>
      <c r="AM704" s="35"/>
      <c r="AN704" s="35"/>
      <c r="AO704" s="35"/>
      <c r="AP704" s="35"/>
      <c r="AQ704" s="35"/>
      <c r="AR704" s="35"/>
      <c r="AS704" s="35"/>
      <c r="AT704" s="35">
        <v>70</v>
      </c>
      <c r="AU704" s="14" t="s">
        <v>2447</v>
      </c>
      <c r="AV704" s="14" t="s">
        <v>3201</v>
      </c>
      <c r="AW704" s="14">
        <v>102</v>
      </c>
      <c r="AX704" s="14"/>
      <c r="AY704" s="14"/>
      <c r="AZ704" s="14"/>
      <c r="BA704" s="29"/>
      <c r="BB704" s="14"/>
      <c r="BC704" s="14"/>
      <c r="BD704" s="14"/>
      <c r="BE704" s="29" t="s">
        <v>2910</v>
      </c>
      <c r="BF704" s="29"/>
      <c r="BG704" s="14">
        <v>1.1200000000000001</v>
      </c>
      <c r="BH704" s="14">
        <v>0.3</v>
      </c>
      <c r="BI704" s="14">
        <v>4.16</v>
      </c>
      <c r="BJ704" s="29"/>
      <c r="BK704" s="14"/>
      <c r="BL704" s="14"/>
      <c r="BM704" s="14"/>
      <c r="BN704" s="14" t="s">
        <v>2552</v>
      </c>
      <c r="BO704" s="14" t="s">
        <v>2816</v>
      </c>
      <c r="BP704" s="14"/>
      <c r="BQ704" s="14">
        <v>0.45500000000000002</v>
      </c>
      <c r="BR704" s="14"/>
      <c r="BS704" s="14"/>
      <c r="BT704" s="14"/>
      <c r="BU704" s="14" t="s">
        <v>635</v>
      </c>
      <c r="BV704" s="14"/>
      <c r="BW704" s="14"/>
      <c r="BX704" s="14"/>
      <c r="BY704" s="14"/>
      <c r="BZ704" s="14"/>
      <c r="CA704" s="14"/>
      <c r="CB704" s="14"/>
      <c r="CC704" s="14">
        <v>-0.25900000000000001</v>
      </c>
      <c r="CD704" s="14"/>
      <c r="CE704" s="14"/>
      <c r="CF704" s="14"/>
      <c r="CG704" s="14">
        <v>3.2000000000000001E-2</v>
      </c>
      <c r="CH704" s="14"/>
      <c r="CI704" s="14"/>
      <c r="CJ704" s="14" t="s">
        <v>2913</v>
      </c>
      <c r="CK704" s="14">
        <v>0.60199999999999998</v>
      </c>
      <c r="CL704" s="14"/>
      <c r="CM704" s="14"/>
      <c r="CN704" s="14" t="s">
        <v>635</v>
      </c>
      <c r="CO704" s="14"/>
      <c r="CP704" s="14"/>
      <c r="CQ704" s="14"/>
      <c r="CR704" s="14"/>
      <c r="CS704" s="14"/>
      <c r="CT704" s="14"/>
      <c r="CU704" s="14"/>
      <c r="CV704" s="14"/>
      <c r="CW704" s="14" t="s">
        <v>489</v>
      </c>
      <c r="CX704" s="14" t="s">
        <v>1550</v>
      </c>
      <c r="CY704" s="14">
        <v>2022</v>
      </c>
      <c r="CZ704" s="36"/>
      <c r="DA704" s="14" t="s">
        <v>135</v>
      </c>
      <c r="DB704" s="14">
        <v>4</v>
      </c>
      <c r="DC704" s="14">
        <v>1</v>
      </c>
      <c r="DD704" s="14" t="s">
        <v>1551</v>
      </c>
      <c r="DE704" s="14" t="s">
        <v>491</v>
      </c>
    </row>
    <row r="705" spans="1:109" s="13" customFormat="1" ht="20">
      <c r="A705" s="14" t="s">
        <v>1916</v>
      </c>
      <c r="B705" s="14" t="s">
        <v>1743</v>
      </c>
      <c r="C705" s="14" t="s">
        <v>492</v>
      </c>
      <c r="D705" s="14" t="s">
        <v>830</v>
      </c>
      <c r="E705" s="14" t="s">
        <v>672</v>
      </c>
      <c r="F705" s="14" t="s">
        <v>675</v>
      </c>
      <c r="G705" s="14"/>
      <c r="H705" s="14" t="s">
        <v>586</v>
      </c>
      <c r="I705" s="14" t="s">
        <v>2908</v>
      </c>
      <c r="J705" s="14" t="s">
        <v>695</v>
      </c>
      <c r="K705" s="14" t="s">
        <v>1009</v>
      </c>
      <c r="L705" s="14" t="s">
        <v>639</v>
      </c>
      <c r="M705" s="14">
        <v>111</v>
      </c>
      <c r="N705" s="14"/>
      <c r="O705" s="34"/>
      <c r="P705" s="14"/>
      <c r="Q705" s="14">
        <v>61</v>
      </c>
      <c r="R705" s="14">
        <v>12.2</v>
      </c>
      <c r="S705" s="14"/>
      <c r="T705" s="14"/>
      <c r="U705" s="14"/>
      <c r="V705" s="14">
        <v>74</v>
      </c>
      <c r="W705" s="14">
        <f t="shared" si="66"/>
        <v>0.66666666666666663</v>
      </c>
      <c r="X705" s="14"/>
      <c r="Y705" s="14"/>
      <c r="Z705" s="14"/>
      <c r="AA705" s="14"/>
      <c r="AB705" s="14"/>
      <c r="AC705" s="14">
        <v>198</v>
      </c>
      <c r="AD705" s="34">
        <f t="shared" si="67"/>
        <v>1.7837837837837838</v>
      </c>
      <c r="AE705" s="35"/>
      <c r="AF705" s="35"/>
      <c r="AG705" s="35">
        <v>13.5</v>
      </c>
      <c r="AH705" s="35">
        <v>7</v>
      </c>
      <c r="AI705" s="35">
        <v>18.100000000000001</v>
      </c>
      <c r="AJ705" s="35"/>
      <c r="AK705" s="35"/>
      <c r="AL705" s="35"/>
      <c r="AM705" s="35"/>
      <c r="AN705" s="35"/>
      <c r="AO705" s="35"/>
      <c r="AP705" s="35"/>
      <c r="AQ705" s="35"/>
      <c r="AR705" s="35"/>
      <c r="AS705" s="35"/>
      <c r="AT705" s="35"/>
      <c r="AU705" s="14"/>
      <c r="AV705" s="14"/>
      <c r="AW705" s="14"/>
      <c r="AX705" s="14"/>
      <c r="AY705" s="14"/>
      <c r="AZ705" s="14"/>
      <c r="BA705" s="29"/>
      <c r="BB705" s="14"/>
      <c r="BC705" s="14"/>
      <c r="BD705" s="14"/>
      <c r="BE705" s="29"/>
      <c r="BF705" s="29"/>
      <c r="BG705" s="14"/>
      <c r="BH705" s="14"/>
      <c r="BI705" s="14"/>
      <c r="BJ705" s="29"/>
      <c r="BK705" s="14"/>
      <c r="BL705" s="14"/>
      <c r="BM705" s="14"/>
      <c r="BN705" s="14" t="s">
        <v>2231</v>
      </c>
      <c r="BO705" s="14"/>
      <c r="BP705" s="14"/>
      <c r="BQ705" s="29">
        <v>0.46</v>
      </c>
      <c r="BR705" s="14"/>
      <c r="BS705" s="29">
        <v>0.36</v>
      </c>
      <c r="BT705" s="29">
        <v>0.55000000000000004</v>
      </c>
      <c r="BU705" s="14"/>
      <c r="BV705" s="14"/>
      <c r="BW705" s="14"/>
      <c r="BX705" s="14"/>
      <c r="BY705" s="14"/>
      <c r="BZ705" s="14"/>
      <c r="CA705" s="14"/>
      <c r="CB705" s="14"/>
      <c r="CC705" s="29">
        <v>-0.22</v>
      </c>
      <c r="CD705" s="14"/>
      <c r="CE705" s="29">
        <v>-0.33</v>
      </c>
      <c r="CF705" s="29">
        <v>-0.1</v>
      </c>
      <c r="CG705" s="14"/>
      <c r="CH705" s="14"/>
      <c r="CI705" s="14"/>
      <c r="CJ705" s="14"/>
      <c r="CK705" s="14"/>
      <c r="CL705" s="14"/>
      <c r="CM705" s="14"/>
      <c r="CN705" s="14"/>
      <c r="CO705" s="14"/>
      <c r="CP705" s="14"/>
      <c r="CQ705" s="14"/>
      <c r="CR705" s="14"/>
      <c r="CS705" s="14"/>
      <c r="CT705" s="14"/>
      <c r="CU705" s="14"/>
      <c r="CV705" s="14"/>
      <c r="CW705" s="14" t="s">
        <v>489</v>
      </c>
      <c r="CX705" s="14" t="s">
        <v>1550</v>
      </c>
      <c r="CY705" s="14">
        <v>2022</v>
      </c>
      <c r="CZ705" s="36"/>
      <c r="DA705" s="14" t="s">
        <v>135</v>
      </c>
      <c r="DB705" s="14">
        <v>4</v>
      </c>
      <c r="DC705" s="14">
        <v>1</v>
      </c>
      <c r="DD705" s="14" t="s">
        <v>1551</v>
      </c>
      <c r="DE705" s="14" t="s">
        <v>491</v>
      </c>
    </row>
    <row r="706" spans="1:109" s="13" customFormat="1" ht="20">
      <c r="A706" s="14" t="s">
        <v>1916</v>
      </c>
      <c r="B706" s="14" t="s">
        <v>1743</v>
      </c>
      <c r="C706" s="14" t="s">
        <v>492</v>
      </c>
      <c r="D706" s="14" t="s">
        <v>830</v>
      </c>
      <c r="E706" s="14" t="s">
        <v>672</v>
      </c>
      <c r="F706" s="14" t="s">
        <v>680</v>
      </c>
      <c r="G706" s="14"/>
      <c r="H706" s="14" t="s">
        <v>586</v>
      </c>
      <c r="I706" s="14" t="s">
        <v>2908</v>
      </c>
      <c r="J706" s="14" t="s">
        <v>585</v>
      </c>
      <c r="K706" s="14" t="s">
        <v>1011</v>
      </c>
      <c r="L706" s="14" t="s">
        <v>639</v>
      </c>
      <c r="M706" s="14">
        <v>111</v>
      </c>
      <c r="N706" s="14"/>
      <c r="O706" s="34"/>
      <c r="P706" s="14"/>
      <c r="Q706" s="14">
        <v>61</v>
      </c>
      <c r="R706" s="14">
        <v>12.2</v>
      </c>
      <c r="S706" s="14"/>
      <c r="T706" s="14"/>
      <c r="U706" s="14"/>
      <c r="V706" s="14">
        <v>74</v>
      </c>
      <c r="W706" s="14">
        <f t="shared" si="66"/>
        <v>0.66666666666666663</v>
      </c>
      <c r="X706" s="14"/>
      <c r="Y706" s="14"/>
      <c r="Z706" s="14"/>
      <c r="AA706" s="14"/>
      <c r="AB706" s="14"/>
      <c r="AC706" s="14">
        <f>111-23</f>
        <v>88</v>
      </c>
      <c r="AD706" s="34">
        <f t="shared" si="67"/>
        <v>0.7927927927927928</v>
      </c>
      <c r="AE706" s="35"/>
      <c r="AF706" s="35"/>
      <c r="AG706" s="35">
        <v>13.5</v>
      </c>
      <c r="AH706" s="35">
        <v>7</v>
      </c>
      <c r="AI706" s="35">
        <v>18.100000000000001</v>
      </c>
      <c r="AJ706" s="35"/>
      <c r="AK706" s="35"/>
      <c r="AL706" s="35"/>
      <c r="AM706" s="35"/>
      <c r="AN706" s="35"/>
      <c r="AO706" s="35"/>
      <c r="AP706" s="35"/>
      <c r="AQ706" s="35"/>
      <c r="AR706" s="35"/>
      <c r="AS706" s="35"/>
      <c r="AT706" s="35">
        <v>70</v>
      </c>
      <c r="AU706" s="14" t="s">
        <v>2447</v>
      </c>
      <c r="AV706" s="14" t="s">
        <v>3201</v>
      </c>
      <c r="AW706" s="14">
        <v>102</v>
      </c>
      <c r="AX706" s="14"/>
      <c r="AY706" s="14"/>
      <c r="AZ706" s="14"/>
      <c r="BA706" s="29"/>
      <c r="BB706" s="14"/>
      <c r="BC706" s="14"/>
      <c r="BD706" s="14"/>
      <c r="BE706" s="29" t="s">
        <v>2911</v>
      </c>
      <c r="BF706" s="29"/>
      <c r="BG706" s="14">
        <v>0.91</v>
      </c>
      <c r="BH706" s="14">
        <v>0.34</v>
      </c>
      <c r="BI706" s="14">
        <v>2.41</v>
      </c>
      <c r="BJ706" s="29"/>
      <c r="BK706" s="14"/>
      <c r="BL706" s="14"/>
      <c r="BM706" s="14"/>
      <c r="BN706" s="14" t="s">
        <v>2552</v>
      </c>
      <c r="BO706" s="14" t="s">
        <v>2816</v>
      </c>
      <c r="BP706" s="14"/>
      <c r="BQ706" s="14">
        <v>0.41899999999999998</v>
      </c>
      <c r="BR706" s="14"/>
      <c r="BS706" s="14"/>
      <c r="BT706" s="14"/>
      <c r="BU706" s="14">
        <v>5.0000000000000001E-3</v>
      </c>
      <c r="BV706" s="14"/>
      <c r="BW706" s="14"/>
      <c r="BX706" s="14"/>
      <c r="BY706" s="14"/>
      <c r="BZ706" s="14"/>
      <c r="CA706" s="14"/>
      <c r="CB706" s="14"/>
      <c r="CC706" s="14">
        <v>-0.254</v>
      </c>
      <c r="CD706" s="14"/>
      <c r="CE706" s="14"/>
      <c r="CF706" s="14"/>
      <c r="CG706" s="14">
        <v>6.3E-2</v>
      </c>
      <c r="CH706" s="14"/>
      <c r="CI706" s="14"/>
      <c r="CJ706" s="14" t="s">
        <v>2913</v>
      </c>
      <c r="CK706" s="14">
        <v>0.47899999999999998</v>
      </c>
      <c r="CL706" s="14"/>
      <c r="CM706" s="14"/>
      <c r="CN706" s="14">
        <v>1.2E-2</v>
      </c>
      <c r="CO706" s="14"/>
      <c r="CP706" s="14"/>
      <c r="CQ706" s="14"/>
      <c r="CR706" s="14"/>
      <c r="CS706" s="14"/>
      <c r="CT706" s="14"/>
      <c r="CU706" s="14"/>
      <c r="CV706" s="14"/>
      <c r="CW706" s="14" t="s">
        <v>489</v>
      </c>
      <c r="CX706" s="14" t="s">
        <v>1550</v>
      </c>
      <c r="CY706" s="14">
        <v>2022</v>
      </c>
      <c r="CZ706" s="36"/>
      <c r="DA706" s="14" t="s">
        <v>135</v>
      </c>
      <c r="DB706" s="14">
        <v>4</v>
      </c>
      <c r="DC706" s="14">
        <v>1</v>
      </c>
      <c r="DD706" s="14" t="s">
        <v>1551</v>
      </c>
      <c r="DE706" s="14" t="s">
        <v>491</v>
      </c>
    </row>
    <row r="707" spans="1:109" s="13" customFormat="1" ht="20">
      <c r="A707" s="14" t="s">
        <v>1916</v>
      </c>
      <c r="B707" s="14" t="s">
        <v>1743</v>
      </c>
      <c r="C707" s="14" t="s">
        <v>492</v>
      </c>
      <c r="D707" s="14" t="s">
        <v>830</v>
      </c>
      <c r="E707" s="14" t="s">
        <v>674</v>
      </c>
      <c r="F707" s="14" t="s">
        <v>675</v>
      </c>
      <c r="G707" s="14"/>
      <c r="H707" s="14" t="s">
        <v>586</v>
      </c>
      <c r="I707" s="14" t="s">
        <v>2908</v>
      </c>
      <c r="J707" s="14" t="s">
        <v>695</v>
      </c>
      <c r="K707" s="14" t="s">
        <v>1009</v>
      </c>
      <c r="L707" s="14" t="s">
        <v>639</v>
      </c>
      <c r="M707" s="14">
        <v>258</v>
      </c>
      <c r="N707" s="14"/>
      <c r="O707" s="34"/>
      <c r="P707" s="14"/>
      <c r="Q707" s="14">
        <v>62.3</v>
      </c>
      <c r="R707" s="14">
        <v>11.8</v>
      </c>
      <c r="S707" s="14"/>
      <c r="T707" s="14"/>
      <c r="U707" s="14"/>
      <c r="V707" s="14">
        <v>171</v>
      </c>
      <c r="W707" s="14">
        <f t="shared" si="66"/>
        <v>0.66279069767441856</v>
      </c>
      <c r="X707" s="14"/>
      <c r="Y707" s="14"/>
      <c r="Z707" s="14"/>
      <c r="AA707" s="14"/>
      <c r="AB707" s="14"/>
      <c r="AC707" s="14">
        <v>198</v>
      </c>
      <c r="AD707" s="34">
        <f t="shared" si="67"/>
        <v>0.76744186046511631</v>
      </c>
      <c r="AE707" s="35"/>
      <c r="AF707" s="35"/>
      <c r="AG707" s="35">
        <v>14.6</v>
      </c>
      <c r="AH707" s="35">
        <v>9</v>
      </c>
      <c r="AI707" s="35">
        <v>19.2</v>
      </c>
      <c r="AJ707" s="35"/>
      <c r="AK707" s="35"/>
      <c r="AL707" s="35"/>
      <c r="AM707" s="35"/>
      <c r="AN707" s="35"/>
      <c r="AO707" s="35"/>
      <c r="AP707" s="35"/>
      <c r="AQ707" s="35"/>
      <c r="AR707" s="35"/>
      <c r="AS707" s="35"/>
      <c r="AT707" s="35">
        <v>33</v>
      </c>
      <c r="AU707" s="14" t="s">
        <v>2447</v>
      </c>
      <c r="AV707" s="14" t="s">
        <v>3201</v>
      </c>
      <c r="AW707" s="14">
        <v>102</v>
      </c>
      <c r="AX707" s="14"/>
      <c r="AY707" s="14"/>
      <c r="AZ707" s="14"/>
      <c r="BA707" s="29"/>
      <c r="BB707" s="14"/>
      <c r="BC707" s="14"/>
      <c r="BD707" s="14"/>
      <c r="BE707" s="29" t="s">
        <v>2909</v>
      </c>
      <c r="BF707" s="29"/>
      <c r="BG707" s="14">
        <v>2.99</v>
      </c>
      <c r="BH707" s="14">
        <v>1.65</v>
      </c>
      <c r="BI707" s="14">
        <v>5.41</v>
      </c>
      <c r="BJ707" s="29"/>
      <c r="BK707" s="14"/>
      <c r="BL707" s="14"/>
      <c r="BM707" s="14"/>
      <c r="BN707" s="14" t="s">
        <v>2552</v>
      </c>
      <c r="BO707" s="14" t="s">
        <v>2816</v>
      </c>
      <c r="BP707" s="14"/>
      <c r="BQ707" s="14">
        <v>0.47599999999999998</v>
      </c>
      <c r="BR707" s="14"/>
      <c r="BS707" s="14"/>
      <c r="BT707" s="14"/>
      <c r="BU707" s="27" t="s">
        <v>635</v>
      </c>
      <c r="BV707" s="14"/>
      <c r="BW707" s="14"/>
      <c r="BX707" s="14"/>
      <c r="BY707" s="14"/>
      <c r="BZ707" s="14"/>
      <c r="CA707" s="14"/>
      <c r="CB707" s="14"/>
      <c r="CC707" s="14">
        <v>-0.16</v>
      </c>
      <c r="CD707" s="14"/>
      <c r="CE707" s="14"/>
      <c r="CF707" s="14"/>
      <c r="CG707" s="14">
        <v>3.2000000000000001E-2</v>
      </c>
      <c r="CH707" s="14"/>
      <c r="CI707" s="14"/>
      <c r="CJ707" s="14" t="s">
        <v>2913</v>
      </c>
      <c r="CK707" s="14">
        <v>0.58899999999999997</v>
      </c>
      <c r="CL707" s="14"/>
      <c r="CM707" s="14"/>
      <c r="CN707" s="14" t="s">
        <v>635</v>
      </c>
      <c r="CO707" s="14"/>
      <c r="CP707" s="14"/>
      <c r="CQ707" s="14"/>
      <c r="CR707" s="14"/>
      <c r="CS707" s="14"/>
      <c r="CT707" s="14"/>
      <c r="CU707" s="14"/>
      <c r="CV707" s="14"/>
      <c r="CW707" s="14" t="s">
        <v>489</v>
      </c>
      <c r="CX707" s="14" t="s">
        <v>1550</v>
      </c>
      <c r="CY707" s="14">
        <v>2022</v>
      </c>
      <c r="CZ707" s="36"/>
      <c r="DA707" s="14" t="s">
        <v>135</v>
      </c>
      <c r="DB707" s="14">
        <v>4</v>
      </c>
      <c r="DC707" s="14">
        <v>1</v>
      </c>
      <c r="DD707" s="14" t="s">
        <v>1551</v>
      </c>
      <c r="DE707" s="14" t="s">
        <v>491</v>
      </c>
    </row>
    <row r="708" spans="1:109" s="13" customFormat="1" ht="20">
      <c r="A708" s="14" t="s">
        <v>1916</v>
      </c>
      <c r="B708" s="14" t="s">
        <v>1743</v>
      </c>
      <c r="C708" s="14" t="s">
        <v>492</v>
      </c>
      <c r="D708" s="14" t="s">
        <v>830</v>
      </c>
      <c r="E708" s="14" t="s">
        <v>674</v>
      </c>
      <c r="F708" s="14" t="s">
        <v>675</v>
      </c>
      <c r="G708" s="14"/>
      <c r="H708" s="14" t="s">
        <v>586</v>
      </c>
      <c r="I708" s="14" t="s">
        <v>2908</v>
      </c>
      <c r="J708" s="14" t="s">
        <v>695</v>
      </c>
      <c r="K708" s="14" t="s">
        <v>1009</v>
      </c>
      <c r="L708" s="14" t="s">
        <v>639</v>
      </c>
      <c r="M708" s="14">
        <v>258</v>
      </c>
      <c r="N708" s="14"/>
      <c r="O708" s="34"/>
      <c r="P708" s="14"/>
      <c r="Q708" s="14">
        <v>62.3</v>
      </c>
      <c r="R708" s="14">
        <v>11.8</v>
      </c>
      <c r="S708" s="14"/>
      <c r="T708" s="14"/>
      <c r="U708" s="14"/>
      <c r="V708" s="14">
        <v>171</v>
      </c>
      <c r="W708" s="14">
        <f t="shared" si="66"/>
        <v>0.66279069767441856</v>
      </c>
      <c r="X708" s="14"/>
      <c r="Y708" s="14"/>
      <c r="Z708" s="14"/>
      <c r="AA708" s="14"/>
      <c r="AB708" s="14"/>
      <c r="AC708" s="14">
        <v>198</v>
      </c>
      <c r="AD708" s="34">
        <f t="shared" si="67"/>
        <v>0.76744186046511631</v>
      </c>
      <c r="AE708" s="35"/>
      <c r="AF708" s="35"/>
      <c r="AG708" s="35">
        <v>14.6</v>
      </c>
      <c r="AH708" s="35">
        <v>9</v>
      </c>
      <c r="AI708" s="35">
        <v>19.2</v>
      </c>
      <c r="AJ708" s="35"/>
      <c r="AK708" s="35"/>
      <c r="AL708" s="35"/>
      <c r="AM708" s="35"/>
      <c r="AN708" s="35"/>
      <c r="AO708" s="35"/>
      <c r="AP708" s="35"/>
      <c r="AQ708" s="35"/>
      <c r="AR708" s="35"/>
      <c r="AS708" s="35"/>
      <c r="AT708" s="35"/>
      <c r="AU708" s="14"/>
      <c r="AV708" s="14"/>
      <c r="AW708" s="14"/>
      <c r="AX708" s="14"/>
      <c r="AY708" s="14"/>
      <c r="AZ708" s="14"/>
      <c r="BA708" s="29"/>
      <c r="BB708" s="14"/>
      <c r="BC708" s="14"/>
      <c r="BD708" s="14"/>
      <c r="BE708" s="29"/>
      <c r="BF708" s="29"/>
      <c r="BG708" s="14"/>
      <c r="BH708" s="14"/>
      <c r="BI708" s="14"/>
      <c r="BJ708" s="29"/>
      <c r="BK708" s="14"/>
      <c r="BL708" s="14"/>
      <c r="BM708" s="14"/>
      <c r="BN708" s="14" t="s">
        <v>2231</v>
      </c>
      <c r="BO708" s="14"/>
      <c r="BP708" s="14"/>
      <c r="BQ708" s="29">
        <v>0.48</v>
      </c>
      <c r="BR708" s="14"/>
      <c r="BS708" s="29">
        <v>0.38</v>
      </c>
      <c r="BT708" s="29">
        <v>0.56999999999999995</v>
      </c>
      <c r="BU708" s="27"/>
      <c r="BV708" s="14"/>
      <c r="BW708" s="14"/>
      <c r="BX708" s="14"/>
      <c r="BY708" s="14"/>
      <c r="BZ708" s="14"/>
      <c r="CA708" s="14"/>
      <c r="CB708" s="14"/>
      <c r="CC708" s="29">
        <v>-0.19</v>
      </c>
      <c r="CD708" s="29"/>
      <c r="CE708" s="29">
        <v>-0.31</v>
      </c>
      <c r="CF708" s="29">
        <v>-7.0000000000000007E-2</v>
      </c>
      <c r="CG708" s="14"/>
      <c r="CH708" s="14"/>
      <c r="CI708" s="14"/>
      <c r="CJ708" s="14"/>
      <c r="CK708" s="14"/>
      <c r="CL708" s="14"/>
      <c r="CM708" s="14"/>
      <c r="CN708" s="14"/>
      <c r="CO708" s="14"/>
      <c r="CP708" s="14"/>
      <c r="CQ708" s="14"/>
      <c r="CR708" s="14"/>
      <c r="CS708" s="14"/>
      <c r="CT708" s="14"/>
      <c r="CU708" s="14"/>
      <c r="CV708" s="14"/>
      <c r="CW708" s="14" t="s">
        <v>489</v>
      </c>
      <c r="CX708" s="14" t="s">
        <v>1550</v>
      </c>
      <c r="CY708" s="14">
        <v>2022</v>
      </c>
      <c r="CZ708" s="36"/>
      <c r="DA708" s="14" t="s">
        <v>135</v>
      </c>
      <c r="DB708" s="14">
        <v>4</v>
      </c>
      <c r="DC708" s="14">
        <v>1</v>
      </c>
      <c r="DD708" s="14" t="s">
        <v>1551</v>
      </c>
      <c r="DE708" s="14" t="s">
        <v>491</v>
      </c>
    </row>
    <row r="709" spans="1:109" s="13" customFormat="1" ht="20">
      <c r="A709" s="14" t="s">
        <v>1916</v>
      </c>
      <c r="B709" s="14" t="s">
        <v>1743</v>
      </c>
      <c r="C709" s="14" t="s">
        <v>492</v>
      </c>
      <c r="D709" s="14" t="s">
        <v>830</v>
      </c>
      <c r="E709" s="14" t="s">
        <v>674</v>
      </c>
      <c r="F709" s="14" t="s">
        <v>2198</v>
      </c>
      <c r="G709" s="14"/>
      <c r="H709" s="14" t="s">
        <v>586</v>
      </c>
      <c r="I709" s="14" t="s">
        <v>2908</v>
      </c>
      <c r="J709" s="14" t="s">
        <v>695</v>
      </c>
      <c r="K709" s="14" t="s">
        <v>1009</v>
      </c>
      <c r="L709" s="14" t="s">
        <v>639</v>
      </c>
      <c r="M709" s="14">
        <v>258</v>
      </c>
      <c r="N709" s="14"/>
      <c r="O709" s="34"/>
      <c r="P709" s="14"/>
      <c r="Q709" s="14">
        <v>62.3</v>
      </c>
      <c r="R709" s="14">
        <v>11.8</v>
      </c>
      <c r="S709" s="14"/>
      <c r="T709" s="14"/>
      <c r="U709" s="14"/>
      <c r="V709" s="14">
        <v>171</v>
      </c>
      <c r="W709" s="14">
        <f t="shared" si="66"/>
        <v>0.66279069767441856</v>
      </c>
      <c r="X709" s="14"/>
      <c r="Y709" s="14"/>
      <c r="Z709" s="14"/>
      <c r="AA709" s="14"/>
      <c r="AB709" s="14"/>
      <c r="AC709" s="14">
        <v>198</v>
      </c>
      <c r="AD709" s="34">
        <f t="shared" si="67"/>
        <v>0.76744186046511631</v>
      </c>
      <c r="AE709" s="35"/>
      <c r="AF709" s="35"/>
      <c r="AG709" s="35">
        <v>14.6</v>
      </c>
      <c r="AH709" s="35">
        <v>9</v>
      </c>
      <c r="AI709" s="35">
        <v>19.2</v>
      </c>
      <c r="AJ709" s="35"/>
      <c r="AK709" s="35"/>
      <c r="AL709" s="35"/>
      <c r="AM709" s="35"/>
      <c r="AN709" s="35"/>
      <c r="AO709" s="35"/>
      <c r="AP709" s="35"/>
      <c r="AQ709" s="35"/>
      <c r="AR709" s="35"/>
      <c r="AS709" s="35"/>
      <c r="AT709" s="35">
        <v>33</v>
      </c>
      <c r="AU709" s="14" t="s">
        <v>2447</v>
      </c>
      <c r="AV709" s="14" t="s">
        <v>3201</v>
      </c>
      <c r="AW709" s="14"/>
      <c r="AX709" s="14"/>
      <c r="AY709" s="14"/>
      <c r="AZ709" s="14"/>
      <c r="BA709" s="29"/>
      <c r="BB709" s="14"/>
      <c r="BC709" s="14"/>
      <c r="BD709" s="14"/>
      <c r="BE709" s="29" t="s">
        <v>3203</v>
      </c>
      <c r="BF709" s="29"/>
      <c r="BG709" s="14">
        <v>0.78</v>
      </c>
      <c r="BH709" s="14">
        <v>0.5</v>
      </c>
      <c r="BI709" s="14">
        <v>1.2</v>
      </c>
      <c r="BJ709" s="29"/>
      <c r="BK709" s="14"/>
      <c r="BL709" s="14"/>
      <c r="BM709" s="14"/>
      <c r="BN709" s="14" t="s">
        <v>2552</v>
      </c>
      <c r="BO709" s="14" t="s">
        <v>2816</v>
      </c>
      <c r="BP709" s="14"/>
      <c r="BQ709" s="42">
        <v>-9.4E-2</v>
      </c>
      <c r="BR709" s="42"/>
      <c r="BS709" s="42">
        <v>0.31</v>
      </c>
      <c r="BT709" s="43"/>
      <c r="BU709" s="42">
        <v>0.31</v>
      </c>
      <c r="BV709" s="14"/>
      <c r="BW709" s="14"/>
      <c r="BX709" s="14"/>
      <c r="BY709" s="14"/>
      <c r="BZ709" s="14"/>
      <c r="CA709" s="14"/>
      <c r="CB709" s="14"/>
      <c r="CC709" s="14">
        <v>0.182</v>
      </c>
      <c r="CD709" s="14"/>
      <c r="CE709" s="14"/>
      <c r="CF709" s="14"/>
      <c r="CG709" s="14">
        <v>3.2000000000000001E-2</v>
      </c>
      <c r="CH709" s="14"/>
      <c r="CI709" s="14"/>
      <c r="CJ709" s="14" t="s">
        <v>2913</v>
      </c>
      <c r="CK709" s="14">
        <v>-0.13700000000000001</v>
      </c>
      <c r="CL709" s="14"/>
      <c r="CM709" s="14"/>
      <c r="CN709" s="14">
        <v>0.25800000000000001</v>
      </c>
      <c r="CO709" s="14"/>
      <c r="CP709" s="14"/>
      <c r="CQ709" s="14"/>
      <c r="CR709" s="14"/>
      <c r="CS709" s="14"/>
      <c r="CT709" s="14"/>
      <c r="CU709" s="14"/>
      <c r="CV709" s="14"/>
      <c r="CW709" s="14" t="s">
        <v>489</v>
      </c>
      <c r="CX709" s="14" t="s">
        <v>1550</v>
      </c>
      <c r="CY709" s="14">
        <v>2022</v>
      </c>
      <c r="CZ709" s="36"/>
      <c r="DA709" s="14" t="s">
        <v>135</v>
      </c>
      <c r="DB709" s="14">
        <v>4</v>
      </c>
      <c r="DC709" s="14">
        <v>1</v>
      </c>
      <c r="DD709" s="14" t="s">
        <v>1551</v>
      </c>
      <c r="DE709" s="14" t="s">
        <v>491</v>
      </c>
    </row>
    <row r="710" spans="1:109" s="13" customFormat="1" ht="20">
      <c r="A710" s="14" t="s">
        <v>1916</v>
      </c>
      <c r="B710" s="14" t="s">
        <v>1743</v>
      </c>
      <c r="C710" s="14" t="s">
        <v>492</v>
      </c>
      <c r="D710" s="14" t="s">
        <v>830</v>
      </c>
      <c r="E710" s="14" t="s">
        <v>674</v>
      </c>
      <c r="F710" s="14" t="s">
        <v>2419</v>
      </c>
      <c r="G710" s="14"/>
      <c r="H710" s="14" t="s">
        <v>586</v>
      </c>
      <c r="I710" s="14" t="s">
        <v>2908</v>
      </c>
      <c r="J710" s="14" t="s">
        <v>695</v>
      </c>
      <c r="K710" s="14" t="s">
        <v>1009</v>
      </c>
      <c r="L710" s="14" t="s">
        <v>639</v>
      </c>
      <c r="M710" s="14">
        <v>258</v>
      </c>
      <c r="N710" s="14"/>
      <c r="O710" s="34"/>
      <c r="P710" s="14"/>
      <c r="Q710" s="14">
        <v>62.3</v>
      </c>
      <c r="R710" s="14">
        <v>11.8</v>
      </c>
      <c r="S710" s="14"/>
      <c r="T710" s="14"/>
      <c r="U710" s="14"/>
      <c r="V710" s="14">
        <v>171</v>
      </c>
      <c r="W710" s="14">
        <f t="shared" si="66"/>
        <v>0.66279069767441856</v>
      </c>
      <c r="X710" s="14"/>
      <c r="Y710" s="14"/>
      <c r="Z710" s="14"/>
      <c r="AA710" s="14"/>
      <c r="AB710" s="14"/>
      <c r="AC710" s="14">
        <v>198</v>
      </c>
      <c r="AD710" s="34">
        <f t="shared" si="67"/>
        <v>0.76744186046511631</v>
      </c>
      <c r="AE710" s="35"/>
      <c r="AF710" s="35"/>
      <c r="AG710" s="35">
        <v>14.6</v>
      </c>
      <c r="AH710" s="35">
        <v>9</v>
      </c>
      <c r="AI710" s="35">
        <v>19.2</v>
      </c>
      <c r="AJ710" s="35"/>
      <c r="AK710" s="35"/>
      <c r="AL710" s="35"/>
      <c r="AM710" s="35"/>
      <c r="AN710" s="35"/>
      <c r="AO710" s="35"/>
      <c r="AP710" s="35"/>
      <c r="AQ710" s="35"/>
      <c r="AR710" s="35"/>
      <c r="AS710" s="35"/>
      <c r="AT710" s="35">
        <v>33</v>
      </c>
      <c r="AU710" s="14" t="s">
        <v>2447</v>
      </c>
      <c r="AV710" s="14" t="s">
        <v>3201</v>
      </c>
      <c r="AW710" s="14"/>
      <c r="AX710" s="14"/>
      <c r="AY710" s="14"/>
      <c r="AZ710" s="14"/>
      <c r="BA710" s="29"/>
      <c r="BB710" s="14"/>
      <c r="BC710" s="14"/>
      <c r="BD710" s="14"/>
      <c r="BE710" s="29" t="s">
        <v>3205</v>
      </c>
      <c r="BF710" s="29"/>
      <c r="BG710" s="14">
        <v>0.91</v>
      </c>
      <c r="BH710" s="14">
        <v>0.51</v>
      </c>
      <c r="BI710" s="14">
        <v>1.61</v>
      </c>
      <c r="BJ710" s="29"/>
      <c r="BK710" s="14"/>
      <c r="BL710" s="14"/>
      <c r="BM710" s="14"/>
      <c r="BN710" s="14" t="s">
        <v>2552</v>
      </c>
      <c r="BO710" s="14" t="s">
        <v>2816</v>
      </c>
      <c r="BP710" s="14"/>
      <c r="BQ710" s="42">
        <v>8.1000000000000003E-2</v>
      </c>
      <c r="BR710" s="42"/>
      <c r="BS710" s="42">
        <v>0.34599999999999997</v>
      </c>
      <c r="BT710" s="43"/>
      <c r="BU710" s="42">
        <v>0.34599999999999997</v>
      </c>
      <c r="BV710" s="14"/>
      <c r="BW710" s="14"/>
      <c r="BX710" s="14"/>
      <c r="BY710" s="14"/>
      <c r="BZ710" s="14"/>
      <c r="CA710" s="14"/>
      <c r="CB710" s="14"/>
      <c r="CC710" s="14">
        <v>-5.3999999999999999E-2</v>
      </c>
      <c r="CD710" s="14"/>
      <c r="CE710" s="14"/>
      <c r="CF710" s="14"/>
      <c r="CG710" s="14">
        <v>0.48199999999999998</v>
      </c>
      <c r="CH710" s="14"/>
      <c r="CI710" s="14"/>
      <c r="CJ710" s="14" t="s">
        <v>2913</v>
      </c>
      <c r="CK710" s="14">
        <v>0.17100000000000001</v>
      </c>
      <c r="CL710" s="14"/>
      <c r="CM710" s="14"/>
      <c r="CN710" s="14">
        <v>0.17</v>
      </c>
      <c r="CO710" s="14"/>
      <c r="CP710" s="14"/>
      <c r="CQ710" s="14"/>
      <c r="CR710" s="14"/>
      <c r="CS710" s="14"/>
      <c r="CT710" s="14"/>
      <c r="CU710" s="14"/>
      <c r="CV710" s="14"/>
      <c r="CW710" s="14" t="s">
        <v>489</v>
      </c>
      <c r="CX710" s="14" t="s">
        <v>1550</v>
      </c>
      <c r="CY710" s="14">
        <v>2022</v>
      </c>
      <c r="CZ710" s="36"/>
      <c r="DA710" s="14" t="s">
        <v>135</v>
      </c>
      <c r="DB710" s="14">
        <v>4</v>
      </c>
      <c r="DC710" s="14">
        <v>1</v>
      </c>
      <c r="DD710" s="14" t="s">
        <v>1551</v>
      </c>
      <c r="DE710" s="14" t="s">
        <v>491</v>
      </c>
    </row>
    <row r="711" spans="1:109" s="13" customFormat="1" ht="20">
      <c r="A711" s="14" t="s">
        <v>1916</v>
      </c>
      <c r="B711" s="14" t="s">
        <v>1743</v>
      </c>
      <c r="C711" s="14" t="s">
        <v>492</v>
      </c>
      <c r="D711" s="14" t="s">
        <v>830</v>
      </c>
      <c r="E711" s="14" t="s">
        <v>674</v>
      </c>
      <c r="F711" s="14" t="s">
        <v>2273</v>
      </c>
      <c r="G711" s="14"/>
      <c r="H711" s="14" t="s">
        <v>586</v>
      </c>
      <c r="I711" s="14" t="s">
        <v>2908</v>
      </c>
      <c r="J711" s="14" t="s">
        <v>695</v>
      </c>
      <c r="K711" s="14" t="s">
        <v>1009</v>
      </c>
      <c r="L711" s="14" t="s">
        <v>639</v>
      </c>
      <c r="M711" s="14">
        <v>258</v>
      </c>
      <c r="N711" s="14"/>
      <c r="O711" s="34"/>
      <c r="P711" s="14"/>
      <c r="Q711" s="14">
        <v>62.3</v>
      </c>
      <c r="R711" s="14">
        <v>11.8</v>
      </c>
      <c r="S711" s="14"/>
      <c r="T711" s="14"/>
      <c r="U711" s="14"/>
      <c r="V711" s="14">
        <v>171</v>
      </c>
      <c r="W711" s="14">
        <f t="shared" si="66"/>
        <v>0.66279069767441856</v>
      </c>
      <c r="X711" s="14"/>
      <c r="Y711" s="14"/>
      <c r="Z711" s="14"/>
      <c r="AA711" s="14"/>
      <c r="AB711" s="14"/>
      <c r="AC711" s="14">
        <v>198</v>
      </c>
      <c r="AD711" s="34">
        <f t="shared" si="67"/>
        <v>0.76744186046511631</v>
      </c>
      <c r="AE711" s="35"/>
      <c r="AF711" s="35"/>
      <c r="AG711" s="35">
        <v>14.6</v>
      </c>
      <c r="AH711" s="35">
        <v>9</v>
      </c>
      <c r="AI711" s="35">
        <v>19.2</v>
      </c>
      <c r="AJ711" s="35"/>
      <c r="AK711" s="35"/>
      <c r="AL711" s="35"/>
      <c r="AM711" s="35"/>
      <c r="AN711" s="35"/>
      <c r="AO711" s="35"/>
      <c r="AP711" s="35"/>
      <c r="AQ711" s="35"/>
      <c r="AR711" s="35"/>
      <c r="AS711" s="35"/>
      <c r="AT711" s="35">
        <v>33</v>
      </c>
      <c r="AU711" s="14" t="s">
        <v>2447</v>
      </c>
      <c r="AV711" s="14" t="s">
        <v>3201</v>
      </c>
      <c r="AW711" s="14"/>
      <c r="AX711" s="14"/>
      <c r="AY711" s="14"/>
      <c r="AZ711" s="14"/>
      <c r="BA711" s="29"/>
      <c r="BB711" s="14"/>
      <c r="BC711" s="14"/>
      <c r="BD711" s="14"/>
      <c r="BE711" s="29" t="s">
        <v>3204</v>
      </c>
      <c r="BF711" s="29"/>
      <c r="BG711" s="14">
        <v>0.96</v>
      </c>
      <c r="BH711" s="14">
        <v>0.54</v>
      </c>
      <c r="BI711" s="14">
        <v>1.68</v>
      </c>
      <c r="BJ711" s="29"/>
      <c r="BK711" s="14"/>
      <c r="BL711" s="14"/>
      <c r="BM711" s="14"/>
      <c r="BN711" s="14" t="s">
        <v>2552</v>
      </c>
      <c r="BO711" s="14" t="s">
        <v>2816</v>
      </c>
      <c r="BP711" s="14"/>
      <c r="BQ711" s="42">
        <v>3.9E-2</v>
      </c>
      <c r="BR711" s="42"/>
      <c r="BS711" s="42">
        <v>0.64700000000000002</v>
      </c>
      <c r="BT711" s="43"/>
      <c r="BU711" s="42">
        <v>0.64700000000000002</v>
      </c>
      <c r="BV711" s="14"/>
      <c r="BW711" s="14"/>
      <c r="BX711" s="14"/>
      <c r="BY711" s="14"/>
      <c r="BZ711" s="14"/>
      <c r="CA711" s="14"/>
      <c r="CB711" s="14"/>
      <c r="CC711" s="14">
        <v>-0.17</v>
      </c>
      <c r="CD711" s="14"/>
      <c r="CE711" s="14"/>
      <c r="CF711" s="14"/>
      <c r="CG711" s="14">
        <v>3.2000000000000001E-2</v>
      </c>
      <c r="CH711" s="14"/>
      <c r="CI711" s="14"/>
      <c r="CJ711" s="14" t="s">
        <v>2913</v>
      </c>
      <c r="CK711" s="14">
        <v>4.2000000000000003E-2</v>
      </c>
      <c r="CL711" s="14"/>
      <c r="CM711" s="14"/>
      <c r="CN711" s="14">
        <v>0.76300000000000001</v>
      </c>
      <c r="CO711" s="14"/>
      <c r="CP711" s="14"/>
      <c r="CQ711" s="14"/>
      <c r="CR711" s="14"/>
      <c r="CS711" s="14"/>
      <c r="CT711" s="14"/>
      <c r="CU711" s="14"/>
      <c r="CV711" s="14"/>
      <c r="CW711" s="14" t="s">
        <v>489</v>
      </c>
      <c r="CX711" s="14" t="s">
        <v>1550</v>
      </c>
      <c r="CY711" s="14">
        <v>2022</v>
      </c>
      <c r="CZ711" s="36"/>
      <c r="DA711" s="14" t="s">
        <v>135</v>
      </c>
      <c r="DB711" s="14">
        <v>4</v>
      </c>
      <c r="DC711" s="14">
        <v>1</v>
      </c>
      <c r="DD711" s="14" t="s">
        <v>1551</v>
      </c>
      <c r="DE711" s="14" t="s">
        <v>491</v>
      </c>
    </row>
    <row r="712" spans="1:109" s="13" customFormat="1" ht="20">
      <c r="A712" s="14" t="s">
        <v>1916</v>
      </c>
      <c r="B712" s="14" t="s">
        <v>1743</v>
      </c>
      <c r="C712" s="14" t="s">
        <v>492</v>
      </c>
      <c r="D712" s="14" t="s">
        <v>830</v>
      </c>
      <c r="E712" s="14" t="s">
        <v>674</v>
      </c>
      <c r="F712" s="14" t="s">
        <v>2576</v>
      </c>
      <c r="G712" s="14"/>
      <c r="H712" s="14" t="s">
        <v>586</v>
      </c>
      <c r="I712" s="14" t="s">
        <v>2908</v>
      </c>
      <c r="J712" s="14" t="s">
        <v>695</v>
      </c>
      <c r="K712" s="14" t="s">
        <v>1009</v>
      </c>
      <c r="L712" s="14" t="s">
        <v>639</v>
      </c>
      <c r="M712" s="14">
        <v>258</v>
      </c>
      <c r="N712" s="14"/>
      <c r="O712" s="34"/>
      <c r="P712" s="14"/>
      <c r="Q712" s="14">
        <v>62.3</v>
      </c>
      <c r="R712" s="14">
        <v>11.8</v>
      </c>
      <c r="S712" s="14"/>
      <c r="T712" s="14"/>
      <c r="U712" s="14"/>
      <c r="V712" s="14">
        <v>171</v>
      </c>
      <c r="W712" s="14">
        <f t="shared" si="66"/>
        <v>0.66279069767441856</v>
      </c>
      <c r="X712" s="14"/>
      <c r="Y712" s="14"/>
      <c r="Z712" s="14"/>
      <c r="AA712" s="14"/>
      <c r="AB712" s="14"/>
      <c r="AC712" s="14">
        <v>198</v>
      </c>
      <c r="AD712" s="34">
        <f t="shared" si="67"/>
        <v>0.76744186046511631</v>
      </c>
      <c r="AE712" s="35"/>
      <c r="AF712" s="35"/>
      <c r="AG712" s="35">
        <v>14.6</v>
      </c>
      <c r="AH712" s="35">
        <v>9</v>
      </c>
      <c r="AI712" s="35">
        <v>19.2</v>
      </c>
      <c r="AJ712" s="35"/>
      <c r="AK712" s="35"/>
      <c r="AL712" s="35"/>
      <c r="AM712" s="35"/>
      <c r="AN712" s="35"/>
      <c r="AO712" s="35"/>
      <c r="AP712" s="35"/>
      <c r="AQ712" s="35"/>
      <c r="AR712" s="35"/>
      <c r="AS712" s="35"/>
      <c r="AT712" s="35">
        <v>33</v>
      </c>
      <c r="AU712" s="14" t="s">
        <v>2447</v>
      </c>
      <c r="AV712" s="14" t="s">
        <v>3201</v>
      </c>
      <c r="AW712" s="14"/>
      <c r="AX712" s="14"/>
      <c r="AY712" s="14"/>
      <c r="AZ712" s="14"/>
      <c r="BA712" s="29"/>
      <c r="BB712" s="14"/>
      <c r="BC712" s="14"/>
      <c r="BD712" s="14"/>
      <c r="BE712" s="29" t="s">
        <v>3206</v>
      </c>
      <c r="BF712" s="29"/>
      <c r="BG712" s="14">
        <v>1.38</v>
      </c>
      <c r="BH712" s="14">
        <v>0.7</v>
      </c>
      <c r="BI712" s="14">
        <v>2.69</v>
      </c>
      <c r="BJ712" s="29"/>
      <c r="BK712" s="14"/>
      <c r="BL712" s="14"/>
      <c r="BM712" s="14"/>
      <c r="BN712" s="14" t="s">
        <v>2552</v>
      </c>
      <c r="BO712" s="14" t="s">
        <v>2816</v>
      </c>
      <c r="BP712" s="14"/>
      <c r="BQ712" s="42">
        <v>0.16200000000000001</v>
      </c>
      <c r="BR712" s="42"/>
      <c r="BS712" s="42">
        <v>4.4999999999999998E-2</v>
      </c>
      <c r="BT712" s="43"/>
      <c r="BU712" s="42">
        <v>4.4999999999999998E-2</v>
      </c>
      <c r="BV712" s="14"/>
      <c r="BW712" s="14"/>
      <c r="BX712" s="14"/>
      <c r="BY712" s="14"/>
      <c r="BZ712" s="14"/>
      <c r="CA712" s="14"/>
      <c r="CB712" s="14"/>
      <c r="CC712" s="14">
        <v>-0.16200000000000001</v>
      </c>
      <c r="CD712" s="14"/>
      <c r="CE712" s="14"/>
      <c r="CF712" s="14"/>
      <c r="CG712" s="14">
        <v>3.2000000000000001E-2</v>
      </c>
      <c r="CH712" s="14"/>
      <c r="CI712" s="14"/>
      <c r="CJ712" s="14" t="s">
        <v>2913</v>
      </c>
      <c r="CK712" s="14">
        <v>0.185</v>
      </c>
      <c r="CL712" s="14"/>
      <c r="CM712" s="14"/>
      <c r="CN712" s="14">
        <v>0.16200000000000001</v>
      </c>
      <c r="CO712" s="14"/>
      <c r="CP712" s="14"/>
      <c r="CQ712" s="14"/>
      <c r="CR712" s="14"/>
      <c r="CS712" s="14"/>
      <c r="CT712" s="14"/>
      <c r="CU712" s="14"/>
      <c r="CV712" s="14"/>
      <c r="CW712" s="14" t="s">
        <v>489</v>
      </c>
      <c r="CX712" s="14" t="s">
        <v>1550</v>
      </c>
      <c r="CY712" s="14">
        <v>2022</v>
      </c>
      <c r="CZ712" s="36"/>
      <c r="DA712" s="14" t="s">
        <v>135</v>
      </c>
      <c r="DB712" s="14">
        <v>4</v>
      </c>
      <c r="DC712" s="14">
        <v>1</v>
      </c>
      <c r="DD712" s="14" t="s">
        <v>1551</v>
      </c>
      <c r="DE712" s="14" t="s">
        <v>491</v>
      </c>
    </row>
    <row r="713" spans="1:109" s="13" customFormat="1" ht="20">
      <c r="A713" s="14" t="s">
        <v>1916</v>
      </c>
      <c r="B713" s="14" t="s">
        <v>1743</v>
      </c>
      <c r="C713" s="14" t="s">
        <v>492</v>
      </c>
      <c r="D713" s="14" t="s">
        <v>830</v>
      </c>
      <c r="E713" s="14" t="s">
        <v>674</v>
      </c>
      <c r="F713" s="14" t="s">
        <v>2912</v>
      </c>
      <c r="G713" s="14"/>
      <c r="H713" s="14" t="s">
        <v>586</v>
      </c>
      <c r="I713" s="14" t="s">
        <v>2908</v>
      </c>
      <c r="J713" s="14" t="s">
        <v>695</v>
      </c>
      <c r="K713" s="14" t="s">
        <v>1009</v>
      </c>
      <c r="L713" s="14" t="s">
        <v>639</v>
      </c>
      <c r="M713" s="14">
        <v>258</v>
      </c>
      <c r="N713" s="14"/>
      <c r="O713" s="34"/>
      <c r="P713" s="14"/>
      <c r="Q713" s="14">
        <v>62.3</v>
      </c>
      <c r="R713" s="14">
        <v>11.8</v>
      </c>
      <c r="S713" s="14"/>
      <c r="T713" s="14"/>
      <c r="U713" s="14"/>
      <c r="V713" s="14">
        <v>171</v>
      </c>
      <c r="W713" s="14">
        <f t="shared" si="66"/>
        <v>0.66279069767441856</v>
      </c>
      <c r="X713" s="14"/>
      <c r="Y713" s="14"/>
      <c r="Z713" s="14"/>
      <c r="AA713" s="14"/>
      <c r="AB713" s="14"/>
      <c r="AC713" s="14">
        <v>198</v>
      </c>
      <c r="AD713" s="34">
        <f t="shared" si="67"/>
        <v>0.76744186046511631</v>
      </c>
      <c r="AE713" s="35"/>
      <c r="AF713" s="35"/>
      <c r="AG713" s="35">
        <v>14.6</v>
      </c>
      <c r="AH713" s="35">
        <v>9</v>
      </c>
      <c r="AI713" s="35">
        <v>19.2</v>
      </c>
      <c r="AJ713" s="35"/>
      <c r="AK713" s="35"/>
      <c r="AL713" s="35"/>
      <c r="AM713" s="35"/>
      <c r="AN713" s="35"/>
      <c r="AO713" s="35"/>
      <c r="AP713" s="35"/>
      <c r="AQ713" s="35"/>
      <c r="AR713" s="35"/>
      <c r="AS713" s="35"/>
      <c r="AT713" s="35">
        <v>33</v>
      </c>
      <c r="AU713" s="14" t="s">
        <v>2447</v>
      </c>
      <c r="AV713" s="14" t="s">
        <v>3201</v>
      </c>
      <c r="AW713" s="14"/>
      <c r="AX713" s="14"/>
      <c r="AY713" s="14"/>
      <c r="AZ713" s="14"/>
      <c r="BA713" s="29"/>
      <c r="BB713" s="14"/>
      <c r="BC713" s="14"/>
      <c r="BD713" s="14"/>
      <c r="BE713" s="29" t="s">
        <v>3207</v>
      </c>
      <c r="BF713" s="29"/>
      <c r="BG713" s="14">
        <v>0.97</v>
      </c>
      <c r="BH713" s="14">
        <v>0.5</v>
      </c>
      <c r="BI713" s="14">
        <v>1.88</v>
      </c>
      <c r="BJ713" s="29"/>
      <c r="BK713" s="14"/>
      <c r="BL713" s="14"/>
      <c r="BM713" s="14"/>
      <c r="BN713" s="14" t="s">
        <v>2552</v>
      </c>
      <c r="BO713" s="14" t="s">
        <v>2816</v>
      </c>
      <c r="BP713" s="14"/>
      <c r="BQ713" s="42">
        <v>0.20899999999999999</v>
      </c>
      <c r="BR713" s="42"/>
      <c r="BS713" s="42">
        <v>8.0000000000000002E-3</v>
      </c>
      <c r="BT713" s="43"/>
      <c r="BU713" s="42">
        <v>8.0000000000000002E-3</v>
      </c>
      <c r="BV713" s="14"/>
      <c r="BW713" s="14"/>
      <c r="BX713" s="14"/>
      <c r="BY713" s="14"/>
      <c r="BZ713" s="14"/>
      <c r="CA713" s="14"/>
      <c r="CB713" s="14"/>
      <c r="CC713" s="14">
        <v>-0.21299999999999999</v>
      </c>
      <c r="CD713" s="14"/>
      <c r="CE713" s="14"/>
      <c r="CF713" s="14"/>
      <c r="CG713" s="14">
        <v>2.1000000000000001E-2</v>
      </c>
      <c r="CH713" s="14"/>
      <c r="CI713" s="14"/>
      <c r="CJ713" s="14" t="s">
        <v>2913</v>
      </c>
      <c r="CK713" s="14">
        <v>-0.1</v>
      </c>
      <c r="CL713" s="14"/>
      <c r="CM713" s="14"/>
      <c r="CN713" s="14">
        <v>0.40300000000000002</v>
      </c>
      <c r="CO713" s="14"/>
      <c r="CP713" s="14"/>
      <c r="CQ713" s="14"/>
      <c r="CR713" s="14"/>
      <c r="CS713" s="14"/>
      <c r="CT713" s="14"/>
      <c r="CU713" s="14"/>
      <c r="CV713" s="14"/>
      <c r="CW713" s="14" t="s">
        <v>489</v>
      </c>
      <c r="CX713" s="14" t="s">
        <v>1550</v>
      </c>
      <c r="CY713" s="14">
        <v>2022</v>
      </c>
      <c r="CZ713" s="36"/>
      <c r="DA713" s="14" t="s">
        <v>135</v>
      </c>
      <c r="DB713" s="14">
        <v>4</v>
      </c>
      <c r="DC713" s="14">
        <v>1</v>
      </c>
      <c r="DD713" s="14" t="s">
        <v>1551</v>
      </c>
      <c r="DE713" s="14" t="s">
        <v>491</v>
      </c>
    </row>
    <row r="714" spans="1:109" s="13" customFormat="1" ht="20">
      <c r="A714" s="14" t="s">
        <v>1917</v>
      </c>
      <c r="B714" s="14" t="s">
        <v>1744</v>
      </c>
      <c r="C714" s="14" t="s">
        <v>497</v>
      </c>
      <c r="D714" s="14" t="s">
        <v>1012</v>
      </c>
      <c r="E714" s="14" t="s">
        <v>673</v>
      </c>
      <c r="F714" s="14" t="s">
        <v>675</v>
      </c>
      <c r="G714" s="14"/>
      <c r="H714" s="14" t="s">
        <v>637</v>
      </c>
      <c r="I714" s="14" t="s">
        <v>3170</v>
      </c>
      <c r="J714" s="14" t="s">
        <v>652</v>
      </c>
      <c r="K714" s="14"/>
      <c r="L714" s="14" t="s">
        <v>639</v>
      </c>
      <c r="M714" s="14">
        <v>198</v>
      </c>
      <c r="N714" s="14">
        <v>18</v>
      </c>
      <c r="O714" s="34">
        <v>9.09999999999999E-2</v>
      </c>
      <c r="P714" s="14">
        <v>10</v>
      </c>
      <c r="Q714" s="14">
        <v>65.400000000000006</v>
      </c>
      <c r="R714" s="14">
        <v>10.7</v>
      </c>
      <c r="S714" s="14"/>
      <c r="T714" s="14"/>
      <c r="U714" s="14"/>
      <c r="V714" s="14">
        <v>118</v>
      </c>
      <c r="W714" s="14">
        <f t="shared" si="66"/>
        <v>0.59595959595959591</v>
      </c>
      <c r="X714" s="14">
        <v>40.299999999999997</v>
      </c>
      <c r="Y714" s="14">
        <v>5.2</v>
      </c>
      <c r="Z714" s="14"/>
      <c r="AA714" s="14"/>
      <c r="AB714" s="14"/>
      <c r="AC714" s="14">
        <v>136</v>
      </c>
      <c r="AD714" s="34">
        <f t="shared" si="67"/>
        <v>0.68686868686868685</v>
      </c>
      <c r="AE714" s="35">
        <v>14.5</v>
      </c>
      <c r="AF714" s="35">
        <v>17.399999999999999</v>
      </c>
      <c r="AG714" s="35">
        <v>10.7</v>
      </c>
      <c r="AH714" s="35"/>
      <c r="AI714" s="35"/>
      <c r="AJ714" s="35"/>
      <c r="AK714" s="35"/>
      <c r="AL714" s="35"/>
      <c r="AM714" s="35"/>
      <c r="AN714" s="35"/>
      <c r="AO714" s="35"/>
      <c r="AP714" s="35"/>
      <c r="AQ714" s="35">
        <v>21.7</v>
      </c>
      <c r="AR714" s="35"/>
      <c r="AS714" s="35"/>
      <c r="AT714" s="35">
        <v>78</v>
      </c>
      <c r="AU714" s="14" t="s">
        <v>2447</v>
      </c>
      <c r="AV714" s="14" t="s">
        <v>2490</v>
      </c>
      <c r="AW714" s="14"/>
      <c r="AX714" s="14">
        <v>1.0089999999999999</v>
      </c>
      <c r="AY714" s="14">
        <v>1.006</v>
      </c>
      <c r="AZ714" s="14">
        <v>1.012</v>
      </c>
      <c r="BA714" s="29" t="s">
        <v>2674</v>
      </c>
      <c r="BB714" s="14">
        <v>4.7</v>
      </c>
      <c r="BC714" s="14">
        <v>3</v>
      </c>
      <c r="BD714" s="14">
        <v>7.4</v>
      </c>
      <c r="BE714" s="29" t="s">
        <v>2914</v>
      </c>
      <c r="BF714" s="29"/>
      <c r="BG714" s="14">
        <v>1.0069999999999999</v>
      </c>
      <c r="BH714" s="14">
        <v>1.004</v>
      </c>
      <c r="BI714" s="14">
        <v>1.0109999999999999</v>
      </c>
      <c r="BJ714" s="29"/>
      <c r="BK714" s="14"/>
      <c r="BL714" s="14"/>
      <c r="BM714" s="14"/>
      <c r="BN714" s="14" t="s">
        <v>2231</v>
      </c>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t="s">
        <v>2913</v>
      </c>
      <c r="CK714" s="14">
        <v>0.57099999999999995</v>
      </c>
      <c r="CL714" s="14"/>
      <c r="CM714" s="14"/>
      <c r="CN714" s="14" t="s">
        <v>701</v>
      </c>
      <c r="CO714" s="14"/>
      <c r="CP714" s="14"/>
      <c r="CQ714" s="14"/>
      <c r="CR714" s="14"/>
      <c r="CS714" s="14"/>
      <c r="CT714" s="14"/>
      <c r="CU714" s="14"/>
      <c r="CV714" s="14"/>
      <c r="CW714" s="14" t="s">
        <v>493</v>
      </c>
      <c r="CX714" s="14" t="s">
        <v>494</v>
      </c>
      <c r="CY714" s="14">
        <v>2020</v>
      </c>
      <c r="CZ714" s="36" t="s">
        <v>253</v>
      </c>
      <c r="DA714" s="14" t="s">
        <v>19</v>
      </c>
      <c r="DB714" s="14">
        <v>27</v>
      </c>
      <c r="DC714" s="14">
        <v>2</v>
      </c>
      <c r="DD714" s="14" t="s">
        <v>495</v>
      </c>
      <c r="DE714" s="14" t="s">
        <v>496</v>
      </c>
    </row>
    <row r="715" spans="1:109" s="13" customFormat="1" ht="20">
      <c r="A715" s="13" t="s">
        <v>3422</v>
      </c>
      <c r="C715" s="13" t="s">
        <v>3350</v>
      </c>
      <c r="D715" s="14" t="s">
        <v>898</v>
      </c>
      <c r="E715" s="13" t="s">
        <v>673</v>
      </c>
      <c r="F715" s="13" t="s">
        <v>675</v>
      </c>
      <c r="H715" s="14" t="s">
        <v>637</v>
      </c>
      <c r="I715" s="14" t="s">
        <v>3962</v>
      </c>
      <c r="J715" s="13" t="s">
        <v>695</v>
      </c>
      <c r="K715" s="29" t="s">
        <v>3963</v>
      </c>
      <c r="M715" s="13">
        <v>29</v>
      </c>
      <c r="O715" s="15"/>
      <c r="Q715" s="13">
        <v>56</v>
      </c>
      <c r="R715" s="13">
        <v>12</v>
      </c>
      <c r="V715" s="13">
        <v>18</v>
      </c>
      <c r="W715" s="2">
        <f t="shared" si="66"/>
        <v>0.62068965517241381</v>
      </c>
      <c r="X715" s="13">
        <v>38</v>
      </c>
      <c r="Y715" s="13">
        <v>5.2</v>
      </c>
      <c r="AC715" s="13">
        <v>22</v>
      </c>
      <c r="AD715" s="13">
        <f t="shared" si="67"/>
        <v>0.75862068965517238</v>
      </c>
      <c r="AG715" s="13">
        <v>13</v>
      </c>
      <c r="BA715" s="16"/>
      <c r="BE715" s="16"/>
      <c r="BJ715" s="16"/>
      <c r="BN715" s="16" t="s">
        <v>2231</v>
      </c>
      <c r="CJ715" s="13" t="s">
        <v>3964</v>
      </c>
      <c r="CK715" s="13">
        <v>0.48</v>
      </c>
      <c r="CN715" s="13">
        <v>2.1999999999999999E-2</v>
      </c>
      <c r="CW715" s="13" t="s">
        <v>3598</v>
      </c>
      <c r="CX715" s="13" t="s">
        <v>3599</v>
      </c>
      <c r="CY715" s="13">
        <v>2024</v>
      </c>
      <c r="CZ715" s="13" t="s">
        <v>25</v>
      </c>
      <c r="DA715" s="13" t="s">
        <v>3600</v>
      </c>
      <c r="DB715" s="13">
        <v>45</v>
      </c>
      <c r="DC715" s="13">
        <v>4</v>
      </c>
      <c r="DD715" s="13" t="s">
        <v>3601</v>
      </c>
      <c r="DE715" s="13" t="s">
        <v>3277</v>
      </c>
    </row>
    <row r="716" spans="1:109" s="13" customFormat="1" ht="20">
      <c r="A716" s="13" t="s">
        <v>3423</v>
      </c>
      <c r="C716" s="13" t="s">
        <v>3351</v>
      </c>
      <c r="D716" s="14" t="s">
        <v>2757</v>
      </c>
      <c r="E716" s="13" t="s">
        <v>725</v>
      </c>
      <c r="F716" s="13" t="s">
        <v>3970</v>
      </c>
      <c r="G716" s="13" t="s">
        <v>3969</v>
      </c>
      <c r="H716" s="14" t="s">
        <v>703</v>
      </c>
      <c r="I716" s="14" t="s">
        <v>3965</v>
      </c>
      <c r="J716" s="13" t="s">
        <v>3967</v>
      </c>
      <c r="K716" s="13" t="s">
        <v>3968</v>
      </c>
      <c r="L716" s="13" t="s">
        <v>3971</v>
      </c>
      <c r="M716" s="13">
        <v>19</v>
      </c>
      <c r="O716" s="15"/>
      <c r="P716" s="13">
        <v>19</v>
      </c>
      <c r="W716" s="2"/>
      <c r="AC716" s="31" t="s">
        <v>2547</v>
      </c>
      <c r="BA716" s="16"/>
      <c r="BE716" s="16"/>
      <c r="BJ716" s="16"/>
      <c r="BN716" s="16"/>
      <c r="CW716" s="13" t="s">
        <v>3602</v>
      </c>
      <c r="CX716" s="13" t="s">
        <v>3603</v>
      </c>
      <c r="CY716" s="13">
        <v>2024</v>
      </c>
      <c r="CZ716" s="21">
        <v>45960</v>
      </c>
      <c r="DA716" s="13" t="s">
        <v>3445</v>
      </c>
      <c r="DB716" s="13">
        <v>14</v>
      </c>
      <c r="DC716" s="13">
        <v>11</v>
      </c>
      <c r="DE716" s="13" t="s">
        <v>3278</v>
      </c>
    </row>
    <row r="717" spans="1:109" s="13" customFormat="1" ht="20">
      <c r="A717" s="13" t="s">
        <v>3423</v>
      </c>
      <c r="C717" s="13" t="s">
        <v>3351</v>
      </c>
      <c r="D717" s="14" t="s">
        <v>2757</v>
      </c>
      <c r="E717" s="13" t="s">
        <v>725</v>
      </c>
      <c r="F717" s="13" t="s">
        <v>3970</v>
      </c>
      <c r="G717" s="13" t="s">
        <v>3969</v>
      </c>
      <c r="H717" s="14" t="s">
        <v>703</v>
      </c>
      <c r="I717" s="14" t="s">
        <v>3965</v>
      </c>
      <c r="J717" s="13" t="s">
        <v>3967</v>
      </c>
      <c r="K717" s="13" t="s">
        <v>3968</v>
      </c>
      <c r="L717" s="13" t="s">
        <v>3971</v>
      </c>
      <c r="M717" s="13">
        <v>35</v>
      </c>
      <c r="O717" s="15"/>
      <c r="P717" s="13">
        <v>35</v>
      </c>
      <c r="W717" s="2"/>
      <c r="AC717" s="31" t="s">
        <v>2547</v>
      </c>
      <c r="BA717" s="16"/>
      <c r="BE717" s="16"/>
      <c r="BJ717" s="16"/>
      <c r="BN717" s="16"/>
      <c r="CW717" s="13" t="s">
        <v>3602</v>
      </c>
      <c r="CX717" s="13" t="s">
        <v>3603</v>
      </c>
      <c r="CY717" s="13">
        <v>2024</v>
      </c>
      <c r="CZ717" s="21">
        <v>45960</v>
      </c>
      <c r="DA717" s="13" t="s">
        <v>3445</v>
      </c>
      <c r="DB717" s="13">
        <v>14</v>
      </c>
      <c r="DC717" s="13">
        <v>11</v>
      </c>
      <c r="DE717" s="13" t="s">
        <v>3278</v>
      </c>
    </row>
    <row r="718" spans="1:109" s="13" customFormat="1" ht="20">
      <c r="A718" s="14" t="s">
        <v>1918</v>
      </c>
      <c r="B718" s="14"/>
      <c r="C718" s="14" t="s">
        <v>1555</v>
      </c>
      <c r="D718" s="14" t="s">
        <v>2481</v>
      </c>
      <c r="E718" s="14" t="s">
        <v>674</v>
      </c>
      <c r="F718" s="14" t="s">
        <v>2720</v>
      </c>
      <c r="G718" s="14"/>
      <c r="H718" s="14" t="s">
        <v>703</v>
      </c>
      <c r="I718" s="37" t="s">
        <v>2915</v>
      </c>
      <c r="J718" s="14" t="s">
        <v>2916</v>
      </c>
      <c r="K718" s="14" t="s">
        <v>2917</v>
      </c>
      <c r="L718" s="14" t="s">
        <v>639</v>
      </c>
      <c r="M718" s="14">
        <v>79</v>
      </c>
      <c r="N718" s="14">
        <v>0</v>
      </c>
      <c r="O718" s="34"/>
      <c r="P718" s="14">
        <v>0</v>
      </c>
      <c r="Q718" s="14"/>
      <c r="R718" s="14"/>
      <c r="S718" s="14">
        <v>67</v>
      </c>
      <c r="T718" s="14">
        <v>61.5</v>
      </c>
      <c r="U718" s="14">
        <v>71</v>
      </c>
      <c r="V718" s="14">
        <v>40</v>
      </c>
      <c r="W718" s="14">
        <f t="shared" ref="W718:W724" si="68">V718/M718</f>
        <v>0.50632911392405067</v>
      </c>
      <c r="X718" s="14"/>
      <c r="Y718" s="14"/>
      <c r="Z718" s="14">
        <v>33</v>
      </c>
      <c r="AA718" s="14">
        <v>24</v>
      </c>
      <c r="AB718" s="14">
        <v>39</v>
      </c>
      <c r="AC718" s="14">
        <v>52</v>
      </c>
      <c r="AD718" s="34">
        <f>AC718/M718</f>
        <v>0.65822784810126578</v>
      </c>
      <c r="AE718" s="35"/>
      <c r="AF718" s="35"/>
      <c r="AG718" s="35">
        <v>21.7</v>
      </c>
      <c r="AH718" s="35">
        <v>15.2</v>
      </c>
      <c r="AI718" s="35">
        <v>32.6</v>
      </c>
      <c r="AJ718" s="35"/>
      <c r="AK718" s="35"/>
      <c r="AL718" s="35"/>
      <c r="AM718" s="35"/>
      <c r="AN718" s="35"/>
      <c r="AO718" s="35"/>
      <c r="AP718" s="35"/>
      <c r="AQ718" s="35"/>
      <c r="AR718" s="35"/>
      <c r="AS718" s="35"/>
      <c r="AT718" s="35"/>
      <c r="AU718" s="14" t="s">
        <v>2447</v>
      </c>
      <c r="AV718" s="14" t="s">
        <v>2490</v>
      </c>
      <c r="AW718" s="14"/>
      <c r="AX718" s="14" t="s">
        <v>2268</v>
      </c>
      <c r="AY718" s="14"/>
      <c r="AZ718" s="14"/>
      <c r="BA718" s="29"/>
      <c r="BB718" s="14"/>
      <c r="BC718" s="14"/>
      <c r="BD718" s="14"/>
      <c r="BE718" s="29"/>
      <c r="BF718" s="29"/>
      <c r="BG718" s="14"/>
      <c r="BH718" s="14"/>
      <c r="BI718" s="14"/>
      <c r="BJ718" s="29"/>
      <c r="BK718" s="14"/>
      <c r="BL718" s="14"/>
      <c r="BM718" s="14"/>
      <c r="BN718" s="14" t="s">
        <v>2231</v>
      </c>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t="s">
        <v>1552</v>
      </c>
      <c r="CX718" s="14" t="s">
        <v>1553</v>
      </c>
      <c r="CY718" s="14">
        <v>2020</v>
      </c>
      <c r="CZ718" s="36"/>
      <c r="DA718" s="14" t="s">
        <v>416</v>
      </c>
      <c r="DB718" s="14">
        <v>11</v>
      </c>
      <c r="DC718" s="14"/>
      <c r="DD718" s="14" t="s">
        <v>2157</v>
      </c>
      <c r="DE718" s="14" t="s">
        <v>1554</v>
      </c>
    </row>
    <row r="719" spans="1:109" s="13" customFormat="1" ht="20">
      <c r="A719" s="14" t="s">
        <v>1918</v>
      </c>
      <c r="B719" s="14"/>
      <c r="C719" s="14" t="s">
        <v>1555</v>
      </c>
      <c r="D719" s="14" t="s">
        <v>2481</v>
      </c>
      <c r="E719" s="14" t="s">
        <v>674</v>
      </c>
      <c r="F719" s="14" t="s">
        <v>2382</v>
      </c>
      <c r="G719" s="14"/>
      <c r="H719" s="14" t="s">
        <v>703</v>
      </c>
      <c r="I719" s="37" t="s">
        <v>2915</v>
      </c>
      <c r="J719" s="14" t="s">
        <v>2916</v>
      </c>
      <c r="K719" s="14" t="s">
        <v>2917</v>
      </c>
      <c r="L719" s="14" t="s">
        <v>639</v>
      </c>
      <c r="M719" s="14">
        <v>79</v>
      </c>
      <c r="N719" s="14">
        <v>0</v>
      </c>
      <c r="O719" s="34"/>
      <c r="P719" s="14">
        <v>0</v>
      </c>
      <c r="Q719" s="14"/>
      <c r="R719" s="14"/>
      <c r="S719" s="14">
        <v>67</v>
      </c>
      <c r="T719" s="14">
        <v>61.5</v>
      </c>
      <c r="U719" s="14">
        <v>71</v>
      </c>
      <c r="V719" s="14">
        <v>40</v>
      </c>
      <c r="W719" s="14">
        <f t="shared" si="68"/>
        <v>0.50632911392405067</v>
      </c>
      <c r="X719" s="14"/>
      <c r="Y719" s="14"/>
      <c r="Z719" s="14">
        <v>33</v>
      </c>
      <c r="AA719" s="14">
        <v>24</v>
      </c>
      <c r="AB719" s="14">
        <v>39</v>
      </c>
      <c r="AC719" s="14">
        <v>52</v>
      </c>
      <c r="AD719" s="34">
        <f>AC719/M719</f>
        <v>0.65822784810126578</v>
      </c>
      <c r="AE719" s="35"/>
      <c r="AF719" s="35"/>
      <c r="AG719" s="35">
        <v>21.7</v>
      </c>
      <c r="AH719" s="35">
        <v>15.2</v>
      </c>
      <c r="AI719" s="35">
        <v>32.6</v>
      </c>
      <c r="AJ719" s="35"/>
      <c r="AK719" s="35"/>
      <c r="AL719" s="35"/>
      <c r="AM719" s="35"/>
      <c r="AN719" s="35"/>
      <c r="AO719" s="35"/>
      <c r="AP719" s="35"/>
      <c r="AQ719" s="35"/>
      <c r="AR719" s="35"/>
      <c r="AS719" s="35"/>
      <c r="AT719" s="35"/>
      <c r="AU719" s="14" t="s">
        <v>2447</v>
      </c>
      <c r="AV719" s="14" t="s">
        <v>2490</v>
      </c>
      <c r="AW719" s="14"/>
      <c r="AX719" s="14" t="s">
        <v>2268</v>
      </c>
      <c r="AY719" s="14"/>
      <c r="AZ719" s="14"/>
      <c r="BA719" s="29"/>
      <c r="BB719" s="14"/>
      <c r="BC719" s="14"/>
      <c r="BD719" s="14"/>
      <c r="BE719" s="29"/>
      <c r="BF719" s="29"/>
      <c r="BG719" s="14"/>
      <c r="BH719" s="14"/>
      <c r="BI719" s="14"/>
      <c r="BJ719" s="29"/>
      <c r="BK719" s="14"/>
      <c r="BL719" s="14"/>
      <c r="BM719" s="14"/>
      <c r="BN719" s="14" t="s">
        <v>2231</v>
      </c>
      <c r="BO719" s="14"/>
      <c r="BP719" s="14"/>
      <c r="BQ719" s="14">
        <v>0.3</v>
      </c>
      <c r="BR719" s="14"/>
      <c r="BS719" s="14"/>
      <c r="BT719" s="14"/>
      <c r="BU719" s="14">
        <v>0.04</v>
      </c>
      <c r="BV719" s="14"/>
      <c r="BW719" s="14"/>
      <c r="BX719" s="14"/>
      <c r="BY719" s="14"/>
      <c r="BZ719" s="14"/>
      <c r="CA719" s="14"/>
      <c r="CB719" s="14"/>
      <c r="CC719" s="14">
        <v>-0.32</v>
      </c>
      <c r="CD719" s="14"/>
      <c r="CE719" s="14"/>
      <c r="CF719" s="14"/>
      <c r="CG719" s="14">
        <v>7.0000000000000001E-3</v>
      </c>
      <c r="CH719" s="14"/>
      <c r="CI719" s="14"/>
      <c r="CJ719" s="14"/>
      <c r="CK719" s="14"/>
      <c r="CL719" s="14"/>
      <c r="CM719" s="14"/>
      <c r="CN719" s="14"/>
      <c r="CO719" s="14"/>
      <c r="CP719" s="14"/>
      <c r="CQ719" s="14"/>
      <c r="CR719" s="14"/>
      <c r="CS719" s="14"/>
      <c r="CT719" s="14"/>
      <c r="CU719" s="14"/>
      <c r="CV719" s="14"/>
      <c r="CW719" s="14" t="s">
        <v>1552</v>
      </c>
      <c r="CX719" s="14" t="s">
        <v>1553</v>
      </c>
      <c r="CY719" s="14">
        <v>2020</v>
      </c>
      <c r="CZ719" s="36"/>
      <c r="DA719" s="14" t="s">
        <v>416</v>
      </c>
      <c r="DB719" s="14">
        <v>11</v>
      </c>
      <c r="DC719" s="14"/>
      <c r="DD719" s="14" t="s">
        <v>2157</v>
      </c>
      <c r="DE719" s="14" t="s">
        <v>1554</v>
      </c>
    </row>
    <row r="720" spans="1:109" s="13" customFormat="1" ht="20">
      <c r="A720" s="14" t="s">
        <v>1918</v>
      </c>
      <c r="B720" s="14"/>
      <c r="C720" s="14" t="s">
        <v>1555</v>
      </c>
      <c r="D720" s="14" t="s">
        <v>2481</v>
      </c>
      <c r="E720" s="14" t="s">
        <v>674</v>
      </c>
      <c r="F720" s="14" t="s">
        <v>2717</v>
      </c>
      <c r="G720" s="14"/>
      <c r="H720" s="14" t="s">
        <v>703</v>
      </c>
      <c r="I720" s="37" t="s">
        <v>2915</v>
      </c>
      <c r="J720" s="14" t="s">
        <v>2916</v>
      </c>
      <c r="K720" s="14" t="s">
        <v>2917</v>
      </c>
      <c r="L720" s="14" t="s">
        <v>639</v>
      </c>
      <c r="M720" s="14">
        <v>79</v>
      </c>
      <c r="N720" s="14">
        <v>0</v>
      </c>
      <c r="O720" s="34"/>
      <c r="P720" s="14">
        <v>0</v>
      </c>
      <c r="Q720" s="14"/>
      <c r="R720" s="14"/>
      <c r="S720" s="14">
        <v>67</v>
      </c>
      <c r="T720" s="14">
        <v>61.5</v>
      </c>
      <c r="U720" s="14">
        <v>71</v>
      </c>
      <c r="V720" s="14">
        <v>40</v>
      </c>
      <c r="W720" s="14">
        <f t="shared" si="68"/>
        <v>0.50632911392405067</v>
      </c>
      <c r="X720" s="14"/>
      <c r="Y720" s="14"/>
      <c r="Z720" s="14">
        <v>33</v>
      </c>
      <c r="AA720" s="14">
        <v>24</v>
      </c>
      <c r="AB720" s="14">
        <v>39</v>
      </c>
      <c r="AC720" s="14">
        <v>52</v>
      </c>
      <c r="AD720" s="34">
        <f>AC720/M720</f>
        <v>0.65822784810126578</v>
      </c>
      <c r="AE720" s="35"/>
      <c r="AF720" s="35"/>
      <c r="AG720" s="35">
        <v>21.7</v>
      </c>
      <c r="AH720" s="35">
        <v>15.2</v>
      </c>
      <c r="AI720" s="35">
        <v>32.6</v>
      </c>
      <c r="AJ720" s="35"/>
      <c r="AK720" s="35"/>
      <c r="AL720" s="35"/>
      <c r="AM720" s="35"/>
      <c r="AN720" s="35"/>
      <c r="AO720" s="35"/>
      <c r="AP720" s="35"/>
      <c r="AQ720" s="35"/>
      <c r="AR720" s="35"/>
      <c r="AS720" s="35"/>
      <c r="AT720" s="35"/>
      <c r="AU720" s="14" t="s">
        <v>2447</v>
      </c>
      <c r="AV720" s="14" t="s">
        <v>2490</v>
      </c>
      <c r="AW720" s="14"/>
      <c r="AX720" s="14" t="s">
        <v>2268</v>
      </c>
      <c r="AY720" s="14"/>
      <c r="AZ720" s="14"/>
      <c r="BA720" s="29"/>
      <c r="BB720" s="14"/>
      <c r="BC720" s="14"/>
      <c r="BD720" s="14"/>
      <c r="BE720" s="29"/>
      <c r="BF720" s="29"/>
      <c r="BG720" s="14"/>
      <c r="BH720" s="14"/>
      <c r="BI720" s="14"/>
      <c r="BJ720" s="29"/>
      <c r="BK720" s="14"/>
      <c r="BL720" s="14"/>
      <c r="BM720" s="14"/>
      <c r="BN720" s="14" t="s">
        <v>2231</v>
      </c>
      <c r="BO720" s="14"/>
      <c r="BP720" s="14"/>
      <c r="BQ720" s="14">
        <v>0.35</v>
      </c>
      <c r="BR720" s="14"/>
      <c r="BS720" s="14"/>
      <c r="BT720" s="14"/>
      <c r="BU720" s="14">
        <v>1.4E-2</v>
      </c>
      <c r="BV720" s="14"/>
      <c r="BW720" s="14"/>
      <c r="BX720" s="14"/>
      <c r="BY720" s="14"/>
      <c r="BZ720" s="14"/>
      <c r="CA720" s="1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t="s">
        <v>1552</v>
      </c>
      <c r="CX720" s="14" t="s">
        <v>1553</v>
      </c>
      <c r="CY720" s="14">
        <v>2020</v>
      </c>
      <c r="CZ720" s="36"/>
      <c r="DA720" s="14" t="s">
        <v>416</v>
      </c>
      <c r="DB720" s="14">
        <v>11</v>
      </c>
      <c r="DC720" s="14"/>
      <c r="DD720" s="14" t="s">
        <v>2157</v>
      </c>
      <c r="DE720" s="14" t="s">
        <v>1554</v>
      </c>
    </row>
    <row r="721" spans="1:109" s="13" customFormat="1" ht="20">
      <c r="A721" s="14" t="s">
        <v>1918</v>
      </c>
      <c r="B721" s="14"/>
      <c r="C721" s="14" t="s">
        <v>1555</v>
      </c>
      <c r="D721" s="14" t="s">
        <v>2481</v>
      </c>
      <c r="E721" s="14" t="s">
        <v>674</v>
      </c>
      <c r="F721" s="14" t="s">
        <v>2726</v>
      </c>
      <c r="G721" s="14"/>
      <c r="H721" s="14" t="s">
        <v>703</v>
      </c>
      <c r="I721" s="37" t="s">
        <v>2915</v>
      </c>
      <c r="J721" s="14" t="s">
        <v>2916</v>
      </c>
      <c r="K721" s="14" t="s">
        <v>2917</v>
      </c>
      <c r="L721" s="14" t="s">
        <v>639</v>
      </c>
      <c r="M721" s="14">
        <v>79</v>
      </c>
      <c r="N721" s="14">
        <v>0</v>
      </c>
      <c r="O721" s="34"/>
      <c r="P721" s="14">
        <v>0</v>
      </c>
      <c r="Q721" s="14"/>
      <c r="R721" s="14"/>
      <c r="S721" s="14">
        <v>67</v>
      </c>
      <c r="T721" s="14">
        <v>61.5</v>
      </c>
      <c r="U721" s="14">
        <v>71</v>
      </c>
      <c r="V721" s="14">
        <v>40</v>
      </c>
      <c r="W721" s="14">
        <f t="shared" si="68"/>
        <v>0.50632911392405067</v>
      </c>
      <c r="X721" s="14"/>
      <c r="Y721" s="14"/>
      <c r="Z721" s="14">
        <v>33</v>
      </c>
      <c r="AA721" s="14">
        <v>24</v>
      </c>
      <c r="AB721" s="14">
        <v>39</v>
      </c>
      <c r="AC721" s="14">
        <v>52</v>
      </c>
      <c r="AD721" s="34">
        <f>AC721/M721</f>
        <v>0.65822784810126578</v>
      </c>
      <c r="AE721" s="35"/>
      <c r="AF721" s="35"/>
      <c r="AG721" s="35">
        <v>21.7</v>
      </c>
      <c r="AH721" s="35">
        <v>15.2</v>
      </c>
      <c r="AI721" s="35">
        <v>32.6</v>
      </c>
      <c r="AJ721" s="35"/>
      <c r="AK721" s="35"/>
      <c r="AL721" s="35"/>
      <c r="AM721" s="35"/>
      <c r="AN721" s="35"/>
      <c r="AO721" s="35"/>
      <c r="AP721" s="35"/>
      <c r="AQ721" s="35"/>
      <c r="AR721" s="35"/>
      <c r="AS721" s="35"/>
      <c r="AT721" s="35"/>
      <c r="AU721" s="14" t="s">
        <v>2447</v>
      </c>
      <c r="AV721" s="14" t="s">
        <v>2490</v>
      </c>
      <c r="AW721" s="14"/>
      <c r="AX721" s="14" t="s">
        <v>2268</v>
      </c>
      <c r="AY721" s="14"/>
      <c r="AZ721" s="14"/>
      <c r="BA721" s="29"/>
      <c r="BB721" s="14"/>
      <c r="BC721" s="14"/>
      <c r="BD721" s="14"/>
      <c r="BE721" s="29"/>
      <c r="BF721" s="29"/>
      <c r="BG721" s="14"/>
      <c r="BH721" s="14"/>
      <c r="BI721" s="14"/>
      <c r="BJ721" s="29"/>
      <c r="BK721" s="14"/>
      <c r="BL721" s="14"/>
      <c r="BM721" s="14"/>
      <c r="BN721" s="14" t="s">
        <v>2231</v>
      </c>
      <c r="BO721" s="14"/>
      <c r="BP721" s="14"/>
      <c r="BQ721" s="14">
        <v>0.36</v>
      </c>
      <c r="BR721" s="14"/>
      <c r="BS721" s="14"/>
      <c r="BT721" s="14"/>
      <c r="BU721" s="14">
        <v>1.0999999999999999E-2</v>
      </c>
      <c r="BV721" s="14"/>
      <c r="BW721" s="14"/>
      <c r="BX721" s="14"/>
      <c r="BY721" s="14"/>
      <c r="BZ721" s="14"/>
      <c r="CA721" s="1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t="s">
        <v>1552</v>
      </c>
      <c r="CX721" s="14" t="s">
        <v>1553</v>
      </c>
      <c r="CY721" s="14">
        <v>2020</v>
      </c>
      <c r="CZ721" s="36"/>
      <c r="DA721" s="14" t="s">
        <v>416</v>
      </c>
      <c r="DB721" s="14">
        <v>11</v>
      </c>
      <c r="DC721" s="14"/>
      <c r="DD721" s="14" t="s">
        <v>2157</v>
      </c>
      <c r="DE721" s="14" t="s">
        <v>1554</v>
      </c>
    </row>
    <row r="722" spans="1:109" s="13" customFormat="1" ht="20">
      <c r="A722" s="14" t="s">
        <v>1918</v>
      </c>
      <c r="B722" s="14"/>
      <c r="C722" s="14" t="s">
        <v>1555</v>
      </c>
      <c r="D722" s="14" t="s">
        <v>2481</v>
      </c>
      <c r="E722" s="14" t="s">
        <v>674</v>
      </c>
      <c r="F722" s="14" t="s">
        <v>2556</v>
      </c>
      <c r="G722" s="14"/>
      <c r="H722" s="14" t="s">
        <v>703</v>
      </c>
      <c r="I722" s="37" t="s">
        <v>2915</v>
      </c>
      <c r="J722" s="14" t="s">
        <v>2916</v>
      </c>
      <c r="K722" s="14" t="s">
        <v>2917</v>
      </c>
      <c r="L722" s="14" t="s">
        <v>639</v>
      </c>
      <c r="M722" s="14">
        <v>79</v>
      </c>
      <c r="N722" s="14">
        <v>0</v>
      </c>
      <c r="O722" s="34"/>
      <c r="P722" s="14">
        <v>0</v>
      </c>
      <c r="Q722" s="14"/>
      <c r="R722" s="14"/>
      <c r="S722" s="14">
        <v>67</v>
      </c>
      <c r="T722" s="14">
        <v>61.5</v>
      </c>
      <c r="U722" s="14">
        <v>71</v>
      </c>
      <c r="V722" s="14">
        <v>40</v>
      </c>
      <c r="W722" s="14">
        <f t="shared" si="68"/>
        <v>0.50632911392405067</v>
      </c>
      <c r="X722" s="14"/>
      <c r="Y722" s="14"/>
      <c r="Z722" s="14">
        <v>33</v>
      </c>
      <c r="AA722" s="14">
        <v>24</v>
      </c>
      <c r="AB722" s="14">
        <v>39</v>
      </c>
      <c r="AC722" s="14">
        <v>52</v>
      </c>
      <c r="AD722" s="34">
        <f>AC722/M722</f>
        <v>0.65822784810126578</v>
      </c>
      <c r="AE722" s="35"/>
      <c r="AF722" s="35"/>
      <c r="AG722" s="35">
        <v>21.7</v>
      </c>
      <c r="AH722" s="35">
        <v>15.2</v>
      </c>
      <c r="AI722" s="35">
        <v>32.6</v>
      </c>
      <c r="AJ722" s="35"/>
      <c r="AK722" s="35"/>
      <c r="AL722" s="35"/>
      <c r="AM722" s="35"/>
      <c r="AN722" s="35"/>
      <c r="AO722" s="35"/>
      <c r="AP722" s="35"/>
      <c r="AQ722" s="35"/>
      <c r="AR722" s="35"/>
      <c r="AS722" s="35"/>
      <c r="AT722" s="35"/>
      <c r="AU722" s="14" t="s">
        <v>2447</v>
      </c>
      <c r="AV722" s="14" t="s">
        <v>2490</v>
      </c>
      <c r="AW722" s="14"/>
      <c r="AX722" s="14" t="s">
        <v>2268</v>
      </c>
      <c r="AY722" s="14"/>
      <c r="AZ722" s="14"/>
      <c r="BA722" s="29"/>
      <c r="BB722" s="14"/>
      <c r="BC722" s="14"/>
      <c r="BD722" s="14"/>
      <c r="BE722" s="29"/>
      <c r="BF722" s="29"/>
      <c r="BG722" s="14"/>
      <c r="BH722" s="14"/>
      <c r="BI722" s="14"/>
      <c r="BJ722" s="29"/>
      <c r="BK722" s="14"/>
      <c r="BL722" s="14"/>
      <c r="BM722" s="14"/>
      <c r="BN722" s="14" t="s">
        <v>2231</v>
      </c>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t="s">
        <v>1552</v>
      </c>
      <c r="CX722" s="14" t="s">
        <v>1553</v>
      </c>
      <c r="CY722" s="14">
        <v>2020</v>
      </c>
      <c r="CZ722" s="36"/>
      <c r="DA722" s="14" t="s">
        <v>416</v>
      </c>
      <c r="DB722" s="14">
        <v>11</v>
      </c>
      <c r="DC722" s="14"/>
      <c r="DD722" s="14" t="s">
        <v>2157</v>
      </c>
      <c r="DE722" s="14" t="s">
        <v>1554</v>
      </c>
    </row>
    <row r="723" spans="1:109" s="13" customFormat="1" ht="20">
      <c r="A723" s="14" t="s">
        <v>2017</v>
      </c>
      <c r="B723" s="14"/>
      <c r="C723" s="14" t="s">
        <v>2018</v>
      </c>
      <c r="D723" s="14" t="s">
        <v>825</v>
      </c>
      <c r="E723" s="14" t="s">
        <v>672</v>
      </c>
      <c r="F723" s="14" t="s">
        <v>2019</v>
      </c>
      <c r="G723" s="14"/>
      <c r="H723" s="14" t="s">
        <v>703</v>
      </c>
      <c r="I723" s="14" t="s">
        <v>2927</v>
      </c>
      <c r="J723" s="14" t="s">
        <v>585</v>
      </c>
      <c r="K723" s="14"/>
      <c r="L723" s="14" t="s">
        <v>639</v>
      </c>
      <c r="M723" s="14">
        <v>30</v>
      </c>
      <c r="N723" s="14">
        <v>4</v>
      </c>
      <c r="O723" s="34"/>
      <c r="P723" s="14"/>
      <c r="Q723" s="14">
        <v>58</v>
      </c>
      <c r="R723" s="14">
        <v>13.5</v>
      </c>
      <c r="S723" s="14"/>
      <c r="T723" s="14"/>
      <c r="U723" s="14"/>
      <c r="V723" s="14">
        <v>17</v>
      </c>
      <c r="W723" s="14">
        <f t="shared" si="68"/>
        <v>0.56666666666666665</v>
      </c>
      <c r="X723" s="14"/>
      <c r="Y723" s="14"/>
      <c r="Z723" s="14"/>
      <c r="AA723" s="14"/>
      <c r="AB723" s="14"/>
      <c r="AC723" s="14"/>
      <c r="AD723" s="34"/>
      <c r="AE723" s="35">
        <v>20</v>
      </c>
      <c r="AF723" s="35">
        <v>10</v>
      </c>
      <c r="AG723" s="35"/>
      <c r="AH723" s="35"/>
      <c r="AI723" s="35"/>
      <c r="AJ723" s="35"/>
      <c r="AK723" s="35"/>
      <c r="AL723" s="35"/>
      <c r="AM723" s="35"/>
      <c r="AN723" s="35"/>
      <c r="AO723" s="35"/>
      <c r="AP723" s="35"/>
      <c r="AQ723" s="35"/>
      <c r="AR723" s="35"/>
      <c r="AS723" s="35"/>
      <c r="AT723" s="35"/>
      <c r="AU723" s="14"/>
      <c r="AV723" s="14"/>
      <c r="AW723" s="14"/>
      <c r="AX723" s="14"/>
      <c r="AY723" s="14"/>
      <c r="AZ723" s="14"/>
      <c r="BA723" s="29"/>
      <c r="BB723" s="14"/>
      <c r="BC723" s="14"/>
      <c r="BD723" s="14"/>
      <c r="BE723" s="29"/>
      <c r="BF723" s="29"/>
      <c r="BG723" s="14"/>
      <c r="BH723" s="14"/>
      <c r="BI723" s="14"/>
      <c r="BJ723" s="29"/>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t="s">
        <v>2096</v>
      </c>
      <c r="CX723" s="14" t="s">
        <v>2097</v>
      </c>
      <c r="CY723" s="14">
        <v>2020</v>
      </c>
      <c r="CZ723" s="36" t="s">
        <v>162</v>
      </c>
      <c r="DA723" s="14" t="s">
        <v>1514</v>
      </c>
      <c r="DB723" s="14">
        <v>62</v>
      </c>
      <c r="DC723" s="14"/>
      <c r="DD723" s="14" t="s">
        <v>2156</v>
      </c>
      <c r="DE723" s="14" t="s">
        <v>2098</v>
      </c>
    </row>
    <row r="724" spans="1:109" s="13" customFormat="1" ht="20">
      <c r="A724" s="14" t="s">
        <v>2126</v>
      </c>
      <c r="B724" s="14" t="s">
        <v>1745</v>
      </c>
      <c r="C724" s="14" t="s">
        <v>501</v>
      </c>
      <c r="D724" s="14" t="s">
        <v>1015</v>
      </c>
      <c r="E724" s="14" t="s">
        <v>672</v>
      </c>
      <c r="F724" s="14" t="s">
        <v>1014</v>
      </c>
      <c r="G724" s="14"/>
      <c r="H724" s="14" t="s">
        <v>855</v>
      </c>
      <c r="I724" s="14" t="s">
        <v>4099</v>
      </c>
      <c r="J724" s="14" t="s">
        <v>1016</v>
      </c>
      <c r="K724" s="14"/>
      <c r="L724" s="14" t="s">
        <v>641</v>
      </c>
      <c r="M724" s="14">
        <v>45</v>
      </c>
      <c r="N724" s="14"/>
      <c r="O724" s="34"/>
      <c r="P724" s="14"/>
      <c r="Q724" s="14">
        <v>70.2</v>
      </c>
      <c r="R724" s="14">
        <v>8.5</v>
      </c>
      <c r="S724" s="14"/>
      <c r="T724" s="14"/>
      <c r="U724" s="14"/>
      <c r="V724" s="14">
        <v>21</v>
      </c>
      <c r="W724" s="14">
        <f t="shared" si="68"/>
        <v>0.46666666666666667</v>
      </c>
      <c r="X724" s="14">
        <v>36.1</v>
      </c>
      <c r="Y724" s="14">
        <v>8.1999999999999993</v>
      </c>
      <c r="Z724" s="14"/>
      <c r="AA724" s="14"/>
      <c r="AB724" s="14"/>
      <c r="AC724" s="14">
        <v>30</v>
      </c>
      <c r="AD724" s="34">
        <f>AC724/M724</f>
        <v>0.66666666666666663</v>
      </c>
      <c r="AE724" s="35">
        <v>14.8</v>
      </c>
      <c r="AF724" s="35">
        <v>11.1</v>
      </c>
      <c r="AG724" s="35"/>
      <c r="AH724" s="35"/>
      <c r="AI724" s="35"/>
      <c r="AJ724" s="35"/>
      <c r="AK724" s="35"/>
      <c r="AL724" s="35"/>
      <c r="AM724" s="35"/>
      <c r="AN724" s="35"/>
      <c r="AO724" s="35"/>
      <c r="AP724" s="35"/>
      <c r="AQ724" s="35"/>
      <c r="AR724" s="35"/>
      <c r="AS724" s="35"/>
      <c r="AT724" s="35"/>
      <c r="AU724" s="14"/>
      <c r="AV724" s="14"/>
      <c r="AW724" s="14"/>
      <c r="AX724" s="14"/>
      <c r="AY724" s="14"/>
      <c r="AZ724" s="14"/>
      <c r="BA724" s="29"/>
      <c r="BB724" s="14"/>
      <c r="BC724" s="14"/>
      <c r="BD724" s="14"/>
      <c r="BE724" s="29"/>
      <c r="BF724" s="29"/>
      <c r="BG724" s="14"/>
      <c r="BH724" s="14"/>
      <c r="BI724" s="14"/>
      <c r="BJ724" s="29"/>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t="s">
        <v>498</v>
      </c>
      <c r="CX724" s="14" t="s">
        <v>499</v>
      </c>
      <c r="CY724" s="14">
        <v>2021</v>
      </c>
      <c r="CZ724" s="36">
        <v>45620</v>
      </c>
      <c r="DA724" s="14" t="s">
        <v>61</v>
      </c>
      <c r="DB724" s="14">
        <v>11</v>
      </c>
      <c r="DC724" s="14">
        <v>1</v>
      </c>
      <c r="DD724" s="14" t="s">
        <v>2155</v>
      </c>
      <c r="DE724" s="14" t="s">
        <v>500</v>
      </c>
    </row>
    <row r="725" spans="1:109" s="13" customFormat="1" ht="20">
      <c r="A725" s="13" t="s">
        <v>3424</v>
      </c>
      <c r="C725" s="13" t="s">
        <v>3352</v>
      </c>
      <c r="D725" s="23" t="s">
        <v>4178</v>
      </c>
      <c r="F725" s="13" t="s">
        <v>3886</v>
      </c>
      <c r="H725" s="14"/>
      <c r="O725" s="15"/>
      <c r="W725" s="2"/>
      <c r="BA725" s="16"/>
      <c r="BE725" s="16"/>
      <c r="BJ725" s="16"/>
      <c r="BN725" s="16"/>
      <c r="CW725" s="13" t="s">
        <v>3604</v>
      </c>
      <c r="CX725" s="13" t="s">
        <v>3605</v>
      </c>
      <c r="CY725" s="13">
        <v>2024</v>
      </c>
      <c r="CZ725" s="21">
        <v>45931</v>
      </c>
      <c r="DA725" s="13" t="s">
        <v>1363</v>
      </c>
      <c r="DB725" s="13">
        <v>200</v>
      </c>
      <c r="DD725" s="13">
        <v>106639</v>
      </c>
      <c r="DE725" s="13" t="s">
        <v>3279</v>
      </c>
    </row>
    <row r="726" spans="1:109" s="13" customFormat="1" ht="20">
      <c r="A726" s="14" t="s">
        <v>1920</v>
      </c>
      <c r="B726" s="14" t="s">
        <v>1747</v>
      </c>
      <c r="C726" s="14" t="s">
        <v>511</v>
      </c>
      <c r="D726" s="14" t="s">
        <v>898</v>
      </c>
      <c r="E726" s="14" t="s">
        <v>672</v>
      </c>
      <c r="F726" s="14" t="s">
        <v>675</v>
      </c>
      <c r="G726" s="14"/>
      <c r="H726" s="14" t="s">
        <v>703</v>
      </c>
      <c r="I726" s="14" t="s">
        <v>2924</v>
      </c>
      <c r="J726" s="14" t="s">
        <v>652</v>
      </c>
      <c r="K726" s="14"/>
      <c r="L726" s="14" t="s">
        <v>639</v>
      </c>
      <c r="M726" s="14">
        <v>114</v>
      </c>
      <c r="N726" s="14"/>
      <c r="O726" s="34"/>
      <c r="P726" s="14">
        <v>28</v>
      </c>
      <c r="Q726" s="14"/>
      <c r="R726" s="14"/>
      <c r="S726" s="14">
        <v>65</v>
      </c>
      <c r="T726" s="14">
        <v>56</v>
      </c>
      <c r="U726" s="14">
        <v>74</v>
      </c>
      <c r="V726" s="14"/>
      <c r="W726" s="14">
        <v>0.60199999999999998</v>
      </c>
      <c r="X726" s="14"/>
      <c r="Y726" s="14"/>
      <c r="Z726" s="14">
        <v>41</v>
      </c>
      <c r="AA726" s="14">
        <v>34.5</v>
      </c>
      <c r="AB726" s="14">
        <v>44</v>
      </c>
      <c r="AC726" s="14"/>
      <c r="AD726" s="34">
        <v>0.66100000000000003</v>
      </c>
      <c r="AE726" s="35"/>
      <c r="AF726" s="35"/>
      <c r="AG726" s="35">
        <v>16</v>
      </c>
      <c r="AH726" s="35">
        <v>9</v>
      </c>
      <c r="AI726" s="35">
        <v>27</v>
      </c>
      <c r="AJ726" s="35"/>
      <c r="AK726" s="35"/>
      <c r="AL726" s="35"/>
      <c r="AM726" s="35"/>
      <c r="AN726" s="35"/>
      <c r="AO726" s="35"/>
      <c r="AP726" s="35"/>
      <c r="AQ726" s="35"/>
      <c r="AR726" s="35"/>
      <c r="AS726" s="35"/>
      <c r="AT726" s="35">
        <v>72</v>
      </c>
      <c r="AU726" s="14" t="s">
        <v>2449</v>
      </c>
      <c r="AV726" s="14" t="s">
        <v>2380</v>
      </c>
      <c r="AW726" s="14"/>
      <c r="AX726" s="14">
        <v>2.5670000000000002</v>
      </c>
      <c r="AY726" s="14">
        <v>1.744</v>
      </c>
      <c r="AZ726" s="14">
        <v>3.7789999999999999</v>
      </c>
      <c r="BA726" s="29"/>
      <c r="BB726" s="14"/>
      <c r="BC726" s="14"/>
      <c r="BD726" s="14"/>
      <c r="BE726" s="29" t="s">
        <v>2925</v>
      </c>
      <c r="BF726" s="29"/>
      <c r="BG726" s="14">
        <v>2.44</v>
      </c>
      <c r="BH726" s="14">
        <v>1.52</v>
      </c>
      <c r="BI726" s="14">
        <v>3.9</v>
      </c>
      <c r="BJ726" s="29" t="s">
        <v>4107</v>
      </c>
      <c r="BK726" s="14">
        <v>4.58</v>
      </c>
      <c r="BL726" s="14">
        <v>1.57</v>
      </c>
      <c r="BM726" s="14">
        <v>13.4</v>
      </c>
      <c r="BN726" s="14" t="s">
        <v>2231</v>
      </c>
      <c r="BO726" s="14" t="s">
        <v>2800</v>
      </c>
      <c r="BP726" s="14"/>
      <c r="BQ726" s="14">
        <v>0.49299999999999999</v>
      </c>
      <c r="BR726" s="14"/>
      <c r="BS726" s="14"/>
      <c r="BT726" s="14"/>
      <c r="BU726" s="14" t="s">
        <v>701</v>
      </c>
      <c r="BV726" s="14"/>
      <c r="BW726" s="14"/>
      <c r="BX726" s="14"/>
      <c r="BY726" s="14"/>
      <c r="BZ726" s="14"/>
      <c r="CA726" s="14"/>
      <c r="CB726" s="14"/>
      <c r="CC726" s="14">
        <v>-0.20599999999999999</v>
      </c>
      <c r="CD726" s="14"/>
      <c r="CE726" s="14"/>
      <c r="CF726" s="14"/>
      <c r="CG726" s="14">
        <v>2.3E-2</v>
      </c>
      <c r="CH726" s="14"/>
      <c r="CI726" s="14"/>
      <c r="CJ726" s="14"/>
      <c r="CK726" s="14"/>
      <c r="CL726" s="14"/>
      <c r="CM726" s="14"/>
      <c r="CN726" s="14"/>
      <c r="CO726" s="14"/>
      <c r="CP726" s="14"/>
      <c r="CQ726" s="14"/>
      <c r="CR726" s="14"/>
      <c r="CS726" s="14"/>
      <c r="CT726" s="14"/>
      <c r="CU726" s="14"/>
      <c r="CV726" s="14" t="s">
        <v>2926</v>
      </c>
      <c r="CW726" s="14" t="s">
        <v>507</v>
      </c>
      <c r="CX726" s="14" t="s">
        <v>508</v>
      </c>
      <c r="CY726" s="14">
        <v>2021</v>
      </c>
      <c r="CZ726" s="36"/>
      <c r="DA726" s="14" t="s">
        <v>509</v>
      </c>
      <c r="DB726" s="14">
        <v>13</v>
      </c>
      <c r="DC726" s="14"/>
      <c r="DD726" s="14" t="s">
        <v>2154</v>
      </c>
      <c r="DE726" s="14" t="s">
        <v>510</v>
      </c>
    </row>
    <row r="727" spans="1:109" s="13" customFormat="1" ht="20">
      <c r="A727" s="14" t="s">
        <v>1920</v>
      </c>
      <c r="B727" s="14" t="s">
        <v>1747</v>
      </c>
      <c r="C727" s="14" t="s">
        <v>511</v>
      </c>
      <c r="D727" s="14" t="s">
        <v>898</v>
      </c>
      <c r="E727" s="14" t="s">
        <v>674</v>
      </c>
      <c r="F727" s="14" t="s">
        <v>675</v>
      </c>
      <c r="G727" s="14"/>
      <c r="H727" s="14" t="s">
        <v>703</v>
      </c>
      <c r="I727" s="14" t="s">
        <v>2924</v>
      </c>
      <c r="J727" s="14" t="s">
        <v>652</v>
      </c>
      <c r="K727" s="14"/>
      <c r="L727" s="14" t="s">
        <v>639</v>
      </c>
      <c r="M727" s="14">
        <v>170</v>
      </c>
      <c r="N727" s="14"/>
      <c r="O727" s="34"/>
      <c r="P727" s="14">
        <v>28</v>
      </c>
      <c r="Q727" s="14"/>
      <c r="R727" s="14"/>
      <c r="S727" s="14">
        <v>65</v>
      </c>
      <c r="T727" s="14">
        <v>56</v>
      </c>
      <c r="U727" s="14">
        <v>74</v>
      </c>
      <c r="V727" s="14"/>
      <c r="W727" s="14">
        <v>0.60199999999999998</v>
      </c>
      <c r="X727" s="14"/>
      <c r="Y727" s="14"/>
      <c r="Z727" s="14">
        <v>41</v>
      </c>
      <c r="AA727" s="14">
        <v>34.5</v>
      </c>
      <c r="AB727" s="14">
        <v>44</v>
      </c>
      <c r="AC727" s="14"/>
      <c r="AD727" s="34">
        <v>0.66100000000000003</v>
      </c>
      <c r="AE727" s="35"/>
      <c r="AF727" s="35"/>
      <c r="AG727" s="35">
        <v>16</v>
      </c>
      <c r="AH727" s="35">
        <v>9</v>
      </c>
      <c r="AI727" s="35">
        <v>27</v>
      </c>
      <c r="AJ727" s="35"/>
      <c r="AK727" s="35"/>
      <c r="AL727" s="35"/>
      <c r="AM727" s="35"/>
      <c r="AN727" s="35"/>
      <c r="AO727" s="35"/>
      <c r="AP727" s="35"/>
      <c r="AQ727" s="35"/>
      <c r="AR727" s="35"/>
      <c r="AS727" s="35"/>
      <c r="AT727" s="35">
        <v>72</v>
      </c>
      <c r="AU727" s="14" t="s">
        <v>2449</v>
      </c>
      <c r="AV727" s="14" t="s">
        <v>2380</v>
      </c>
      <c r="AW727" s="14"/>
      <c r="AX727" s="14">
        <v>2.7450000000000001</v>
      </c>
      <c r="AY727" s="14">
        <v>1.887</v>
      </c>
      <c r="AZ727" s="14">
        <v>3.992</v>
      </c>
      <c r="BA727" s="29"/>
      <c r="BB727" s="14"/>
      <c r="BC727" s="14"/>
      <c r="BD727" s="14"/>
      <c r="BE727" s="29" t="s">
        <v>2925</v>
      </c>
      <c r="BF727" s="29"/>
      <c r="BG727" s="14">
        <v>2.06</v>
      </c>
      <c r="BH727" s="14">
        <v>1.31</v>
      </c>
      <c r="BI727" s="14">
        <v>3.22</v>
      </c>
      <c r="BJ727" s="29" t="s">
        <v>4107</v>
      </c>
      <c r="BK727" s="14">
        <v>2.59</v>
      </c>
      <c r="BL727" s="14">
        <v>1.2</v>
      </c>
      <c r="BM727" s="14">
        <v>5.5890000000000004</v>
      </c>
      <c r="BN727" s="14" t="s">
        <v>2231</v>
      </c>
      <c r="BO727" s="14" t="s">
        <v>2800</v>
      </c>
      <c r="BP727" s="14"/>
      <c r="BQ727" s="14">
        <v>0.52500000000000002</v>
      </c>
      <c r="BR727" s="14"/>
      <c r="BS727" s="14"/>
      <c r="BT727" s="14"/>
      <c r="BU727" s="14" t="s">
        <v>701</v>
      </c>
      <c r="BV727" s="14"/>
      <c r="BW727" s="14"/>
      <c r="BX727" s="14"/>
      <c r="BY727" s="14"/>
      <c r="BZ727" s="14"/>
      <c r="CA727" s="14"/>
      <c r="CB727" s="14"/>
      <c r="CC727" s="14">
        <v>-0.217</v>
      </c>
      <c r="CD727" s="14"/>
      <c r="CE727" s="14"/>
      <c r="CF727" s="14"/>
      <c r="CG727" s="14">
        <v>6.0000000000000001E-3</v>
      </c>
      <c r="CH727" s="14"/>
      <c r="CI727" s="14"/>
      <c r="CJ727" s="14"/>
      <c r="CK727" s="14"/>
      <c r="CL727" s="14"/>
      <c r="CM727" s="14"/>
      <c r="CN727" s="14"/>
      <c r="CO727" s="14"/>
      <c r="CP727" s="14"/>
      <c r="CQ727" s="14"/>
      <c r="CR727" s="14"/>
      <c r="CS727" s="14"/>
      <c r="CT727" s="14"/>
      <c r="CU727" s="14"/>
      <c r="CV727" s="14" t="s">
        <v>2926</v>
      </c>
      <c r="CW727" s="14" t="s">
        <v>507</v>
      </c>
      <c r="CX727" s="14" t="s">
        <v>508</v>
      </c>
      <c r="CY727" s="14">
        <v>2021</v>
      </c>
      <c r="CZ727" s="36"/>
      <c r="DA727" s="14" t="s">
        <v>509</v>
      </c>
      <c r="DB727" s="14">
        <v>13</v>
      </c>
      <c r="DC727" s="14"/>
      <c r="DD727" s="14" t="s">
        <v>2154</v>
      </c>
      <c r="DE727" s="14" t="s">
        <v>510</v>
      </c>
    </row>
    <row r="728" spans="1:109" s="13" customFormat="1" ht="20">
      <c r="A728" s="14" t="s">
        <v>1919</v>
      </c>
      <c r="B728" s="14" t="s">
        <v>1746</v>
      </c>
      <c r="C728" s="14" t="s">
        <v>506</v>
      </c>
      <c r="D728" s="14" t="s">
        <v>1015</v>
      </c>
      <c r="E728" s="14" t="s">
        <v>674</v>
      </c>
      <c r="F728" s="14" t="s">
        <v>721</v>
      </c>
      <c r="G728" s="14"/>
      <c r="H728" s="14" t="s">
        <v>703</v>
      </c>
      <c r="I728" s="14" t="s">
        <v>2921</v>
      </c>
      <c r="J728" s="14" t="s">
        <v>652</v>
      </c>
      <c r="K728" s="14" t="s">
        <v>4151</v>
      </c>
      <c r="L728" s="14" t="s">
        <v>639</v>
      </c>
      <c r="M728" s="14">
        <v>148</v>
      </c>
      <c r="N728" s="14"/>
      <c r="O728" s="34"/>
      <c r="P728" s="14">
        <v>20</v>
      </c>
      <c r="Q728" s="14"/>
      <c r="R728" s="14"/>
      <c r="S728" s="14">
        <v>62</v>
      </c>
      <c r="T728" s="14">
        <v>51</v>
      </c>
      <c r="U728" s="14">
        <v>69</v>
      </c>
      <c r="V728" s="14">
        <v>54</v>
      </c>
      <c r="W728" s="14">
        <f>V728/M728</f>
        <v>0.36486486486486486</v>
      </c>
      <c r="X728" s="14"/>
      <c r="Y728" s="14"/>
      <c r="Z728" s="14">
        <v>42</v>
      </c>
      <c r="AA728" s="14">
        <v>38.200000000000003</v>
      </c>
      <c r="AB728" s="14">
        <v>44</v>
      </c>
      <c r="AC728" s="14">
        <v>96</v>
      </c>
      <c r="AD728" s="34">
        <f>AC728/M728</f>
        <v>0.64864864864864868</v>
      </c>
      <c r="AE728" s="35"/>
      <c r="AF728" s="35"/>
      <c r="AG728" s="35">
        <v>13.5</v>
      </c>
      <c r="AH728" s="35">
        <v>8</v>
      </c>
      <c r="AI728" s="35">
        <v>24</v>
      </c>
      <c r="AJ728" s="35"/>
      <c r="AK728" s="35"/>
      <c r="AL728" s="35"/>
      <c r="AM728" s="35"/>
      <c r="AN728" s="35"/>
      <c r="AO728" s="35"/>
      <c r="AP728" s="35"/>
      <c r="AQ728" s="35"/>
      <c r="AR728" s="35"/>
      <c r="AS728" s="35"/>
      <c r="AT728" s="35">
        <v>67</v>
      </c>
      <c r="AU728" s="14" t="s">
        <v>2449</v>
      </c>
      <c r="AV728" s="14" t="s">
        <v>2380</v>
      </c>
      <c r="AW728" s="14">
        <v>134</v>
      </c>
      <c r="AX728" s="14">
        <v>1.43</v>
      </c>
      <c r="AY728" s="14">
        <v>1.04</v>
      </c>
      <c r="AZ728" s="14">
        <v>1.97</v>
      </c>
      <c r="BA728" s="29"/>
      <c r="BB728" s="14"/>
      <c r="BC728" s="14"/>
      <c r="BD728" s="14"/>
      <c r="BE728" s="29" t="s">
        <v>2923</v>
      </c>
      <c r="BF728" s="29"/>
      <c r="BG728" s="14">
        <v>1.9</v>
      </c>
      <c r="BH728" s="14">
        <v>1.25</v>
      </c>
      <c r="BI728" s="14">
        <v>2.9</v>
      </c>
      <c r="BJ728" s="29" t="s">
        <v>4107</v>
      </c>
      <c r="BK728" s="14">
        <v>3.57</v>
      </c>
      <c r="BL728" s="14">
        <v>1.51</v>
      </c>
      <c r="BM728" s="14">
        <v>8.41</v>
      </c>
      <c r="BN728" s="14" t="s">
        <v>2231</v>
      </c>
      <c r="BO728" s="14" t="s">
        <v>2800</v>
      </c>
      <c r="BP728" s="14"/>
      <c r="BQ728" s="14" t="s">
        <v>2268</v>
      </c>
      <c r="BR728" s="14"/>
      <c r="BS728" s="14"/>
      <c r="BT728" s="14"/>
      <c r="BU728" s="14">
        <v>0.78</v>
      </c>
      <c r="BV728" s="14"/>
      <c r="BW728" s="14"/>
      <c r="BX728" s="14"/>
      <c r="BY728" s="14"/>
      <c r="BZ728" s="14"/>
      <c r="CA728" s="14"/>
      <c r="CB728" s="14"/>
      <c r="CC728" s="14">
        <v>-0.21</v>
      </c>
      <c r="CD728" s="14"/>
      <c r="CE728" s="14"/>
      <c r="CF728" s="14"/>
      <c r="CG728" s="14">
        <v>0.01</v>
      </c>
      <c r="CH728" s="14"/>
      <c r="CI728" s="14"/>
      <c r="CJ728" s="14"/>
      <c r="CK728" s="14"/>
      <c r="CL728" s="14"/>
      <c r="CM728" s="14"/>
      <c r="CN728" s="14"/>
      <c r="CO728" s="14"/>
      <c r="CP728" s="14"/>
      <c r="CQ728" s="14"/>
      <c r="CR728" s="14"/>
      <c r="CS728" s="14"/>
      <c r="CT728" s="14"/>
      <c r="CU728" s="14"/>
      <c r="CV728" s="14" t="s">
        <v>2922</v>
      </c>
      <c r="CW728" s="14" t="s">
        <v>502</v>
      </c>
      <c r="CX728" s="14" t="s">
        <v>503</v>
      </c>
      <c r="CY728" s="14">
        <v>2023</v>
      </c>
      <c r="CZ728" s="36" t="s">
        <v>12</v>
      </c>
      <c r="DA728" s="14" t="s">
        <v>195</v>
      </c>
      <c r="DB728" s="14">
        <v>94</v>
      </c>
      <c r="DC728" s="14">
        <v>6</v>
      </c>
      <c r="DD728" s="14" t="s">
        <v>504</v>
      </c>
      <c r="DE728" s="14" t="s">
        <v>505</v>
      </c>
    </row>
    <row r="729" spans="1:109" s="13" customFormat="1" ht="20">
      <c r="A729" s="14" t="s">
        <v>1919</v>
      </c>
      <c r="B729" s="14" t="s">
        <v>1746</v>
      </c>
      <c r="C729" s="14" t="s">
        <v>506</v>
      </c>
      <c r="D729" s="14" t="s">
        <v>1015</v>
      </c>
      <c r="E729" s="14" t="s">
        <v>674</v>
      </c>
      <c r="F729" s="14" t="s">
        <v>675</v>
      </c>
      <c r="G729" s="14"/>
      <c r="H729" s="14" t="s">
        <v>703</v>
      </c>
      <c r="I729" s="14" t="s">
        <v>2921</v>
      </c>
      <c r="J729" s="14" t="s">
        <v>652</v>
      </c>
      <c r="K729" s="14"/>
      <c r="L729" s="14" t="s">
        <v>639</v>
      </c>
      <c r="M729" s="14">
        <v>144</v>
      </c>
      <c r="N729" s="14"/>
      <c r="O729" s="34"/>
      <c r="P729" s="14">
        <v>20</v>
      </c>
      <c r="Q729" s="14"/>
      <c r="R729" s="14"/>
      <c r="S729" s="14">
        <v>62</v>
      </c>
      <c r="T729" s="14">
        <v>51</v>
      </c>
      <c r="U729" s="14">
        <v>69</v>
      </c>
      <c r="V729" s="14"/>
      <c r="W729" s="14">
        <v>0.36499999999999999</v>
      </c>
      <c r="X729" s="14"/>
      <c r="Y729" s="14"/>
      <c r="Z729" s="14">
        <v>42</v>
      </c>
      <c r="AA729" s="14">
        <v>38.200000000000003</v>
      </c>
      <c r="AB729" s="14">
        <v>44</v>
      </c>
      <c r="AC729" s="14"/>
      <c r="AD729" s="34">
        <v>0.65</v>
      </c>
      <c r="AE729" s="35"/>
      <c r="AF729" s="35"/>
      <c r="AG729" s="35">
        <v>13.5</v>
      </c>
      <c r="AH729" s="35">
        <v>8</v>
      </c>
      <c r="AI729" s="35">
        <v>24</v>
      </c>
      <c r="AJ729" s="35"/>
      <c r="AK729" s="35"/>
      <c r="AL729" s="35"/>
      <c r="AM729" s="35"/>
      <c r="AN729" s="35"/>
      <c r="AO729" s="35"/>
      <c r="AP729" s="35"/>
      <c r="AQ729" s="35"/>
      <c r="AR729" s="35"/>
      <c r="AS729" s="35"/>
      <c r="AT729" s="35">
        <v>67</v>
      </c>
      <c r="AU729" s="14" t="s">
        <v>2449</v>
      </c>
      <c r="AV729" s="14" t="s">
        <v>2380</v>
      </c>
      <c r="AW729" s="14">
        <v>134</v>
      </c>
      <c r="AX729" s="14"/>
      <c r="AY729" s="14"/>
      <c r="AZ729" s="14"/>
      <c r="BA729" s="29"/>
      <c r="BB729" s="14"/>
      <c r="BC729" s="14"/>
      <c r="BD729" s="14"/>
      <c r="BE729" s="29"/>
      <c r="BF729" s="29"/>
      <c r="BG729" s="14"/>
      <c r="BH729" s="14"/>
      <c r="BI729" s="14"/>
      <c r="BJ729" s="29"/>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c r="CM729" s="14"/>
      <c r="CN729" s="14"/>
      <c r="CO729" s="14"/>
      <c r="CP729" s="14"/>
      <c r="CQ729" s="14"/>
      <c r="CR729" s="14"/>
      <c r="CS729" s="14"/>
      <c r="CT729" s="14"/>
      <c r="CU729" s="14"/>
      <c r="CV729" s="14" t="s">
        <v>2922</v>
      </c>
      <c r="CW729" s="14" t="s">
        <v>502</v>
      </c>
      <c r="CX729" s="14" t="s">
        <v>503</v>
      </c>
      <c r="CY729" s="14">
        <v>2023</v>
      </c>
      <c r="CZ729" s="36" t="s">
        <v>12</v>
      </c>
      <c r="DA729" s="14" t="s">
        <v>195</v>
      </c>
      <c r="DB729" s="14">
        <v>94</v>
      </c>
      <c r="DC729" s="14">
        <v>6</v>
      </c>
      <c r="DD729" s="14" t="s">
        <v>504</v>
      </c>
      <c r="DE729" s="14" t="s">
        <v>505</v>
      </c>
    </row>
    <row r="730" spans="1:109" s="13" customFormat="1" ht="20">
      <c r="A730" s="14" t="s">
        <v>1919</v>
      </c>
      <c r="B730" s="14" t="s">
        <v>1746</v>
      </c>
      <c r="C730" s="14" t="s">
        <v>506</v>
      </c>
      <c r="D730" s="14" t="s">
        <v>1015</v>
      </c>
      <c r="E730" s="14" t="s">
        <v>672</v>
      </c>
      <c r="F730" s="14" t="s">
        <v>721</v>
      </c>
      <c r="G730" s="14"/>
      <c r="H730" s="14" t="s">
        <v>703</v>
      </c>
      <c r="I730" s="14" t="s">
        <v>2921</v>
      </c>
      <c r="J730" s="14" t="s">
        <v>622</v>
      </c>
      <c r="K730" s="14" t="s">
        <v>4150</v>
      </c>
      <c r="L730" s="14" t="s">
        <v>639</v>
      </c>
      <c r="M730" s="14">
        <v>130</v>
      </c>
      <c r="N730" s="14"/>
      <c r="O730" s="34"/>
      <c r="P730" s="14">
        <v>20</v>
      </c>
      <c r="Q730" s="14"/>
      <c r="R730" s="14"/>
      <c r="S730" s="14">
        <v>62</v>
      </c>
      <c r="T730" s="14">
        <v>51</v>
      </c>
      <c r="U730" s="14">
        <v>69</v>
      </c>
      <c r="V730" s="14"/>
      <c r="W730" s="14">
        <v>0.36499999999999999</v>
      </c>
      <c r="X730" s="14"/>
      <c r="Y730" s="14"/>
      <c r="Z730" s="14">
        <v>42</v>
      </c>
      <c r="AA730" s="14">
        <v>38.200000000000003</v>
      </c>
      <c r="AB730" s="14">
        <v>44</v>
      </c>
      <c r="AC730" s="14"/>
      <c r="AD730" s="34">
        <v>0.65</v>
      </c>
      <c r="AE730" s="35"/>
      <c r="AF730" s="35"/>
      <c r="AG730" s="35">
        <v>13.5</v>
      </c>
      <c r="AH730" s="35">
        <v>8</v>
      </c>
      <c r="AI730" s="35">
        <v>24</v>
      </c>
      <c r="AJ730" s="35"/>
      <c r="AK730" s="35"/>
      <c r="AL730" s="35"/>
      <c r="AM730" s="35"/>
      <c r="AN730" s="35"/>
      <c r="AO730" s="35"/>
      <c r="AP730" s="35"/>
      <c r="AQ730" s="35"/>
      <c r="AR730" s="35"/>
      <c r="AS730" s="35"/>
      <c r="AT730" s="35">
        <v>67</v>
      </c>
      <c r="AU730" s="14" t="s">
        <v>2449</v>
      </c>
      <c r="AV730" s="14" t="s">
        <v>2380</v>
      </c>
      <c r="AW730" s="14">
        <v>134</v>
      </c>
      <c r="AX730" s="14"/>
      <c r="AY730" s="14"/>
      <c r="AZ730" s="14"/>
      <c r="BA730" s="29"/>
      <c r="BB730" s="14"/>
      <c r="BC730" s="14"/>
      <c r="BD730" s="14"/>
      <c r="BE730" s="29"/>
      <c r="BF730" s="29"/>
      <c r="BG730" s="14"/>
      <c r="BH730" s="14"/>
      <c r="BI730" s="14"/>
      <c r="BJ730" s="29"/>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c r="CM730" s="14"/>
      <c r="CN730" s="14"/>
      <c r="CO730" s="14"/>
      <c r="CP730" s="14"/>
      <c r="CQ730" s="14"/>
      <c r="CR730" s="14"/>
      <c r="CS730" s="14"/>
      <c r="CT730" s="14"/>
      <c r="CU730" s="14"/>
      <c r="CV730" s="14" t="s">
        <v>2922</v>
      </c>
      <c r="CW730" s="14" t="s">
        <v>502</v>
      </c>
      <c r="CX730" s="14" t="s">
        <v>503</v>
      </c>
      <c r="CY730" s="14">
        <v>2023</v>
      </c>
      <c r="CZ730" s="36" t="s">
        <v>12</v>
      </c>
      <c r="DA730" s="14" t="s">
        <v>195</v>
      </c>
      <c r="DB730" s="14">
        <v>94</v>
      </c>
      <c r="DC730" s="14">
        <v>6</v>
      </c>
      <c r="DD730" s="14" t="s">
        <v>504</v>
      </c>
      <c r="DE730" s="14" t="s">
        <v>505</v>
      </c>
    </row>
    <row r="731" spans="1:109" s="13" customFormat="1" ht="20">
      <c r="A731" s="14" t="s">
        <v>1919</v>
      </c>
      <c r="B731" s="14" t="s">
        <v>1746</v>
      </c>
      <c r="C731" s="14" t="s">
        <v>506</v>
      </c>
      <c r="D731" s="14" t="s">
        <v>1015</v>
      </c>
      <c r="E731" s="14" t="s">
        <v>672</v>
      </c>
      <c r="F731" s="14" t="s">
        <v>675</v>
      </c>
      <c r="G731" s="14"/>
      <c r="H731" s="14" t="s">
        <v>703</v>
      </c>
      <c r="I731" s="14" t="s">
        <v>2921</v>
      </c>
      <c r="J731" s="14" t="s">
        <v>652</v>
      </c>
      <c r="K731" s="14"/>
      <c r="L731" s="14" t="s">
        <v>639</v>
      </c>
      <c r="M731" s="14">
        <v>117</v>
      </c>
      <c r="N731" s="14"/>
      <c r="O731" s="34"/>
      <c r="P731" s="14">
        <v>20</v>
      </c>
      <c r="Q731" s="14"/>
      <c r="R731" s="14"/>
      <c r="S731" s="14">
        <v>62</v>
      </c>
      <c r="T731" s="14">
        <v>51</v>
      </c>
      <c r="U731" s="14">
        <v>69</v>
      </c>
      <c r="V731" s="14"/>
      <c r="W731" s="14">
        <v>0.36499999999999999</v>
      </c>
      <c r="X731" s="14"/>
      <c r="Y731" s="14"/>
      <c r="Z731" s="14">
        <v>42</v>
      </c>
      <c r="AA731" s="14">
        <v>38.200000000000003</v>
      </c>
      <c r="AB731" s="14">
        <v>44</v>
      </c>
      <c r="AC731" s="14"/>
      <c r="AD731" s="34">
        <v>0.65</v>
      </c>
      <c r="AE731" s="35"/>
      <c r="AF731" s="35"/>
      <c r="AG731" s="35">
        <v>13.5</v>
      </c>
      <c r="AH731" s="35">
        <v>8</v>
      </c>
      <c r="AI731" s="35">
        <v>24</v>
      </c>
      <c r="AJ731" s="35"/>
      <c r="AK731" s="35"/>
      <c r="AL731" s="35"/>
      <c r="AM731" s="35"/>
      <c r="AN731" s="35"/>
      <c r="AO731" s="35"/>
      <c r="AP731" s="35"/>
      <c r="AQ731" s="35"/>
      <c r="AR731" s="35"/>
      <c r="AS731" s="35"/>
      <c r="AT731" s="35">
        <v>67</v>
      </c>
      <c r="AU731" s="14" t="s">
        <v>2449</v>
      </c>
      <c r="AV731" s="14" t="s">
        <v>2380</v>
      </c>
      <c r="AW731" s="14">
        <v>134</v>
      </c>
      <c r="AX731" s="14"/>
      <c r="AY731" s="14"/>
      <c r="AZ731" s="14"/>
      <c r="BA731" s="29"/>
      <c r="BB731" s="14"/>
      <c r="BC731" s="14"/>
      <c r="BD731" s="14"/>
      <c r="BE731" s="29"/>
      <c r="BF731" s="29"/>
      <c r="BG731" s="14"/>
      <c r="BH731" s="14"/>
      <c r="BI731" s="14"/>
      <c r="BJ731" s="29"/>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c r="CM731" s="14"/>
      <c r="CN731" s="14"/>
      <c r="CO731" s="14"/>
      <c r="CP731" s="14"/>
      <c r="CQ731" s="14"/>
      <c r="CR731" s="14"/>
      <c r="CS731" s="14"/>
      <c r="CT731" s="14"/>
      <c r="CU731" s="14"/>
      <c r="CV731" s="14" t="s">
        <v>2922</v>
      </c>
      <c r="CW731" s="14" t="s">
        <v>502</v>
      </c>
      <c r="CX731" s="14" t="s">
        <v>503</v>
      </c>
      <c r="CY731" s="14">
        <v>2023</v>
      </c>
      <c r="CZ731" s="36" t="s">
        <v>12</v>
      </c>
      <c r="DA731" s="14" t="s">
        <v>195</v>
      </c>
      <c r="DB731" s="14">
        <v>94</v>
      </c>
      <c r="DC731" s="14">
        <v>6</v>
      </c>
      <c r="DD731" s="14" t="s">
        <v>504</v>
      </c>
      <c r="DE731" s="14" t="s">
        <v>505</v>
      </c>
    </row>
    <row r="732" spans="1:109" s="13" customFormat="1" ht="20">
      <c r="A732" s="13" t="s">
        <v>1748</v>
      </c>
      <c r="B732" s="13" t="s">
        <v>1748</v>
      </c>
      <c r="C732" s="13" t="s">
        <v>516</v>
      </c>
      <c r="D732" s="13" t="s">
        <v>818</v>
      </c>
      <c r="E732" s="13" t="s">
        <v>672</v>
      </c>
      <c r="F732" s="13" t="s">
        <v>680</v>
      </c>
      <c r="G732" s="14"/>
      <c r="H732" s="13" t="s">
        <v>865</v>
      </c>
      <c r="I732" s="13" t="s">
        <v>3643</v>
      </c>
      <c r="J732" s="13" t="s">
        <v>585</v>
      </c>
      <c r="L732" s="14"/>
      <c r="M732" s="13">
        <v>158</v>
      </c>
      <c r="O732" s="15"/>
      <c r="Q732" s="13">
        <v>50.82</v>
      </c>
      <c r="R732" s="13">
        <v>9.57</v>
      </c>
      <c r="V732" s="14">
        <v>122</v>
      </c>
      <c r="W732" s="14">
        <f>V732/M732</f>
        <v>0.77215189873417722</v>
      </c>
      <c r="X732" s="14">
        <v>28.37</v>
      </c>
      <c r="Y732" s="14">
        <v>7.28</v>
      </c>
      <c r="Z732" s="14"/>
      <c r="AA732" s="14"/>
      <c r="AB732" s="14"/>
      <c r="AC732" s="14">
        <v>101</v>
      </c>
      <c r="AD732" s="34">
        <f>AC732/M732</f>
        <v>0.63924050632911389</v>
      </c>
      <c r="AE732" s="35"/>
      <c r="AF732" s="35"/>
      <c r="AG732" s="35"/>
      <c r="AH732" s="35"/>
      <c r="AI732" s="35"/>
      <c r="AJ732" s="35"/>
      <c r="AK732" s="35"/>
      <c r="AL732" s="35"/>
      <c r="AM732" s="35"/>
      <c r="AN732" s="35"/>
      <c r="AO732" s="35"/>
      <c r="AP732" s="35"/>
      <c r="AQ732" s="35"/>
      <c r="AR732" s="35"/>
      <c r="AS732" s="35"/>
      <c r="AT732" s="35"/>
      <c r="AU732" s="14"/>
      <c r="AV732" s="14"/>
      <c r="AW732" s="14"/>
      <c r="AX732" s="14"/>
      <c r="AY732" s="14"/>
      <c r="AZ732" s="14"/>
      <c r="BA732" s="29"/>
      <c r="BB732" s="14"/>
      <c r="BC732" s="14"/>
      <c r="BD732" s="14"/>
      <c r="BE732" s="29"/>
      <c r="BF732" s="29"/>
      <c r="BG732" s="14"/>
      <c r="BH732" s="14"/>
      <c r="BI732" s="14"/>
      <c r="BJ732" s="29"/>
      <c r="BK732" s="14"/>
      <c r="BL732" s="14"/>
      <c r="BM732" s="14"/>
      <c r="BN732" s="14" t="s">
        <v>2231</v>
      </c>
      <c r="BO732" s="14" t="s">
        <v>2490</v>
      </c>
      <c r="BP732" s="14"/>
      <c r="BQ732" s="14"/>
      <c r="BR732" s="14"/>
      <c r="BS732" s="14"/>
      <c r="BT732" s="14"/>
      <c r="BU732" s="14"/>
      <c r="BV732" s="14"/>
      <c r="BW732" s="14"/>
      <c r="BX732" s="14"/>
      <c r="BY732" s="14"/>
      <c r="BZ732" s="14"/>
      <c r="CA732" s="14"/>
      <c r="CB732" s="14"/>
      <c r="CC732" s="14">
        <v>-0.254</v>
      </c>
      <c r="CD732" s="14"/>
      <c r="CE732" s="14"/>
      <c r="CF732" s="14"/>
      <c r="CG732" s="14">
        <v>1E-3</v>
      </c>
      <c r="CH732" s="14"/>
      <c r="CI732" s="14"/>
      <c r="CJ732" s="14"/>
      <c r="CK732" s="14"/>
      <c r="CL732" s="14"/>
      <c r="CM732" s="14"/>
      <c r="CN732" s="14"/>
      <c r="CO732" s="14"/>
      <c r="CP732" s="14"/>
      <c r="CQ732" s="14"/>
      <c r="CR732" s="14"/>
      <c r="CS732" s="14"/>
      <c r="CT732" s="14"/>
      <c r="CU732" s="14"/>
      <c r="CV732" s="14"/>
      <c r="CW732" s="13" t="s">
        <v>512</v>
      </c>
      <c r="CX732" s="13" t="s">
        <v>513</v>
      </c>
      <c r="CY732" s="13">
        <v>2020</v>
      </c>
      <c r="DA732" s="13" t="s">
        <v>514</v>
      </c>
      <c r="DB732" s="13">
        <v>17</v>
      </c>
      <c r="DC732" s="13">
        <v>1</v>
      </c>
      <c r="DD732" s="13" t="s">
        <v>2212</v>
      </c>
      <c r="DE732" s="13" t="s">
        <v>515</v>
      </c>
    </row>
    <row r="733" spans="1:109" s="13" customFormat="1" ht="20">
      <c r="A733" s="13" t="s">
        <v>1748</v>
      </c>
      <c r="B733" s="13" t="s">
        <v>1748</v>
      </c>
      <c r="C733" s="13" t="s">
        <v>516</v>
      </c>
      <c r="D733" s="13" t="s">
        <v>818</v>
      </c>
      <c r="E733" s="13" t="s">
        <v>672</v>
      </c>
      <c r="F733" s="13" t="s">
        <v>1023</v>
      </c>
      <c r="G733" s="14"/>
      <c r="H733" s="13" t="s">
        <v>865</v>
      </c>
      <c r="I733" s="13" t="s">
        <v>3643</v>
      </c>
      <c r="J733" s="13" t="s">
        <v>1025</v>
      </c>
      <c r="K733" s="13" t="s">
        <v>1024</v>
      </c>
      <c r="L733" s="14"/>
      <c r="M733" s="13">
        <v>56</v>
      </c>
      <c r="O733" s="15"/>
      <c r="V733" s="14"/>
      <c r="W733" s="14"/>
      <c r="X733" s="14"/>
      <c r="Y733" s="14"/>
      <c r="Z733" s="14"/>
      <c r="AA733" s="14"/>
      <c r="AB733" s="14"/>
      <c r="AC733" s="14"/>
      <c r="AD733" s="34"/>
      <c r="AE733" s="35"/>
      <c r="AF733" s="35"/>
      <c r="AG733" s="35"/>
      <c r="AH733" s="35"/>
      <c r="AI733" s="35"/>
      <c r="AJ733" s="35"/>
      <c r="AK733" s="35"/>
      <c r="AL733" s="35"/>
      <c r="AM733" s="35"/>
      <c r="AN733" s="35"/>
      <c r="AO733" s="35"/>
      <c r="AP733" s="35"/>
      <c r="AQ733" s="35"/>
      <c r="AR733" s="35"/>
      <c r="AS733" s="35"/>
      <c r="AT733" s="35"/>
      <c r="AU733" s="14"/>
      <c r="AV733" s="14"/>
      <c r="AW733" s="14"/>
      <c r="AX733" s="14"/>
      <c r="AY733" s="14"/>
      <c r="AZ733" s="14"/>
      <c r="BA733" s="29"/>
      <c r="BB733" s="14"/>
      <c r="BC733" s="14"/>
      <c r="BD733" s="14"/>
      <c r="BE733" s="29"/>
      <c r="BF733" s="29"/>
      <c r="BG733" s="14"/>
      <c r="BH733" s="14"/>
      <c r="BI733" s="14"/>
      <c r="BJ733" s="29"/>
      <c r="BK733" s="14"/>
      <c r="BL733" s="14"/>
      <c r="BM733" s="14"/>
      <c r="BN733" s="14" t="s">
        <v>2231</v>
      </c>
      <c r="BO733" s="14" t="s">
        <v>2490</v>
      </c>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3" t="s">
        <v>512</v>
      </c>
      <c r="CX733" s="13" t="s">
        <v>513</v>
      </c>
      <c r="CY733" s="13">
        <v>2020</v>
      </c>
      <c r="DA733" s="13" t="s">
        <v>514</v>
      </c>
      <c r="DB733" s="13">
        <v>17</v>
      </c>
      <c r="DC733" s="13">
        <v>1</v>
      </c>
      <c r="DD733" s="13" t="s">
        <v>2212</v>
      </c>
      <c r="DE733" s="13" t="s">
        <v>515</v>
      </c>
    </row>
    <row r="734" spans="1:109" s="13" customFormat="1" ht="20">
      <c r="A734" s="14" t="s">
        <v>1923</v>
      </c>
      <c r="B734" s="14" t="s">
        <v>1751</v>
      </c>
      <c r="C734" s="14" t="s">
        <v>530</v>
      </c>
      <c r="D734" s="14" t="s">
        <v>827</v>
      </c>
      <c r="E734" s="14" t="s">
        <v>673</v>
      </c>
      <c r="F734" s="14" t="s">
        <v>675</v>
      </c>
      <c r="G734" s="14"/>
      <c r="H734" s="14" t="s">
        <v>669</v>
      </c>
      <c r="I734" s="14" t="s">
        <v>2936</v>
      </c>
      <c r="J734" s="14" t="s">
        <v>652</v>
      </c>
      <c r="K734" s="14"/>
      <c r="L734" s="14" t="s">
        <v>639</v>
      </c>
      <c r="M734" s="14">
        <v>124</v>
      </c>
      <c r="N734" s="14">
        <v>3</v>
      </c>
      <c r="O734" s="34">
        <v>2.4193548387096701E-2</v>
      </c>
      <c r="P734" s="14">
        <v>8</v>
      </c>
      <c r="Q734" s="14"/>
      <c r="R734" s="14"/>
      <c r="S734" s="14">
        <v>61</v>
      </c>
      <c r="T734" s="14"/>
      <c r="U734" s="14"/>
      <c r="V734" s="14">
        <v>74</v>
      </c>
      <c r="W734" s="14">
        <f>V734/M734</f>
        <v>0.59677419354838712</v>
      </c>
      <c r="X734" s="14"/>
      <c r="Y734" s="14"/>
      <c r="Z734" s="14">
        <v>43</v>
      </c>
      <c r="AA734" s="14"/>
      <c r="AB734" s="14"/>
      <c r="AC734" s="14">
        <v>85</v>
      </c>
      <c r="AD734" s="34">
        <f t="shared" ref="AD734:AD739" si="69">AC734/M734</f>
        <v>0.68548387096774188</v>
      </c>
      <c r="AE734" s="35"/>
      <c r="AF734" s="35"/>
      <c r="AG734" s="35">
        <v>13</v>
      </c>
      <c r="AH734" s="35"/>
      <c r="AI734" s="35"/>
      <c r="AJ734" s="35"/>
      <c r="AK734" s="35"/>
      <c r="AL734" s="35"/>
      <c r="AM734" s="35"/>
      <c r="AN734" s="35"/>
      <c r="AO734" s="35"/>
      <c r="AP734" s="35"/>
      <c r="AQ734" s="35">
        <v>27</v>
      </c>
      <c r="AR734" s="35"/>
      <c r="AS734" s="35"/>
      <c r="AT734" s="35">
        <v>38</v>
      </c>
      <c r="AU734" s="14" t="s">
        <v>2447</v>
      </c>
      <c r="AV734" s="14"/>
      <c r="AW734" s="14"/>
      <c r="AX734" s="14"/>
      <c r="AY734" s="14"/>
      <c r="AZ734" s="14"/>
      <c r="BA734" s="29" t="s">
        <v>2674</v>
      </c>
      <c r="BB734" s="14">
        <v>2.3919999999999999</v>
      </c>
      <c r="BC734" s="14">
        <v>1.236</v>
      </c>
      <c r="BD734" s="14">
        <v>4.63</v>
      </c>
      <c r="BE734" s="29"/>
      <c r="BF734" s="29"/>
      <c r="BG734" s="14"/>
      <c r="BH734" s="14"/>
      <c r="BI734" s="14"/>
      <c r="BJ734" s="29"/>
      <c r="BK734" s="14"/>
      <c r="BL734" s="14"/>
      <c r="BM734" s="14"/>
      <c r="BN734" s="14" t="s">
        <v>2231</v>
      </c>
      <c r="BO734" s="14"/>
      <c r="BP734" s="14"/>
      <c r="BQ734" s="14">
        <v>0.33589999999999998</v>
      </c>
      <c r="BR734" s="14"/>
      <c r="BS734" s="14">
        <v>0.1404</v>
      </c>
      <c r="BT734" s="14">
        <v>0.50619999999999998</v>
      </c>
      <c r="BU734" s="14">
        <v>8.0000000000000004E-4</v>
      </c>
      <c r="BV734" s="14"/>
      <c r="BW734" s="14"/>
      <c r="BX734" s="14"/>
      <c r="BY734" s="14"/>
      <c r="BZ734" s="14"/>
      <c r="CA734" s="14"/>
      <c r="CB734" s="14"/>
      <c r="CC734" s="14" t="s">
        <v>2268</v>
      </c>
      <c r="CD734" s="14"/>
      <c r="CE734" s="14"/>
      <c r="CF734" s="14"/>
      <c r="CG734" s="14">
        <v>0.12839999999999999</v>
      </c>
      <c r="CH734" s="14"/>
      <c r="CI734" s="14"/>
      <c r="CJ734" s="14"/>
      <c r="CK734" s="14"/>
      <c r="CL734" s="14"/>
      <c r="CM734" s="14"/>
      <c r="CN734" s="14"/>
      <c r="CO734" s="14"/>
      <c r="CP734" s="14"/>
      <c r="CQ734" s="14"/>
      <c r="CR734" s="14"/>
      <c r="CS734" s="14"/>
      <c r="CT734" s="14"/>
      <c r="CU734" s="14"/>
      <c r="CV734" s="14"/>
      <c r="CW734" s="14" t="s">
        <v>526</v>
      </c>
      <c r="CX734" s="14" t="s">
        <v>527</v>
      </c>
      <c r="CY734" s="14">
        <v>2019</v>
      </c>
      <c r="CZ734" s="36" t="s">
        <v>253</v>
      </c>
      <c r="DA734" s="14" t="s">
        <v>195</v>
      </c>
      <c r="DB734" s="14">
        <v>90</v>
      </c>
      <c r="DC734" s="14">
        <v>2</v>
      </c>
      <c r="DD734" s="14" t="s">
        <v>528</v>
      </c>
      <c r="DE734" s="14" t="s">
        <v>529</v>
      </c>
    </row>
    <row r="735" spans="1:109" s="13" customFormat="1" ht="20">
      <c r="A735" s="14" t="s">
        <v>1924</v>
      </c>
      <c r="B735" s="14" t="s">
        <v>1752</v>
      </c>
      <c r="C735" s="14" t="s">
        <v>533</v>
      </c>
      <c r="D735" s="14" t="s">
        <v>827</v>
      </c>
      <c r="E735" s="14" t="s">
        <v>672</v>
      </c>
      <c r="F735" s="14" t="s">
        <v>686</v>
      </c>
      <c r="G735" s="14"/>
      <c r="H735" s="14" t="s">
        <v>703</v>
      </c>
      <c r="I735" s="14" t="s">
        <v>2927</v>
      </c>
      <c r="J735" s="14" t="s">
        <v>585</v>
      </c>
      <c r="K735" s="14"/>
      <c r="L735" s="14" t="s">
        <v>639</v>
      </c>
      <c r="M735" s="14">
        <v>28</v>
      </c>
      <c r="N735" s="14"/>
      <c r="O735" s="34"/>
      <c r="P735" s="14"/>
      <c r="Q735" s="14"/>
      <c r="R735" s="14"/>
      <c r="S735" s="14">
        <v>59.5</v>
      </c>
      <c r="T735" s="14">
        <v>52</v>
      </c>
      <c r="U735" s="14">
        <v>65.7</v>
      </c>
      <c r="V735" s="14">
        <v>16</v>
      </c>
      <c r="W735" s="14">
        <f>V735/M735</f>
        <v>0.5714285714285714</v>
      </c>
      <c r="X735" s="14"/>
      <c r="Y735" s="14"/>
      <c r="Z735" s="14">
        <v>40</v>
      </c>
      <c r="AA735" s="14">
        <v>37.5</v>
      </c>
      <c r="AB735" s="14">
        <v>43</v>
      </c>
      <c r="AC735" s="14">
        <v>23</v>
      </c>
      <c r="AD735" s="34">
        <f t="shared" si="69"/>
        <v>0.8214285714285714</v>
      </c>
      <c r="AE735" s="35"/>
      <c r="AF735" s="35"/>
      <c r="AG735" s="35">
        <v>10.5</v>
      </c>
      <c r="AH735" s="35">
        <v>6.5</v>
      </c>
      <c r="AI735" s="35">
        <v>17</v>
      </c>
      <c r="AJ735" s="35"/>
      <c r="AK735" s="35"/>
      <c r="AL735" s="35"/>
      <c r="AM735" s="35"/>
      <c r="AN735" s="35"/>
      <c r="AO735" s="35"/>
      <c r="AP735" s="35"/>
      <c r="AQ735" s="35"/>
      <c r="AR735" s="35"/>
      <c r="AS735" s="35"/>
      <c r="AT735" s="35">
        <v>21</v>
      </c>
      <c r="AU735" s="14" t="s">
        <v>2583</v>
      </c>
      <c r="AV735" s="14"/>
      <c r="AW735" s="14"/>
      <c r="AX735" s="14"/>
      <c r="AY735" s="14"/>
      <c r="AZ735" s="14"/>
      <c r="BA735" s="29" t="s">
        <v>2674</v>
      </c>
      <c r="BB735" s="14">
        <v>4.42</v>
      </c>
      <c r="BC735" s="14">
        <v>1.64</v>
      </c>
      <c r="BD735" s="14">
        <v>11.93</v>
      </c>
      <c r="BE735" s="29"/>
      <c r="BF735" s="29"/>
      <c r="BG735" s="14"/>
      <c r="BH735" s="14"/>
      <c r="BI735" s="14"/>
      <c r="BJ735" s="29"/>
      <c r="BK735" s="14"/>
      <c r="BL735" s="14"/>
      <c r="BM735" s="14"/>
      <c r="BN735" s="14" t="s">
        <v>2231</v>
      </c>
      <c r="BO735" s="14"/>
      <c r="BP735" s="14"/>
      <c r="BQ735" s="14">
        <v>0.52900000000000003</v>
      </c>
      <c r="BR735" s="14"/>
      <c r="BS735" s="14">
        <v>0.125</v>
      </c>
      <c r="BT735" s="14">
        <v>0.78200000000000003</v>
      </c>
      <c r="BU735" s="14">
        <v>1.0999999999999999E-2</v>
      </c>
      <c r="BV735" s="14"/>
      <c r="BW735" s="14"/>
      <c r="BX735" s="14"/>
      <c r="BY735" s="14"/>
      <c r="BZ735" s="14"/>
      <c r="CA735" s="1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t="s">
        <v>531</v>
      </c>
      <c r="CX735" s="14" t="s">
        <v>532</v>
      </c>
      <c r="CY735" s="14">
        <v>2021</v>
      </c>
      <c r="CZ735" s="36"/>
      <c r="DA735" s="14" t="s">
        <v>195</v>
      </c>
      <c r="DB735" s="14">
        <v>92</v>
      </c>
      <c r="DC735" s="14">
        <v>2</v>
      </c>
      <c r="DD735" s="14" t="s">
        <v>1077</v>
      </c>
      <c r="DE735" s="14" t="s">
        <v>1076</v>
      </c>
    </row>
    <row r="736" spans="1:109" s="13" customFormat="1" ht="20">
      <c r="A736" s="14" t="s">
        <v>1924</v>
      </c>
      <c r="B736" s="14" t="s">
        <v>1752</v>
      </c>
      <c r="C736" s="14" t="s">
        <v>533</v>
      </c>
      <c r="D736" s="14" t="s">
        <v>827</v>
      </c>
      <c r="E736" s="14" t="s">
        <v>672</v>
      </c>
      <c r="F736" s="14" t="s">
        <v>680</v>
      </c>
      <c r="G736" s="14"/>
      <c r="H736" s="14" t="s">
        <v>703</v>
      </c>
      <c r="I736" s="14" t="s">
        <v>2927</v>
      </c>
      <c r="J736" s="14" t="s">
        <v>585</v>
      </c>
      <c r="K736" s="14"/>
      <c r="L736" s="14" t="s">
        <v>639</v>
      </c>
      <c r="M736" s="14">
        <v>20</v>
      </c>
      <c r="N736" s="14"/>
      <c r="O736" s="34"/>
      <c r="P736" s="14"/>
      <c r="Q736" s="14"/>
      <c r="R736" s="14"/>
      <c r="S736" s="14">
        <v>59.5</v>
      </c>
      <c r="T736" s="14">
        <v>52</v>
      </c>
      <c r="U736" s="14">
        <v>65.7</v>
      </c>
      <c r="V736" s="14"/>
      <c r="W736" s="14"/>
      <c r="X736" s="14"/>
      <c r="Y736" s="14"/>
      <c r="Z736" s="14">
        <v>40</v>
      </c>
      <c r="AA736" s="14">
        <v>37.5</v>
      </c>
      <c r="AB736" s="14">
        <v>43</v>
      </c>
      <c r="AC736" s="14">
        <v>23</v>
      </c>
      <c r="AD736" s="34">
        <f t="shared" si="69"/>
        <v>1.1499999999999999</v>
      </c>
      <c r="AE736" s="35"/>
      <c r="AF736" s="35"/>
      <c r="AG736" s="35">
        <v>10.5</v>
      </c>
      <c r="AH736" s="35">
        <v>6.5</v>
      </c>
      <c r="AI736" s="35">
        <v>17</v>
      </c>
      <c r="AJ736" s="35"/>
      <c r="AK736" s="35"/>
      <c r="AL736" s="35"/>
      <c r="AM736" s="35"/>
      <c r="AN736" s="35"/>
      <c r="AO736" s="35"/>
      <c r="AP736" s="35"/>
      <c r="AQ736" s="35"/>
      <c r="AR736" s="35"/>
      <c r="AS736" s="35"/>
      <c r="AT736" s="35">
        <v>21</v>
      </c>
      <c r="AU736" s="14" t="s">
        <v>2583</v>
      </c>
      <c r="AV736" s="14"/>
      <c r="AW736" s="14"/>
      <c r="AX736" s="14"/>
      <c r="AY736" s="14"/>
      <c r="AZ736" s="14"/>
      <c r="BA736" s="29" t="s">
        <v>2674</v>
      </c>
      <c r="BB736" s="14">
        <v>2.23</v>
      </c>
      <c r="BC736" s="14">
        <v>0.67</v>
      </c>
      <c r="BD736" s="14">
        <v>7.37</v>
      </c>
      <c r="BE736" s="29"/>
      <c r="BF736" s="29"/>
      <c r="BG736" s="14"/>
      <c r="BH736" s="14"/>
      <c r="BI736" s="14"/>
      <c r="BJ736" s="29"/>
      <c r="BK736" s="14"/>
      <c r="BL736" s="14"/>
      <c r="BM736" s="14"/>
      <c r="BN736" s="14" t="s">
        <v>2231</v>
      </c>
      <c r="BO736" s="14"/>
      <c r="BP736" s="14"/>
      <c r="BQ736" s="14">
        <v>0.29799999999999999</v>
      </c>
      <c r="BR736" s="14"/>
      <c r="BS736" s="14">
        <v>-0.247</v>
      </c>
      <c r="BT736" s="14">
        <v>0.7</v>
      </c>
      <c r="BU736" s="14">
        <v>0.26</v>
      </c>
      <c r="BV736" s="14"/>
      <c r="BW736" s="14"/>
      <c r="BX736" s="14"/>
      <c r="BY736" s="14"/>
      <c r="BZ736" s="14"/>
      <c r="CA736" s="1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t="s">
        <v>531</v>
      </c>
      <c r="CX736" s="14" t="s">
        <v>532</v>
      </c>
      <c r="CY736" s="14">
        <v>2021</v>
      </c>
      <c r="CZ736" s="36"/>
      <c r="DA736" s="14" t="s">
        <v>195</v>
      </c>
      <c r="DB736" s="14">
        <v>92</v>
      </c>
      <c r="DC736" s="14">
        <v>2</v>
      </c>
      <c r="DD736" s="14" t="s">
        <v>1077</v>
      </c>
      <c r="DE736" s="14" t="s">
        <v>1076</v>
      </c>
    </row>
    <row r="737" spans="1:109" s="13" customFormat="1" ht="20">
      <c r="A737" s="14" t="s">
        <v>1921</v>
      </c>
      <c r="B737" s="14" t="s">
        <v>1749</v>
      </c>
      <c r="C737" s="14" t="s">
        <v>2930</v>
      </c>
      <c r="D737" s="14" t="s">
        <v>818</v>
      </c>
      <c r="E737" s="14" t="s">
        <v>673</v>
      </c>
      <c r="F737" s="14" t="s">
        <v>675</v>
      </c>
      <c r="G737" s="14"/>
      <c r="H737" s="14" t="s">
        <v>703</v>
      </c>
      <c r="I737" s="14" t="s">
        <v>2927</v>
      </c>
      <c r="J737" s="14" t="s">
        <v>652</v>
      </c>
      <c r="K737" s="14"/>
      <c r="L737" s="14" t="s">
        <v>639</v>
      </c>
      <c r="M737" s="14">
        <v>209</v>
      </c>
      <c r="N737" s="14">
        <v>28</v>
      </c>
      <c r="O737" s="34">
        <v>0.13400000000000001</v>
      </c>
      <c r="P737" s="14">
        <v>18</v>
      </c>
      <c r="Q737" s="14"/>
      <c r="R737" s="14"/>
      <c r="S737" s="14">
        <v>65</v>
      </c>
      <c r="T737" s="14">
        <v>56</v>
      </c>
      <c r="U737" s="14">
        <v>73</v>
      </c>
      <c r="V737" s="14">
        <v>123</v>
      </c>
      <c r="W737" s="14">
        <f>V737/M737</f>
        <v>0.58851674641148322</v>
      </c>
      <c r="X737" s="14"/>
      <c r="Y737" s="14"/>
      <c r="Z737" s="14">
        <v>41</v>
      </c>
      <c r="AA737" s="14">
        <v>36</v>
      </c>
      <c r="AB737" s="14">
        <v>43</v>
      </c>
      <c r="AC737" s="14">
        <v>160</v>
      </c>
      <c r="AD737" s="34">
        <f t="shared" si="69"/>
        <v>0.76555023923444976</v>
      </c>
      <c r="AE737" s="35"/>
      <c r="AF737" s="35"/>
      <c r="AG737" s="35">
        <v>12</v>
      </c>
      <c r="AH737" s="35">
        <v>8</v>
      </c>
      <c r="AI737" s="35">
        <v>22</v>
      </c>
      <c r="AJ737" s="35"/>
      <c r="AK737" s="35"/>
      <c r="AL737" s="35"/>
      <c r="AM737" s="35"/>
      <c r="AN737" s="35"/>
      <c r="AO737" s="35"/>
      <c r="AP737" s="35"/>
      <c r="AQ737" s="35"/>
      <c r="AR737" s="35"/>
      <c r="AS737" s="35"/>
      <c r="AT737" s="35"/>
      <c r="AU737" s="14" t="s">
        <v>2449</v>
      </c>
      <c r="AV737" s="14"/>
      <c r="AW737" s="14"/>
      <c r="AX737" s="14"/>
      <c r="AY737" s="14"/>
      <c r="AZ737" s="14"/>
      <c r="BA737" s="29" t="s">
        <v>2674</v>
      </c>
      <c r="BB737" s="14">
        <v>3.8149999999999999</v>
      </c>
      <c r="BC737" s="14">
        <v>2.1760000000000002</v>
      </c>
      <c r="BD737" s="14">
        <v>6.6890000000000001</v>
      </c>
      <c r="BE737" s="29" t="s">
        <v>2929</v>
      </c>
      <c r="BF737" s="29"/>
      <c r="BG737" s="14"/>
      <c r="BH737" s="14"/>
      <c r="BI737" s="14"/>
      <c r="BJ737" s="29" t="s">
        <v>2674</v>
      </c>
      <c r="BK737" s="14">
        <v>5.0270000000000001</v>
      </c>
      <c r="BL737" s="14">
        <v>1.762</v>
      </c>
      <c r="BM737" s="14">
        <v>14.72</v>
      </c>
      <c r="BN737" s="14" t="s">
        <v>2231</v>
      </c>
      <c r="BO737" s="14" t="s">
        <v>2490</v>
      </c>
      <c r="BP737" s="14"/>
      <c r="BQ737" s="14">
        <v>0.47160000000000002</v>
      </c>
      <c r="BR737" s="14">
        <v>161</v>
      </c>
      <c r="BS737" s="14">
        <v>0.33779999999999999</v>
      </c>
      <c r="BT737" s="14">
        <v>0.5867</v>
      </c>
      <c r="BU737" s="14" t="s">
        <v>701</v>
      </c>
      <c r="BV737" s="14"/>
      <c r="BW737" s="14"/>
      <c r="BX737" s="14"/>
      <c r="BY737" s="14"/>
      <c r="BZ737" s="14"/>
      <c r="CA737" s="14"/>
      <c r="CB737" s="14"/>
      <c r="CC737" s="14">
        <v>-0.36280000000000001</v>
      </c>
      <c r="CD737" s="14">
        <v>161</v>
      </c>
      <c r="CE737" s="14">
        <v>-0.49349999999999999</v>
      </c>
      <c r="CF737" s="14">
        <v>-0.21609999999999999</v>
      </c>
      <c r="CG737" s="14" t="s">
        <v>701</v>
      </c>
      <c r="CH737" s="14"/>
      <c r="CI737" s="14"/>
      <c r="CJ737" s="14"/>
      <c r="CK737" s="14"/>
      <c r="CL737" s="14"/>
      <c r="CM737" s="14"/>
      <c r="CN737" s="14"/>
      <c r="CO737" s="14"/>
      <c r="CP737" s="14"/>
      <c r="CQ737" s="14"/>
      <c r="CR737" s="14"/>
      <c r="CS737" s="14"/>
      <c r="CT737" s="14"/>
      <c r="CU737" s="14"/>
      <c r="CV737" s="14"/>
      <c r="CW737" s="14" t="s">
        <v>517</v>
      </c>
      <c r="CX737" s="14" t="s">
        <v>518</v>
      </c>
      <c r="CY737" s="14">
        <v>2023</v>
      </c>
      <c r="CZ737" s="36" t="s">
        <v>25</v>
      </c>
      <c r="DA737" s="14" t="s">
        <v>509</v>
      </c>
      <c r="DB737" s="14">
        <v>15</v>
      </c>
      <c r="DC737" s="14"/>
      <c r="DD737" s="14" t="s">
        <v>2153</v>
      </c>
      <c r="DE737" s="14" t="s">
        <v>520</v>
      </c>
    </row>
    <row r="738" spans="1:109" s="13" customFormat="1" ht="20">
      <c r="A738" s="14" t="s">
        <v>1922</v>
      </c>
      <c r="B738" s="14" t="s">
        <v>1750</v>
      </c>
      <c r="C738" s="14" t="s">
        <v>2931</v>
      </c>
      <c r="D738" s="14" t="s">
        <v>818</v>
      </c>
      <c r="E738" s="14" t="s">
        <v>673</v>
      </c>
      <c r="F738" s="14" t="s">
        <v>758</v>
      </c>
      <c r="G738" s="14"/>
      <c r="H738" s="14" t="s">
        <v>703</v>
      </c>
      <c r="I738" s="14" t="s">
        <v>2927</v>
      </c>
      <c r="J738" s="14" t="s">
        <v>652</v>
      </c>
      <c r="K738" s="14"/>
      <c r="L738" s="14" t="s">
        <v>639</v>
      </c>
      <c r="M738" s="14">
        <v>114</v>
      </c>
      <c r="N738" s="14">
        <v>23</v>
      </c>
      <c r="O738" s="34">
        <v>0.20175438596491199</v>
      </c>
      <c r="P738" s="14">
        <v>12</v>
      </c>
      <c r="Q738" s="14"/>
      <c r="R738" s="14"/>
      <c r="S738" s="14">
        <v>66</v>
      </c>
      <c r="T738" s="14">
        <v>56</v>
      </c>
      <c r="U738" s="14">
        <v>72</v>
      </c>
      <c r="V738" s="14">
        <v>71</v>
      </c>
      <c r="W738" s="14">
        <f>V738/M738</f>
        <v>0.6228070175438597</v>
      </c>
      <c r="X738" s="14"/>
      <c r="Y738" s="14"/>
      <c r="Z738" s="14">
        <v>41</v>
      </c>
      <c r="AA738" s="14">
        <v>36</v>
      </c>
      <c r="AB738" s="14">
        <v>44</v>
      </c>
      <c r="AC738" s="14">
        <v>87</v>
      </c>
      <c r="AD738" s="34">
        <f t="shared" si="69"/>
        <v>0.76315789473684215</v>
      </c>
      <c r="AE738" s="35"/>
      <c r="AF738" s="35"/>
      <c r="AG738" s="35">
        <v>12</v>
      </c>
      <c r="AH738" s="35">
        <v>7</v>
      </c>
      <c r="AI738" s="35">
        <v>20</v>
      </c>
      <c r="AJ738" s="35"/>
      <c r="AK738" s="35"/>
      <c r="AL738" s="35"/>
      <c r="AM738" s="35"/>
      <c r="AN738" s="35"/>
      <c r="AO738" s="35"/>
      <c r="AP738" s="35"/>
      <c r="AQ738" s="35"/>
      <c r="AR738" s="35"/>
      <c r="AS738" s="35"/>
      <c r="AT738" s="35">
        <v>38</v>
      </c>
      <c r="AU738" s="14" t="s">
        <v>2449</v>
      </c>
      <c r="AV738" s="14" t="s">
        <v>2490</v>
      </c>
      <c r="AW738" s="14">
        <v>114</v>
      </c>
      <c r="AX738" s="14"/>
      <c r="AY738" s="14"/>
      <c r="AZ738" s="14"/>
      <c r="BA738" s="29"/>
      <c r="BB738" s="14"/>
      <c r="BC738" s="14"/>
      <c r="BD738" s="14"/>
      <c r="BE738" s="29" t="s">
        <v>2934</v>
      </c>
      <c r="BF738" s="29"/>
      <c r="BG738" s="14">
        <v>1.0049999999999999</v>
      </c>
      <c r="BH738" s="14">
        <v>1</v>
      </c>
      <c r="BI738" s="14">
        <v>1.0089999999999999</v>
      </c>
      <c r="BJ738" s="29"/>
      <c r="BK738" s="14"/>
      <c r="BL738" s="14"/>
      <c r="BM738" s="14"/>
      <c r="BN738" s="14" t="s">
        <v>2231</v>
      </c>
      <c r="BO738" s="14"/>
      <c r="BP738" s="14"/>
      <c r="BQ738" s="14" t="s">
        <v>2268</v>
      </c>
      <c r="BR738" s="14"/>
      <c r="BS738" s="14"/>
      <c r="BT738" s="14"/>
      <c r="BU738" s="14"/>
      <c r="BV738" s="14"/>
      <c r="BW738" s="14"/>
      <c r="BX738" s="14"/>
      <c r="BY738" s="14"/>
      <c r="BZ738" s="14"/>
      <c r="CA738" s="14"/>
      <c r="CB738" s="14"/>
      <c r="CC738" s="14" t="s">
        <v>2268</v>
      </c>
      <c r="CD738" s="14"/>
      <c r="CE738" s="14"/>
      <c r="CF738" s="14"/>
      <c r="CG738" s="14"/>
      <c r="CH738" s="14"/>
      <c r="CI738" s="14"/>
      <c r="CJ738" s="14"/>
      <c r="CK738" s="14"/>
      <c r="CL738" s="14"/>
      <c r="CM738" s="14"/>
      <c r="CN738" s="14"/>
      <c r="CO738" s="14"/>
      <c r="CP738" s="14"/>
      <c r="CQ738" s="14"/>
      <c r="CR738" s="14"/>
      <c r="CS738" s="14"/>
      <c r="CT738" s="14"/>
      <c r="CU738" s="14"/>
      <c r="CV738" s="14"/>
      <c r="CW738" s="14" t="s">
        <v>521</v>
      </c>
      <c r="CX738" s="14" t="s">
        <v>522</v>
      </c>
      <c r="CY738" s="14">
        <v>2023</v>
      </c>
      <c r="CZ738" s="36" t="s">
        <v>73</v>
      </c>
      <c r="DA738" s="14" t="s">
        <v>26</v>
      </c>
      <c r="DB738" s="14">
        <v>10</v>
      </c>
      <c r="DC738" s="14">
        <v>1</v>
      </c>
      <c r="DD738" s="14" t="s">
        <v>524</v>
      </c>
      <c r="DE738" s="14" t="s">
        <v>525</v>
      </c>
    </row>
    <row r="739" spans="1:109" s="13" customFormat="1" ht="20">
      <c r="A739" s="13" t="s">
        <v>3425</v>
      </c>
      <c r="B739" s="16"/>
      <c r="C739" s="13" t="s">
        <v>4170</v>
      </c>
      <c r="D739" s="14" t="s">
        <v>3980</v>
      </c>
      <c r="E739" s="13" t="s">
        <v>672</v>
      </c>
      <c r="F739" s="13" t="s">
        <v>686</v>
      </c>
      <c r="H739" s="14" t="s">
        <v>669</v>
      </c>
      <c r="I739" s="14" t="s">
        <v>3972</v>
      </c>
      <c r="J739" s="13" t="s">
        <v>585</v>
      </c>
      <c r="K739" s="13" t="s">
        <v>3975</v>
      </c>
      <c r="L739" s="13" t="s">
        <v>639</v>
      </c>
      <c r="M739" s="13">
        <v>77</v>
      </c>
      <c r="O739" s="15"/>
      <c r="P739" s="13">
        <v>7</v>
      </c>
      <c r="S739" s="13">
        <v>63</v>
      </c>
      <c r="T739" s="13">
        <v>56</v>
      </c>
      <c r="U739" s="13">
        <v>75.5</v>
      </c>
      <c r="V739" s="13">
        <v>41</v>
      </c>
      <c r="W739" s="2">
        <f>V739/M739</f>
        <v>0.53246753246753242</v>
      </c>
      <c r="Z739" s="13">
        <v>40</v>
      </c>
      <c r="AA739" s="13">
        <v>36</v>
      </c>
      <c r="AB739" s="13">
        <v>43.5</v>
      </c>
      <c r="AC739" s="13">
        <v>52</v>
      </c>
      <c r="AD739" s="13">
        <f t="shared" si="69"/>
        <v>0.67532467532467533</v>
      </c>
      <c r="AG739" s="13">
        <v>12</v>
      </c>
      <c r="AH739" s="13">
        <v>8</v>
      </c>
      <c r="AI739" s="13">
        <v>22.5</v>
      </c>
      <c r="BA739" s="16"/>
      <c r="BE739" s="16"/>
      <c r="BJ739" s="16"/>
      <c r="BN739" s="16" t="s">
        <v>2231</v>
      </c>
      <c r="BO739" s="13" t="s">
        <v>2490</v>
      </c>
      <c r="BQ739" s="13">
        <v>0.51100000000000001</v>
      </c>
      <c r="BU739" s="13" t="s">
        <v>635</v>
      </c>
      <c r="CC739" s="13">
        <v>-0.33500000000000002</v>
      </c>
      <c r="CG739" s="13">
        <v>0.02</v>
      </c>
      <c r="CW739" s="13" t="s">
        <v>3606</v>
      </c>
      <c r="CX739" s="13" t="s">
        <v>3607</v>
      </c>
      <c r="CY739" s="13">
        <v>2024</v>
      </c>
      <c r="DA739" s="13" t="s">
        <v>135</v>
      </c>
      <c r="DB739" s="13">
        <v>6</v>
      </c>
      <c r="DC739" s="13">
        <v>5</v>
      </c>
      <c r="DD739" s="13" t="s">
        <v>3608</v>
      </c>
      <c r="DE739" s="13" t="s">
        <v>3280</v>
      </c>
    </row>
    <row r="740" spans="1:109" s="13" customFormat="1" ht="20">
      <c r="A740" s="13" t="s">
        <v>3425</v>
      </c>
      <c r="B740" s="16"/>
      <c r="C740" s="13" t="s">
        <v>4170</v>
      </c>
      <c r="D740" s="14" t="s">
        <v>3980</v>
      </c>
      <c r="E740" s="13" t="s">
        <v>672</v>
      </c>
      <c r="F740" s="13" t="s">
        <v>675</v>
      </c>
      <c r="H740" s="14" t="s">
        <v>669</v>
      </c>
      <c r="I740" s="14" t="s">
        <v>3972</v>
      </c>
      <c r="J740" s="13" t="s">
        <v>585</v>
      </c>
      <c r="K740" s="13" t="s">
        <v>3973</v>
      </c>
      <c r="L740" s="13" t="s">
        <v>639</v>
      </c>
      <c r="M740" s="13">
        <v>64</v>
      </c>
      <c r="O740" s="15"/>
      <c r="S740" s="13">
        <v>63</v>
      </c>
      <c r="T740" s="13">
        <v>56</v>
      </c>
      <c r="U740" s="13">
        <v>75.5</v>
      </c>
      <c r="W740" s="2">
        <v>0.53200000000000003</v>
      </c>
      <c r="Z740" s="13">
        <v>40</v>
      </c>
      <c r="AA740" s="13">
        <v>36</v>
      </c>
      <c r="AB740" s="13">
        <v>43.5</v>
      </c>
      <c r="AD740" s="13">
        <v>0.67500000000000004</v>
      </c>
      <c r="AG740" s="13">
        <v>12</v>
      </c>
      <c r="AH740" s="13">
        <v>8</v>
      </c>
      <c r="AI740" s="13">
        <v>22.5</v>
      </c>
      <c r="BA740" s="16"/>
      <c r="BE740" s="16"/>
      <c r="BJ740" s="16"/>
      <c r="BN740" s="16" t="s">
        <v>2231</v>
      </c>
      <c r="BO740" s="13" t="s">
        <v>2490</v>
      </c>
      <c r="BQ740" s="13">
        <v>0.55200000000000005</v>
      </c>
      <c r="BU740" s="13" t="s">
        <v>635</v>
      </c>
      <c r="CC740" s="13">
        <v>-0.39800000000000002</v>
      </c>
      <c r="CG740" s="13">
        <v>0.01</v>
      </c>
      <c r="CW740" s="13" t="s">
        <v>3606</v>
      </c>
      <c r="CX740" s="13" t="s">
        <v>3607</v>
      </c>
      <c r="CY740" s="13">
        <v>2024</v>
      </c>
      <c r="DA740" s="13" t="s">
        <v>135</v>
      </c>
      <c r="DB740" s="13">
        <v>6</v>
      </c>
      <c r="DC740" s="13">
        <v>5</v>
      </c>
      <c r="DD740" s="13" t="s">
        <v>3608</v>
      </c>
      <c r="DE740" s="13" t="s">
        <v>3280</v>
      </c>
    </row>
    <row r="741" spans="1:109" s="13" customFormat="1" ht="20">
      <c r="A741" s="13" t="s">
        <v>3425</v>
      </c>
      <c r="B741" s="16"/>
      <c r="C741" s="13" t="s">
        <v>4170</v>
      </c>
      <c r="D741" s="14" t="s">
        <v>3980</v>
      </c>
      <c r="E741" s="13" t="s">
        <v>673</v>
      </c>
      <c r="F741" s="13" t="s">
        <v>3976</v>
      </c>
      <c r="H741" s="14" t="s">
        <v>669</v>
      </c>
      <c r="I741" s="14" t="s">
        <v>3972</v>
      </c>
      <c r="J741" s="13" t="s">
        <v>3978</v>
      </c>
      <c r="K741" s="13" t="s">
        <v>3977</v>
      </c>
      <c r="L741" s="13" t="s">
        <v>2773</v>
      </c>
      <c r="M741" s="13">
        <v>49</v>
      </c>
      <c r="O741" s="15"/>
      <c r="S741" s="13">
        <v>63</v>
      </c>
      <c r="T741" s="13">
        <v>56</v>
      </c>
      <c r="U741" s="13">
        <v>75.5</v>
      </c>
      <c r="W741" s="2">
        <v>0.53200000000000003</v>
      </c>
      <c r="Z741" s="13">
        <v>40</v>
      </c>
      <c r="AA741" s="13">
        <v>36</v>
      </c>
      <c r="AB741" s="13">
        <v>43.5</v>
      </c>
      <c r="AD741" s="13">
        <v>0.67500000000000004</v>
      </c>
      <c r="AG741" s="13">
        <v>12</v>
      </c>
      <c r="AH741" s="13">
        <v>8</v>
      </c>
      <c r="AI741" s="13">
        <v>22.5</v>
      </c>
      <c r="BA741" s="16"/>
      <c r="BE741" s="16"/>
      <c r="BJ741" s="16"/>
      <c r="BN741" s="16" t="s">
        <v>2231</v>
      </c>
      <c r="BO741" s="13" t="s">
        <v>2490</v>
      </c>
      <c r="BQ741" s="13">
        <v>-6.4000000000000001E-2</v>
      </c>
      <c r="BU741" s="13">
        <v>0.66400000000000003</v>
      </c>
      <c r="CC741" s="13">
        <v>0.188</v>
      </c>
      <c r="CG741" s="13">
        <v>0.999</v>
      </c>
      <c r="CW741" s="13" t="s">
        <v>3606</v>
      </c>
      <c r="CX741" s="13" t="s">
        <v>3607</v>
      </c>
      <c r="CY741" s="13">
        <v>2024</v>
      </c>
      <c r="DA741" s="13" t="s">
        <v>135</v>
      </c>
      <c r="DB741" s="13">
        <v>6</v>
      </c>
      <c r="DC741" s="13">
        <v>5</v>
      </c>
      <c r="DD741" s="13" t="s">
        <v>3608</v>
      </c>
      <c r="DE741" s="13" t="s">
        <v>3280</v>
      </c>
    </row>
    <row r="742" spans="1:109" s="13" customFormat="1" ht="20">
      <c r="A742" s="13" t="s">
        <v>3425</v>
      </c>
      <c r="B742" s="16"/>
      <c r="C742" s="13" t="s">
        <v>4170</v>
      </c>
      <c r="D742" s="14" t="s">
        <v>3980</v>
      </c>
      <c r="E742" s="13" t="s">
        <v>673</v>
      </c>
      <c r="F742" s="13" t="s">
        <v>707</v>
      </c>
      <c r="H742" s="14" t="s">
        <v>669</v>
      </c>
      <c r="I742" s="14" t="s">
        <v>3972</v>
      </c>
      <c r="J742" s="13" t="s">
        <v>3978</v>
      </c>
      <c r="K742" s="13" t="s">
        <v>3977</v>
      </c>
      <c r="L742" s="13" t="s">
        <v>708</v>
      </c>
      <c r="M742" s="13">
        <v>56</v>
      </c>
      <c r="O742" s="15"/>
      <c r="S742" s="13">
        <v>63</v>
      </c>
      <c r="T742" s="13">
        <v>56</v>
      </c>
      <c r="U742" s="13">
        <v>75.5</v>
      </c>
      <c r="W742" s="2">
        <v>0.53200000000000003</v>
      </c>
      <c r="Z742" s="13">
        <v>40</v>
      </c>
      <c r="AA742" s="13">
        <v>36</v>
      </c>
      <c r="AB742" s="13">
        <v>43.5</v>
      </c>
      <c r="AD742" s="13">
        <v>0.67500000000000004</v>
      </c>
      <c r="AG742" s="13">
        <v>12</v>
      </c>
      <c r="AH742" s="13">
        <v>8</v>
      </c>
      <c r="AI742" s="13">
        <v>22.5</v>
      </c>
      <c r="BA742" s="16"/>
      <c r="BE742" s="16"/>
      <c r="BJ742" s="16"/>
      <c r="BN742" s="16" t="s">
        <v>2231</v>
      </c>
      <c r="BO742" s="13" t="s">
        <v>2490</v>
      </c>
      <c r="BQ742" s="13">
        <v>8.8999999999999996E-2</v>
      </c>
      <c r="BU742" s="13">
        <v>0.51500000000000001</v>
      </c>
      <c r="CC742" s="13">
        <v>-0.30599999999999999</v>
      </c>
      <c r="CG742" s="13">
        <v>0.14000000000000001</v>
      </c>
      <c r="CW742" s="13" t="s">
        <v>3606</v>
      </c>
      <c r="CX742" s="13" t="s">
        <v>3607</v>
      </c>
      <c r="CY742" s="13">
        <v>2024</v>
      </c>
      <c r="DA742" s="13" t="s">
        <v>135</v>
      </c>
      <c r="DB742" s="13">
        <v>6</v>
      </c>
      <c r="DC742" s="13">
        <v>5</v>
      </c>
      <c r="DD742" s="13" t="s">
        <v>3608</v>
      </c>
      <c r="DE742" s="13" t="s">
        <v>3280</v>
      </c>
    </row>
    <row r="743" spans="1:109" s="13" customFormat="1" ht="20">
      <c r="A743" s="13" t="s">
        <v>3425</v>
      </c>
      <c r="B743" s="16"/>
      <c r="C743" s="13" t="s">
        <v>4170</v>
      </c>
      <c r="D743" s="14" t="s">
        <v>3980</v>
      </c>
      <c r="E743" s="13" t="s">
        <v>673</v>
      </c>
      <c r="F743" s="13" t="s">
        <v>2198</v>
      </c>
      <c r="H743" s="14" t="s">
        <v>669</v>
      </c>
      <c r="I743" s="14" t="s">
        <v>3972</v>
      </c>
      <c r="J743" s="13" t="s">
        <v>3978</v>
      </c>
      <c r="K743" s="13" t="s">
        <v>3977</v>
      </c>
      <c r="L743" s="13" t="s">
        <v>3979</v>
      </c>
      <c r="M743" s="13">
        <v>70</v>
      </c>
      <c r="O743" s="15"/>
      <c r="S743" s="13">
        <v>63</v>
      </c>
      <c r="T743" s="13">
        <v>56</v>
      </c>
      <c r="U743" s="13">
        <v>75.5</v>
      </c>
      <c r="W743" s="2">
        <v>0.53200000000000003</v>
      </c>
      <c r="Z743" s="13">
        <v>40</v>
      </c>
      <c r="AA743" s="13">
        <v>36</v>
      </c>
      <c r="AB743" s="13">
        <v>43.5</v>
      </c>
      <c r="AD743" s="13">
        <v>0.67500000000000004</v>
      </c>
      <c r="AG743" s="13">
        <v>12</v>
      </c>
      <c r="AH743" s="13">
        <v>8</v>
      </c>
      <c r="AI743" s="13">
        <v>22.5</v>
      </c>
      <c r="BA743" s="16"/>
      <c r="BE743" s="16"/>
      <c r="BJ743" s="16"/>
      <c r="BN743" s="16" t="s">
        <v>2231</v>
      </c>
      <c r="BO743" s="13" t="s">
        <v>2490</v>
      </c>
      <c r="BQ743" s="13">
        <v>-0.23200000000000001</v>
      </c>
      <c r="BU743" s="13">
        <v>5.3999999999999999E-2</v>
      </c>
      <c r="CC743" s="13">
        <v>0.40300000000000002</v>
      </c>
      <c r="CG743" s="13">
        <v>5.0000000000000001E-3</v>
      </c>
      <c r="CW743" s="13" t="s">
        <v>3606</v>
      </c>
      <c r="CX743" s="13" t="s">
        <v>3607</v>
      </c>
      <c r="CY743" s="13">
        <v>2024</v>
      </c>
      <c r="DA743" s="13" t="s">
        <v>135</v>
      </c>
      <c r="DB743" s="13">
        <v>6</v>
      </c>
      <c r="DC743" s="13">
        <v>5</v>
      </c>
      <c r="DD743" s="13" t="s">
        <v>3608</v>
      </c>
      <c r="DE743" s="13" t="s">
        <v>3280</v>
      </c>
    </row>
    <row r="744" spans="1:109" s="13" customFormat="1" ht="20">
      <c r="A744" s="13" t="s">
        <v>3425</v>
      </c>
      <c r="B744" s="16"/>
      <c r="C744" s="13" t="s">
        <v>4170</v>
      </c>
      <c r="D744" s="14" t="s">
        <v>3980</v>
      </c>
      <c r="E744" s="13" t="s">
        <v>673</v>
      </c>
      <c r="F744" s="13" t="s">
        <v>2337</v>
      </c>
      <c r="H744" s="14" t="s">
        <v>669</v>
      </c>
      <c r="I744" s="14" t="s">
        <v>3972</v>
      </c>
      <c r="J744" s="13" t="s">
        <v>3978</v>
      </c>
      <c r="K744" s="13" t="s">
        <v>3977</v>
      </c>
      <c r="L744" s="13" t="s">
        <v>2376</v>
      </c>
      <c r="M744" s="13">
        <v>70</v>
      </c>
      <c r="O744" s="15"/>
      <c r="S744" s="13">
        <v>63</v>
      </c>
      <c r="T744" s="13">
        <v>56</v>
      </c>
      <c r="U744" s="13">
        <v>75.5</v>
      </c>
      <c r="W744" s="2">
        <v>0.53200000000000003</v>
      </c>
      <c r="Z744" s="13">
        <v>40</v>
      </c>
      <c r="AA744" s="13">
        <v>36</v>
      </c>
      <c r="AB744" s="13">
        <v>43.5</v>
      </c>
      <c r="AD744" s="13">
        <v>0.67500000000000004</v>
      </c>
      <c r="AG744" s="13">
        <v>12</v>
      </c>
      <c r="AH744" s="13">
        <v>8</v>
      </c>
      <c r="AI744" s="13">
        <v>22.5</v>
      </c>
      <c r="BA744" s="16"/>
      <c r="BE744" s="16"/>
      <c r="BJ744" s="16"/>
      <c r="BN744" s="16" t="s">
        <v>2231</v>
      </c>
      <c r="BO744" s="13" t="s">
        <v>2490</v>
      </c>
      <c r="BQ744" s="13">
        <v>-0.13700000000000001</v>
      </c>
      <c r="BU744" s="13">
        <v>0.25900000000000001</v>
      </c>
      <c r="CC744" s="13">
        <v>0.378</v>
      </c>
      <c r="CG744" s="13">
        <v>0.01</v>
      </c>
      <c r="CW744" s="13" t="s">
        <v>3606</v>
      </c>
      <c r="CX744" s="13" t="s">
        <v>3607</v>
      </c>
      <c r="CY744" s="13">
        <v>2024</v>
      </c>
      <c r="DA744" s="13" t="s">
        <v>135</v>
      </c>
      <c r="DB744" s="13">
        <v>6</v>
      </c>
      <c r="DC744" s="13">
        <v>5</v>
      </c>
      <c r="DD744" s="13" t="s">
        <v>3608</v>
      </c>
      <c r="DE744" s="13" t="s">
        <v>3280</v>
      </c>
    </row>
    <row r="745" spans="1:109" s="13" customFormat="1" ht="20">
      <c r="A745" s="13" t="s">
        <v>1753</v>
      </c>
      <c r="B745" s="13" t="s">
        <v>1753</v>
      </c>
      <c r="C745" s="13" t="s">
        <v>537</v>
      </c>
      <c r="D745" s="14" t="s">
        <v>4179</v>
      </c>
      <c r="G745" s="14"/>
      <c r="L745" s="14"/>
      <c r="V745" s="14"/>
      <c r="W745" s="14"/>
      <c r="X745" s="14"/>
      <c r="Y745" s="14"/>
      <c r="Z745" s="14"/>
      <c r="AA745" s="14"/>
      <c r="AB745" s="14"/>
      <c r="AC745" s="14"/>
      <c r="AD745" s="34"/>
      <c r="AE745" s="35"/>
      <c r="AF745" s="35"/>
      <c r="AG745" s="35"/>
      <c r="AH745" s="35"/>
      <c r="AI745" s="35"/>
      <c r="AJ745" s="35"/>
      <c r="AK745" s="35"/>
      <c r="AL745" s="35"/>
      <c r="AM745" s="35"/>
      <c r="AN745" s="35"/>
      <c r="AO745" s="35"/>
      <c r="AP745" s="35"/>
      <c r="AQ745" s="35"/>
      <c r="AR745" s="35"/>
      <c r="AS745" s="35"/>
      <c r="AT745" s="35"/>
      <c r="AU745" s="14"/>
      <c r="AV745" s="14"/>
      <c r="AW745" s="14"/>
      <c r="AX745" s="14"/>
      <c r="AY745" s="14"/>
      <c r="AZ745" s="14"/>
      <c r="BA745" s="29"/>
      <c r="BB745" s="14"/>
      <c r="BC745" s="14"/>
      <c r="BD745" s="14"/>
      <c r="BE745" s="29"/>
      <c r="BF745" s="29"/>
      <c r="BG745" s="14"/>
      <c r="BH745" s="14"/>
      <c r="BI745" s="14"/>
      <c r="BJ745" s="29"/>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3" t="s">
        <v>534</v>
      </c>
      <c r="CX745" s="13" t="s">
        <v>535</v>
      </c>
      <c r="CY745" s="13">
        <v>2019</v>
      </c>
      <c r="DA745" s="13" t="s">
        <v>416</v>
      </c>
      <c r="DB745" s="13">
        <v>10</v>
      </c>
      <c r="DD745" s="13" t="s">
        <v>2211</v>
      </c>
      <c r="DE745" s="13" t="s">
        <v>536</v>
      </c>
    </row>
    <row r="746" spans="1:109" s="13" customFormat="1" ht="20">
      <c r="A746" s="14" t="s">
        <v>2021</v>
      </c>
      <c r="B746" s="14"/>
      <c r="C746" s="14" t="s">
        <v>2022</v>
      </c>
      <c r="D746" s="14" t="s">
        <v>830</v>
      </c>
      <c r="E746" s="14" t="s">
        <v>973</v>
      </c>
      <c r="F746" s="14" t="s">
        <v>2941</v>
      </c>
      <c r="G746" s="14"/>
      <c r="H746" s="14" t="s">
        <v>703</v>
      </c>
      <c r="I746" s="14" t="s">
        <v>2937</v>
      </c>
      <c r="J746" s="14" t="s">
        <v>2939</v>
      </c>
      <c r="K746" s="14"/>
      <c r="L746" s="14"/>
      <c r="M746" s="14">
        <v>61</v>
      </c>
      <c r="N746" s="14"/>
      <c r="O746" s="34"/>
      <c r="P746" s="14"/>
      <c r="Q746" s="14">
        <v>62.88</v>
      </c>
      <c r="R746" s="14">
        <v>12.6</v>
      </c>
      <c r="S746" s="14"/>
      <c r="T746" s="14"/>
      <c r="U746" s="14"/>
      <c r="V746" s="14">
        <v>39</v>
      </c>
      <c r="W746" s="14">
        <f t="shared" ref="W746:W752" si="70">V746/M746</f>
        <v>0.63934426229508201</v>
      </c>
      <c r="X746" s="14"/>
      <c r="Y746" s="14"/>
      <c r="Z746" s="14"/>
      <c r="AA746" s="14"/>
      <c r="AB746" s="14"/>
      <c r="AC746" s="14">
        <v>41</v>
      </c>
      <c r="AD746" s="34">
        <f t="shared" ref="AD746:AD752" si="71">AC746/M746</f>
        <v>0.67213114754098358</v>
      </c>
      <c r="AE746" s="35"/>
      <c r="AF746" s="35"/>
      <c r="AG746" s="35"/>
      <c r="AH746" s="35"/>
      <c r="AI746" s="35"/>
      <c r="AJ746" s="35"/>
      <c r="AK746" s="35"/>
      <c r="AL746" s="35"/>
      <c r="AM746" s="35"/>
      <c r="AN746" s="35"/>
      <c r="AO746" s="35"/>
      <c r="AP746" s="35"/>
      <c r="AQ746" s="35"/>
      <c r="AR746" s="35"/>
      <c r="AS746" s="35"/>
      <c r="AT746" s="35"/>
      <c r="AU746" s="14"/>
      <c r="AV746" s="14"/>
      <c r="AW746" s="14"/>
      <c r="AX746" s="14"/>
      <c r="AY746" s="14"/>
      <c r="AZ746" s="14"/>
      <c r="BA746" s="29"/>
      <c r="BB746" s="14"/>
      <c r="BC746" s="14"/>
      <c r="BD746" s="14"/>
      <c r="BE746" s="29"/>
      <c r="BF746" s="29"/>
      <c r="BG746" s="14"/>
      <c r="BH746" s="14"/>
      <c r="BI746" s="14"/>
      <c r="BJ746" s="29"/>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c r="CM746" s="14"/>
      <c r="CN746" s="14"/>
      <c r="CO746" s="14"/>
      <c r="CP746" s="14"/>
      <c r="CQ746" s="14"/>
      <c r="CR746" s="14"/>
      <c r="CS746" s="14"/>
      <c r="CT746" s="14"/>
      <c r="CU746" s="14"/>
      <c r="CV746" s="14" t="s">
        <v>2940</v>
      </c>
      <c r="CW746" s="14" t="s">
        <v>2099</v>
      </c>
      <c r="CX746" s="14" t="s">
        <v>2100</v>
      </c>
      <c r="CY746" s="14">
        <v>2024</v>
      </c>
      <c r="CZ746" s="36" t="s">
        <v>12</v>
      </c>
      <c r="DA746" s="14" t="s">
        <v>1080</v>
      </c>
      <c r="DB746" s="14">
        <v>14</v>
      </c>
      <c r="DC746" s="14">
        <v>6</v>
      </c>
      <c r="DD746" s="14"/>
      <c r="DE746" s="14" t="s">
        <v>2101</v>
      </c>
    </row>
    <row r="747" spans="1:109" s="13" customFormat="1" ht="20">
      <c r="A747" s="14" t="s">
        <v>1925</v>
      </c>
      <c r="B747" s="14"/>
      <c r="C747" s="14" t="s">
        <v>1560</v>
      </c>
      <c r="D747" s="14" t="s">
        <v>2371</v>
      </c>
      <c r="E747" s="14" t="s">
        <v>672</v>
      </c>
      <c r="F747" s="14" t="s">
        <v>680</v>
      </c>
      <c r="G747" s="14"/>
      <c r="H747" s="14" t="s">
        <v>584</v>
      </c>
      <c r="I747" s="14" t="s">
        <v>2944</v>
      </c>
      <c r="J747" s="14" t="s">
        <v>585</v>
      </c>
      <c r="K747" s="14" t="s">
        <v>2946</v>
      </c>
      <c r="L747" s="14" t="s">
        <v>639</v>
      </c>
      <c r="M747" s="14">
        <v>118</v>
      </c>
      <c r="N747" s="14"/>
      <c r="O747" s="34"/>
      <c r="P747" s="14">
        <v>15</v>
      </c>
      <c r="Q747" s="14">
        <v>57</v>
      </c>
      <c r="R747" s="14">
        <v>10</v>
      </c>
      <c r="S747" s="14"/>
      <c r="T747" s="14"/>
      <c r="U747" s="14"/>
      <c r="V747" s="14">
        <v>70</v>
      </c>
      <c r="W747" s="14">
        <f t="shared" si="70"/>
        <v>0.59322033898305082</v>
      </c>
      <c r="X747" s="14"/>
      <c r="Y747" s="14"/>
      <c r="Z747" s="14"/>
      <c r="AA747" s="14"/>
      <c r="AB747" s="14"/>
      <c r="AC747" s="14">
        <v>88</v>
      </c>
      <c r="AD747" s="34">
        <f t="shared" si="71"/>
        <v>0.74576271186440679</v>
      </c>
      <c r="AE747" s="35"/>
      <c r="AF747" s="35"/>
      <c r="AG747" s="35"/>
      <c r="AH747" s="35"/>
      <c r="AI747" s="35"/>
      <c r="AJ747" s="35"/>
      <c r="AK747" s="35"/>
      <c r="AL747" s="35"/>
      <c r="AM747" s="35"/>
      <c r="AN747" s="35"/>
      <c r="AO747" s="35"/>
      <c r="AP747" s="35"/>
      <c r="AQ747" s="35"/>
      <c r="AR747" s="35"/>
      <c r="AS747" s="35"/>
      <c r="AT747" s="35"/>
      <c r="AU747" s="14"/>
      <c r="AV747" s="14"/>
      <c r="AW747" s="14"/>
      <c r="AX747" s="14"/>
      <c r="AY747" s="14"/>
      <c r="AZ747" s="14"/>
      <c r="BA747" s="29"/>
      <c r="BB747" s="14"/>
      <c r="BC747" s="14"/>
      <c r="BD747" s="14"/>
      <c r="BE747" s="29"/>
      <c r="BF747" s="29"/>
      <c r="BG747" s="14"/>
      <c r="BH747" s="14"/>
      <c r="BI747" s="14"/>
      <c r="BJ747" s="29"/>
      <c r="BK747" s="14"/>
      <c r="BL747" s="14"/>
      <c r="BM747" s="14"/>
      <c r="BN747" s="14" t="s">
        <v>2552</v>
      </c>
      <c r="BO747" s="14" t="s">
        <v>2800</v>
      </c>
      <c r="BP747" s="14"/>
      <c r="BQ747" s="14"/>
      <c r="BR747" s="14"/>
      <c r="BS747" s="14"/>
      <c r="BT747" s="14"/>
      <c r="BU747" s="14"/>
      <c r="BV747" s="14"/>
      <c r="BW747" s="14"/>
      <c r="BX747" s="14"/>
      <c r="BY747" s="14"/>
      <c r="BZ747" s="14"/>
      <c r="CA747" s="14"/>
      <c r="CB747" s="14"/>
      <c r="CC747" s="14">
        <v>-0.2402</v>
      </c>
      <c r="CD747" s="14"/>
      <c r="CE747" s="14"/>
      <c r="CF747" s="14"/>
      <c r="CG747" s="14">
        <v>0.02</v>
      </c>
      <c r="CH747" s="14"/>
      <c r="CI747" s="14"/>
      <c r="CJ747" s="14"/>
      <c r="CK747" s="14"/>
      <c r="CL747" s="14"/>
      <c r="CM747" s="14"/>
      <c r="CN747" s="14"/>
      <c r="CO747" s="14"/>
      <c r="CP747" s="14"/>
      <c r="CQ747" s="14"/>
      <c r="CR747" s="14"/>
      <c r="CS747" s="14"/>
      <c r="CT747" s="14"/>
      <c r="CU747" s="14"/>
      <c r="CV747" s="14" t="s">
        <v>2948</v>
      </c>
      <c r="CW747" s="14" t="s">
        <v>1556</v>
      </c>
      <c r="CX747" s="14" t="s">
        <v>1557</v>
      </c>
      <c r="CY747" s="14">
        <v>2020</v>
      </c>
      <c r="CZ747" s="36" t="s">
        <v>188</v>
      </c>
      <c r="DA747" s="14" t="s">
        <v>195</v>
      </c>
      <c r="DB747" s="14">
        <v>91</v>
      </c>
      <c r="DC747" s="14">
        <v>4</v>
      </c>
      <c r="DD747" s="14" t="s">
        <v>1558</v>
      </c>
      <c r="DE747" s="14" t="s">
        <v>1559</v>
      </c>
    </row>
    <row r="748" spans="1:109" s="13" customFormat="1" ht="20">
      <c r="A748" s="14" t="s">
        <v>1925</v>
      </c>
      <c r="B748" s="14"/>
      <c r="C748" s="14" t="s">
        <v>1560</v>
      </c>
      <c r="D748" s="14" t="s">
        <v>2371</v>
      </c>
      <c r="E748" s="14" t="s">
        <v>672</v>
      </c>
      <c r="F748" s="14" t="s">
        <v>679</v>
      </c>
      <c r="G748" s="14"/>
      <c r="H748" s="14" t="s">
        <v>584</v>
      </c>
      <c r="I748" s="14" t="s">
        <v>2944</v>
      </c>
      <c r="J748" s="14" t="s">
        <v>585</v>
      </c>
      <c r="K748" s="14" t="s">
        <v>2945</v>
      </c>
      <c r="L748" s="14" t="s">
        <v>639</v>
      </c>
      <c r="M748" s="14">
        <v>118</v>
      </c>
      <c r="N748" s="14"/>
      <c r="O748" s="34"/>
      <c r="P748" s="14">
        <v>15</v>
      </c>
      <c r="Q748" s="14">
        <v>57</v>
      </c>
      <c r="R748" s="14">
        <v>10</v>
      </c>
      <c r="S748" s="14"/>
      <c r="T748" s="14"/>
      <c r="U748" s="14"/>
      <c r="V748" s="14">
        <v>70</v>
      </c>
      <c r="W748" s="14">
        <f t="shared" si="70"/>
        <v>0.59322033898305082</v>
      </c>
      <c r="X748" s="14"/>
      <c r="Y748" s="14"/>
      <c r="Z748" s="14"/>
      <c r="AA748" s="14"/>
      <c r="AB748" s="14"/>
      <c r="AC748" s="14">
        <v>88</v>
      </c>
      <c r="AD748" s="34">
        <f t="shared" si="71"/>
        <v>0.74576271186440679</v>
      </c>
      <c r="AE748" s="35"/>
      <c r="AF748" s="35"/>
      <c r="AG748" s="35"/>
      <c r="AH748" s="35"/>
      <c r="AI748" s="35"/>
      <c r="AJ748" s="35"/>
      <c r="AK748" s="35"/>
      <c r="AL748" s="35"/>
      <c r="AM748" s="35"/>
      <c r="AN748" s="35"/>
      <c r="AO748" s="35"/>
      <c r="AP748" s="35"/>
      <c r="AQ748" s="35"/>
      <c r="AR748" s="35"/>
      <c r="AS748" s="35"/>
      <c r="AT748" s="35"/>
      <c r="AU748" s="14"/>
      <c r="AV748" s="14"/>
      <c r="AW748" s="14"/>
      <c r="AX748" s="14"/>
      <c r="AY748" s="14"/>
      <c r="AZ748" s="14"/>
      <c r="BA748" s="29"/>
      <c r="BB748" s="14"/>
      <c r="BC748" s="14"/>
      <c r="BD748" s="14"/>
      <c r="BE748" s="29"/>
      <c r="BF748" s="29"/>
      <c r="BG748" s="14"/>
      <c r="BH748" s="14"/>
      <c r="BI748" s="14"/>
      <c r="BJ748" s="29"/>
      <c r="BK748" s="14"/>
      <c r="BL748" s="14"/>
      <c r="BM748" s="14"/>
      <c r="BN748" s="14" t="s">
        <v>2552</v>
      </c>
      <c r="BO748" s="14" t="s">
        <v>2800</v>
      </c>
      <c r="BP748" s="14"/>
      <c r="BQ748" s="14"/>
      <c r="BR748" s="14"/>
      <c r="BS748" s="14"/>
      <c r="BT748" s="14"/>
      <c r="BU748" s="14"/>
      <c r="BV748" s="14"/>
      <c r="BW748" s="14"/>
      <c r="BX748" s="14"/>
      <c r="BY748" s="14"/>
      <c r="BZ748" s="14"/>
      <c r="CA748" s="14"/>
      <c r="CB748" s="14"/>
      <c r="CC748" s="14">
        <v>-0.15809999999999999</v>
      </c>
      <c r="CD748" s="14"/>
      <c r="CE748" s="14"/>
      <c r="CF748" s="14"/>
      <c r="CG748" s="14">
        <v>0.15609999999999999</v>
      </c>
      <c r="CH748" s="14"/>
      <c r="CI748" s="14"/>
      <c r="CJ748" s="14"/>
      <c r="CK748" s="14"/>
      <c r="CL748" s="14"/>
      <c r="CM748" s="14"/>
      <c r="CN748" s="14"/>
      <c r="CO748" s="14"/>
      <c r="CP748" s="14"/>
      <c r="CQ748" s="14"/>
      <c r="CR748" s="14"/>
      <c r="CS748" s="14"/>
      <c r="CT748" s="14"/>
      <c r="CU748" s="14"/>
      <c r="CV748" s="14" t="s">
        <v>2948</v>
      </c>
      <c r="CW748" s="14" t="s">
        <v>1556</v>
      </c>
      <c r="CX748" s="14" t="s">
        <v>1557</v>
      </c>
      <c r="CY748" s="14">
        <v>2020</v>
      </c>
      <c r="CZ748" s="36" t="s">
        <v>188</v>
      </c>
      <c r="DA748" s="14" t="s">
        <v>195</v>
      </c>
      <c r="DB748" s="14">
        <v>91</v>
      </c>
      <c r="DC748" s="14">
        <v>4</v>
      </c>
      <c r="DD748" s="14" t="s">
        <v>1558</v>
      </c>
      <c r="DE748" s="14" t="s">
        <v>1559</v>
      </c>
    </row>
    <row r="749" spans="1:109" s="13" customFormat="1" ht="20">
      <c r="A749" s="14" t="s">
        <v>1925</v>
      </c>
      <c r="B749" s="14"/>
      <c r="C749" s="14" t="s">
        <v>1560</v>
      </c>
      <c r="D749" s="14" t="s">
        <v>2371</v>
      </c>
      <c r="E749" s="14" t="s">
        <v>674</v>
      </c>
      <c r="F749" s="14" t="s">
        <v>680</v>
      </c>
      <c r="G749" s="14"/>
      <c r="H749" s="14" t="s">
        <v>584</v>
      </c>
      <c r="I749" s="14" t="s">
        <v>2944</v>
      </c>
      <c r="J749" s="14" t="s">
        <v>585</v>
      </c>
      <c r="K749" s="14" t="s">
        <v>2946</v>
      </c>
      <c r="L749" s="14" t="s">
        <v>639</v>
      </c>
      <c r="M749" s="14">
        <v>118</v>
      </c>
      <c r="N749" s="14"/>
      <c r="O749" s="34"/>
      <c r="P749" s="14">
        <v>15</v>
      </c>
      <c r="Q749" s="14">
        <v>57</v>
      </c>
      <c r="R749" s="14">
        <v>10</v>
      </c>
      <c r="S749" s="14"/>
      <c r="T749" s="14"/>
      <c r="U749" s="14"/>
      <c r="V749" s="14">
        <v>70</v>
      </c>
      <c r="W749" s="14">
        <f t="shared" si="70"/>
        <v>0.59322033898305082</v>
      </c>
      <c r="X749" s="14"/>
      <c r="Y749" s="14"/>
      <c r="Z749" s="14"/>
      <c r="AA749" s="14"/>
      <c r="AB749" s="14"/>
      <c r="AC749" s="14">
        <v>88</v>
      </c>
      <c r="AD749" s="34">
        <f t="shared" si="71"/>
        <v>0.74576271186440679</v>
      </c>
      <c r="AE749" s="35"/>
      <c r="AF749" s="35"/>
      <c r="AG749" s="35"/>
      <c r="AH749" s="35"/>
      <c r="AI749" s="35"/>
      <c r="AJ749" s="35"/>
      <c r="AK749" s="35"/>
      <c r="AL749" s="35"/>
      <c r="AM749" s="35"/>
      <c r="AN749" s="35"/>
      <c r="AO749" s="35"/>
      <c r="AP749" s="35"/>
      <c r="AQ749" s="35"/>
      <c r="AR749" s="35"/>
      <c r="AS749" s="35"/>
      <c r="AT749" s="35"/>
      <c r="AU749" s="14"/>
      <c r="AV749" s="14"/>
      <c r="AW749" s="14"/>
      <c r="AX749" s="14"/>
      <c r="AY749" s="14"/>
      <c r="AZ749" s="14"/>
      <c r="BA749" s="29"/>
      <c r="BB749" s="14"/>
      <c r="BC749" s="14"/>
      <c r="BD749" s="14"/>
      <c r="BE749" s="29"/>
      <c r="BF749" s="29"/>
      <c r="BG749" s="14"/>
      <c r="BH749" s="14"/>
      <c r="BI749" s="14"/>
      <c r="BJ749" s="29"/>
      <c r="BK749" s="14"/>
      <c r="BL749" s="14"/>
      <c r="BM749" s="14"/>
      <c r="BN749" s="14" t="s">
        <v>2552</v>
      </c>
      <c r="BO749" s="14" t="s">
        <v>2800</v>
      </c>
      <c r="BP749" s="14"/>
      <c r="BQ749" s="14"/>
      <c r="BR749" s="14"/>
      <c r="BS749" s="14"/>
      <c r="BT749" s="14"/>
      <c r="BU749" s="14"/>
      <c r="BV749" s="14"/>
      <c r="BW749" s="14"/>
      <c r="BX749" s="14"/>
      <c r="BY749" s="14"/>
      <c r="BZ749" s="14"/>
      <c r="CA749" s="14"/>
      <c r="CB749" s="14"/>
      <c r="CC749" s="14">
        <v>-0.21609999999999999</v>
      </c>
      <c r="CD749" s="14"/>
      <c r="CE749" s="14"/>
      <c r="CF749" s="14"/>
      <c r="CG749" s="14">
        <v>0.05</v>
      </c>
      <c r="CH749" s="14"/>
      <c r="CI749" s="14"/>
      <c r="CJ749" s="14"/>
      <c r="CK749" s="14"/>
      <c r="CL749" s="14"/>
      <c r="CM749" s="14"/>
      <c r="CN749" s="14"/>
      <c r="CO749" s="14"/>
      <c r="CP749" s="14"/>
      <c r="CQ749" s="14"/>
      <c r="CR749" s="14"/>
      <c r="CS749" s="14"/>
      <c r="CT749" s="14"/>
      <c r="CU749" s="14"/>
      <c r="CV749" s="14" t="s">
        <v>2948</v>
      </c>
      <c r="CW749" s="14" t="s">
        <v>1556</v>
      </c>
      <c r="CX749" s="14" t="s">
        <v>1557</v>
      </c>
      <c r="CY749" s="14">
        <v>2020</v>
      </c>
      <c r="CZ749" s="36" t="s">
        <v>188</v>
      </c>
      <c r="DA749" s="14" t="s">
        <v>195</v>
      </c>
      <c r="DB749" s="14">
        <v>91</v>
      </c>
      <c r="DC749" s="14">
        <v>4</v>
      </c>
      <c r="DD749" s="14" t="s">
        <v>1558</v>
      </c>
      <c r="DE749" s="14" t="s">
        <v>1559</v>
      </c>
    </row>
    <row r="750" spans="1:109" s="13" customFormat="1" ht="20">
      <c r="A750" s="14" t="s">
        <v>1925</v>
      </c>
      <c r="B750" s="14"/>
      <c r="C750" s="14" t="s">
        <v>1560</v>
      </c>
      <c r="D750" s="14" t="s">
        <v>2371</v>
      </c>
      <c r="E750" s="14" t="s">
        <v>674</v>
      </c>
      <c r="F750" s="14" t="s">
        <v>679</v>
      </c>
      <c r="G750" s="14"/>
      <c r="H750" s="14" t="s">
        <v>584</v>
      </c>
      <c r="I750" s="14" t="s">
        <v>2944</v>
      </c>
      <c r="J750" s="14" t="s">
        <v>585</v>
      </c>
      <c r="K750" s="14" t="s">
        <v>2945</v>
      </c>
      <c r="L750" s="14" t="s">
        <v>639</v>
      </c>
      <c r="M750" s="14">
        <v>118</v>
      </c>
      <c r="N750" s="14"/>
      <c r="O750" s="34"/>
      <c r="P750" s="14">
        <v>15</v>
      </c>
      <c r="Q750" s="14">
        <v>57</v>
      </c>
      <c r="R750" s="14">
        <v>10</v>
      </c>
      <c r="S750" s="14"/>
      <c r="T750" s="14"/>
      <c r="U750" s="14"/>
      <c r="V750" s="14">
        <v>70</v>
      </c>
      <c r="W750" s="14">
        <f t="shared" si="70"/>
        <v>0.59322033898305082</v>
      </c>
      <c r="X750" s="14"/>
      <c r="Y750" s="14"/>
      <c r="Z750" s="14"/>
      <c r="AA750" s="14"/>
      <c r="AB750" s="14"/>
      <c r="AC750" s="14">
        <v>88</v>
      </c>
      <c r="AD750" s="34">
        <f t="shared" si="71"/>
        <v>0.74576271186440679</v>
      </c>
      <c r="AE750" s="35"/>
      <c r="AF750" s="35"/>
      <c r="AG750" s="35"/>
      <c r="AH750" s="35"/>
      <c r="AI750" s="35"/>
      <c r="AJ750" s="35"/>
      <c r="AK750" s="35"/>
      <c r="AL750" s="35"/>
      <c r="AM750" s="35"/>
      <c r="AN750" s="35"/>
      <c r="AO750" s="35"/>
      <c r="AP750" s="35"/>
      <c r="AQ750" s="35"/>
      <c r="AR750" s="35"/>
      <c r="AS750" s="35"/>
      <c r="AT750" s="35"/>
      <c r="AU750" s="14"/>
      <c r="AV750" s="14"/>
      <c r="AW750" s="14"/>
      <c r="AX750" s="14"/>
      <c r="AY750" s="14"/>
      <c r="AZ750" s="14"/>
      <c r="BA750" s="29"/>
      <c r="BB750" s="14"/>
      <c r="BC750" s="14"/>
      <c r="BD750" s="14"/>
      <c r="BE750" s="29"/>
      <c r="BF750" s="29"/>
      <c r="BG750" s="14"/>
      <c r="BH750" s="14"/>
      <c r="BI750" s="14"/>
      <c r="BJ750" s="29"/>
      <c r="BK750" s="14"/>
      <c r="BL750" s="14"/>
      <c r="BM750" s="14"/>
      <c r="BN750" s="14" t="s">
        <v>2552</v>
      </c>
      <c r="BO750" s="14" t="s">
        <v>2800</v>
      </c>
      <c r="BP750" s="14"/>
      <c r="BQ750" s="14"/>
      <c r="BR750" s="14"/>
      <c r="BS750" s="14"/>
      <c r="BT750" s="14"/>
      <c r="BU750" s="14"/>
      <c r="BV750" s="14"/>
      <c r="BW750" s="14"/>
      <c r="BX750" s="14"/>
      <c r="BY750" s="14"/>
      <c r="BZ750" s="14"/>
      <c r="CA750" s="14"/>
      <c r="CB750" s="14"/>
      <c r="CC750" s="14">
        <v>-6.5750000000000003E-2</v>
      </c>
      <c r="CD750" s="14"/>
      <c r="CE750" s="14"/>
      <c r="CF750" s="14"/>
      <c r="CG750" s="14">
        <v>0.55979999999999996</v>
      </c>
      <c r="CH750" s="14"/>
      <c r="CI750" s="14"/>
      <c r="CJ750" s="14"/>
      <c r="CK750" s="14"/>
      <c r="CL750" s="14"/>
      <c r="CM750" s="14"/>
      <c r="CN750" s="14"/>
      <c r="CO750" s="14"/>
      <c r="CP750" s="14"/>
      <c r="CQ750" s="14"/>
      <c r="CR750" s="14"/>
      <c r="CS750" s="14"/>
      <c r="CT750" s="14"/>
      <c r="CU750" s="14"/>
      <c r="CV750" s="14" t="s">
        <v>2948</v>
      </c>
      <c r="CW750" s="14" t="s">
        <v>1556</v>
      </c>
      <c r="CX750" s="14" t="s">
        <v>1557</v>
      </c>
      <c r="CY750" s="14">
        <v>2020</v>
      </c>
      <c r="CZ750" s="36" t="s">
        <v>188</v>
      </c>
      <c r="DA750" s="14" t="s">
        <v>195</v>
      </c>
      <c r="DB750" s="14">
        <v>91</v>
      </c>
      <c r="DC750" s="14">
        <v>4</v>
      </c>
      <c r="DD750" s="14" t="s">
        <v>1558</v>
      </c>
      <c r="DE750" s="14" t="s">
        <v>1559</v>
      </c>
    </row>
    <row r="751" spans="1:109" s="13" customFormat="1" ht="20">
      <c r="A751" s="14" t="s">
        <v>1926</v>
      </c>
      <c r="B751" s="14"/>
      <c r="C751" s="14" t="s">
        <v>2950</v>
      </c>
      <c r="D751" s="14" t="s">
        <v>2371</v>
      </c>
      <c r="E751" s="14" t="s">
        <v>672</v>
      </c>
      <c r="F751" s="14" t="s">
        <v>684</v>
      </c>
      <c r="G751" s="14" t="s">
        <v>2967</v>
      </c>
      <c r="H751" s="14" t="s">
        <v>584</v>
      </c>
      <c r="I751" s="14" t="s">
        <v>2949</v>
      </c>
      <c r="J751" s="14"/>
      <c r="K751" s="14"/>
      <c r="L751" s="14"/>
      <c r="M751" s="14">
        <v>11</v>
      </c>
      <c r="N751" s="14"/>
      <c r="O751" s="34"/>
      <c r="P751" s="14"/>
      <c r="Q751" s="14"/>
      <c r="R751" s="14"/>
      <c r="S751" s="14"/>
      <c r="T751" s="14"/>
      <c r="U751" s="14"/>
      <c r="V751" s="14">
        <v>5</v>
      </c>
      <c r="W751" s="14">
        <f t="shared" si="70"/>
        <v>0.45454545454545453</v>
      </c>
      <c r="X751" s="14"/>
      <c r="Y751" s="14"/>
      <c r="Z751" s="14"/>
      <c r="AA751" s="14"/>
      <c r="AB751" s="14"/>
      <c r="AC751" s="14">
        <v>7</v>
      </c>
      <c r="AD751" s="34">
        <f t="shared" si="71"/>
        <v>0.63636363636363635</v>
      </c>
      <c r="AE751" s="35"/>
      <c r="AF751" s="35"/>
      <c r="AG751" s="35"/>
      <c r="AH751" s="35"/>
      <c r="AI751" s="35"/>
      <c r="AJ751" s="35"/>
      <c r="AK751" s="35"/>
      <c r="AL751" s="35"/>
      <c r="AM751" s="35"/>
      <c r="AN751" s="35"/>
      <c r="AO751" s="35"/>
      <c r="AP751" s="35"/>
      <c r="AQ751" s="35"/>
      <c r="AR751" s="35"/>
      <c r="AS751" s="35"/>
      <c r="AT751" s="35"/>
      <c r="AU751" s="14"/>
      <c r="AV751" s="14"/>
      <c r="AW751" s="14"/>
      <c r="AX751" s="14"/>
      <c r="AY751" s="14"/>
      <c r="AZ751" s="14"/>
      <c r="BA751" s="29"/>
      <c r="BB751" s="14"/>
      <c r="BC751" s="14"/>
      <c r="BD751" s="14"/>
      <c r="BE751" s="29"/>
      <c r="BF751" s="29"/>
      <c r="BG751" s="14"/>
      <c r="BH751" s="14"/>
      <c r="BI751" s="14"/>
      <c r="BJ751" s="29"/>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c r="CM751" s="14"/>
      <c r="CN751" s="14"/>
      <c r="CO751" s="14"/>
      <c r="CP751" s="14"/>
      <c r="CQ751" s="14"/>
      <c r="CR751" s="14"/>
      <c r="CS751" s="14"/>
      <c r="CT751" s="14"/>
      <c r="CU751" s="14"/>
      <c r="CV751" s="14" t="s">
        <v>2952</v>
      </c>
      <c r="CW751" s="14" t="s">
        <v>1561</v>
      </c>
      <c r="CX751" s="14" t="s">
        <v>1562</v>
      </c>
      <c r="CY751" s="14">
        <v>2023</v>
      </c>
      <c r="CZ751" s="36" t="s">
        <v>44</v>
      </c>
      <c r="DA751" s="14" t="s">
        <v>26</v>
      </c>
      <c r="DB751" s="14">
        <v>10</v>
      </c>
      <c r="DC751" s="14">
        <v>11</v>
      </c>
      <c r="DD751" s="14" t="s">
        <v>1563</v>
      </c>
      <c r="DE751" s="14" t="s">
        <v>1564</v>
      </c>
    </row>
    <row r="752" spans="1:109" s="13" customFormat="1" ht="20">
      <c r="A752" s="14" t="s">
        <v>1926</v>
      </c>
      <c r="B752" s="14"/>
      <c r="C752" s="14" t="s">
        <v>2951</v>
      </c>
      <c r="D752" s="14" t="s">
        <v>2371</v>
      </c>
      <c r="E752" s="14" t="s">
        <v>672</v>
      </c>
      <c r="F752" s="14" t="s">
        <v>684</v>
      </c>
      <c r="G752" s="14" t="s">
        <v>2967</v>
      </c>
      <c r="H752" s="14" t="s">
        <v>584</v>
      </c>
      <c r="I752" s="14" t="s">
        <v>2949</v>
      </c>
      <c r="J752" s="14"/>
      <c r="K752" s="14"/>
      <c r="L752" s="14"/>
      <c r="M752" s="14">
        <v>11</v>
      </c>
      <c r="N752" s="14"/>
      <c r="O752" s="34"/>
      <c r="P752" s="14"/>
      <c r="Q752" s="14"/>
      <c r="R752" s="14"/>
      <c r="S752" s="14"/>
      <c r="T752" s="14"/>
      <c r="U752" s="14"/>
      <c r="V752" s="14">
        <v>6</v>
      </c>
      <c r="W752" s="14">
        <f t="shared" si="70"/>
        <v>0.54545454545454541</v>
      </c>
      <c r="X752" s="14"/>
      <c r="Y752" s="14"/>
      <c r="Z752" s="14"/>
      <c r="AA752" s="14"/>
      <c r="AB752" s="14"/>
      <c r="AC752" s="14">
        <v>9</v>
      </c>
      <c r="AD752" s="34">
        <f t="shared" si="71"/>
        <v>0.81818181818181823</v>
      </c>
      <c r="AE752" s="35"/>
      <c r="AF752" s="35"/>
      <c r="AG752" s="35"/>
      <c r="AH752" s="35"/>
      <c r="AI752" s="35"/>
      <c r="AJ752" s="35"/>
      <c r="AK752" s="35"/>
      <c r="AL752" s="35"/>
      <c r="AM752" s="35"/>
      <c r="AN752" s="35"/>
      <c r="AO752" s="35"/>
      <c r="AP752" s="35"/>
      <c r="AQ752" s="35"/>
      <c r="AR752" s="35"/>
      <c r="AS752" s="35"/>
      <c r="AT752" s="35"/>
      <c r="AU752" s="14"/>
      <c r="AV752" s="14"/>
      <c r="AW752" s="14"/>
      <c r="AX752" s="14"/>
      <c r="AY752" s="14"/>
      <c r="AZ752" s="14"/>
      <c r="BA752" s="29"/>
      <c r="BB752" s="14"/>
      <c r="BC752" s="14"/>
      <c r="BD752" s="14"/>
      <c r="BE752" s="29"/>
      <c r="BF752" s="29"/>
      <c r="BG752" s="14"/>
      <c r="BH752" s="14"/>
      <c r="BI752" s="14"/>
      <c r="BJ752" s="29"/>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c r="CM752" s="14"/>
      <c r="CN752" s="14"/>
      <c r="CO752" s="14"/>
      <c r="CP752" s="14"/>
      <c r="CQ752" s="14"/>
      <c r="CR752" s="14"/>
      <c r="CS752" s="14"/>
      <c r="CT752" s="14"/>
      <c r="CU752" s="14"/>
      <c r="CV752" s="14" t="s">
        <v>2952</v>
      </c>
      <c r="CW752" s="14" t="s">
        <v>1561</v>
      </c>
      <c r="CX752" s="14" t="s">
        <v>1562</v>
      </c>
      <c r="CY752" s="14">
        <v>2023</v>
      </c>
      <c r="CZ752" s="36" t="s">
        <v>44</v>
      </c>
      <c r="DA752" s="14" t="s">
        <v>26</v>
      </c>
      <c r="DB752" s="14">
        <v>10</v>
      </c>
      <c r="DC752" s="14">
        <v>11</v>
      </c>
      <c r="DD752" s="14" t="s">
        <v>1563</v>
      </c>
      <c r="DE752" s="14" t="s">
        <v>1564</v>
      </c>
    </row>
    <row r="753" spans="1:109" s="13" customFormat="1" ht="20">
      <c r="A753" s="14" t="s">
        <v>1928</v>
      </c>
      <c r="B753" s="14"/>
      <c r="C753" s="14" t="s">
        <v>1574</v>
      </c>
      <c r="D753" s="14" t="s">
        <v>4179</v>
      </c>
      <c r="E753" s="29" t="s">
        <v>672</v>
      </c>
      <c r="F753" s="29" t="s">
        <v>675</v>
      </c>
      <c r="G753" s="14"/>
      <c r="H753" s="14" t="s">
        <v>693</v>
      </c>
      <c r="I753" s="14"/>
      <c r="J753" s="14"/>
      <c r="K753" s="14"/>
      <c r="L753" s="14"/>
      <c r="M753" s="14"/>
      <c r="N753" s="14"/>
      <c r="O753" s="34"/>
      <c r="P753" s="14"/>
      <c r="Q753" s="14"/>
      <c r="R753" s="14"/>
      <c r="S753" s="14"/>
      <c r="T753" s="14"/>
      <c r="U753" s="14"/>
      <c r="V753" s="14"/>
      <c r="W753" s="14"/>
      <c r="X753" s="14"/>
      <c r="Y753" s="14"/>
      <c r="Z753" s="14"/>
      <c r="AA753" s="14"/>
      <c r="AB753" s="14"/>
      <c r="AC753" s="14"/>
      <c r="AD753" s="34"/>
      <c r="AE753" s="35"/>
      <c r="AF753" s="35"/>
      <c r="AG753" s="35"/>
      <c r="AH753" s="35"/>
      <c r="AI753" s="35"/>
      <c r="AJ753" s="35"/>
      <c r="AK753" s="35"/>
      <c r="AL753" s="35"/>
      <c r="AM753" s="35"/>
      <c r="AN753" s="35"/>
      <c r="AO753" s="35"/>
      <c r="AP753" s="35"/>
      <c r="AQ753" s="35"/>
      <c r="AR753" s="35"/>
      <c r="AS753" s="35"/>
      <c r="AT753" s="35"/>
      <c r="AU753" s="14"/>
      <c r="AV753" s="14"/>
      <c r="AW753" s="14"/>
      <c r="AX753" s="14"/>
      <c r="AY753" s="14"/>
      <c r="AZ753" s="14"/>
      <c r="BA753" s="29"/>
      <c r="BB753" s="14"/>
      <c r="BC753" s="14"/>
      <c r="BD753" s="14"/>
      <c r="BE753" s="29"/>
      <c r="BF753" s="29"/>
      <c r="BG753" s="14"/>
      <c r="BH753" s="14"/>
      <c r="BI753" s="14"/>
      <c r="BJ753" s="29"/>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t="s">
        <v>1569</v>
      </c>
      <c r="CX753" s="14" t="s">
        <v>1570</v>
      </c>
      <c r="CY753" s="14">
        <v>2019</v>
      </c>
      <c r="CZ753" s="36"/>
      <c r="DA753" s="14" t="s">
        <v>1571</v>
      </c>
      <c r="DB753" s="14">
        <v>72</v>
      </c>
      <c r="DC753" s="14">
        <v>4</v>
      </c>
      <c r="DD753" s="14" t="s">
        <v>1572</v>
      </c>
      <c r="DE753" s="14" t="s">
        <v>1573</v>
      </c>
    </row>
    <row r="754" spans="1:109" s="13" customFormat="1" ht="20">
      <c r="A754" s="14" t="s">
        <v>1927</v>
      </c>
      <c r="B754" s="14"/>
      <c r="C754" s="14" t="s">
        <v>1568</v>
      </c>
      <c r="D754" s="14" t="s">
        <v>4179</v>
      </c>
      <c r="E754" s="29" t="s">
        <v>673</v>
      </c>
      <c r="F754" s="14"/>
      <c r="G754" s="29" t="s">
        <v>2953</v>
      </c>
      <c r="H754" s="14" t="s">
        <v>693</v>
      </c>
      <c r="I754" s="14"/>
      <c r="J754" s="14"/>
      <c r="K754" s="14"/>
      <c r="L754" s="14"/>
      <c r="M754" s="14"/>
      <c r="N754" s="14"/>
      <c r="O754" s="34"/>
      <c r="P754" s="14"/>
      <c r="Q754" s="14"/>
      <c r="R754" s="14"/>
      <c r="S754" s="14"/>
      <c r="T754" s="14"/>
      <c r="U754" s="14"/>
      <c r="V754" s="14"/>
      <c r="W754" s="14"/>
      <c r="X754" s="14"/>
      <c r="Y754" s="14"/>
      <c r="Z754" s="14"/>
      <c r="AA754" s="14"/>
      <c r="AB754" s="14"/>
      <c r="AC754" s="14"/>
      <c r="AD754" s="34"/>
      <c r="AE754" s="35"/>
      <c r="AF754" s="35"/>
      <c r="AG754" s="35"/>
      <c r="AH754" s="35"/>
      <c r="AI754" s="35"/>
      <c r="AJ754" s="35"/>
      <c r="AK754" s="35"/>
      <c r="AL754" s="35"/>
      <c r="AM754" s="35"/>
      <c r="AN754" s="35"/>
      <c r="AO754" s="35"/>
      <c r="AP754" s="35"/>
      <c r="AQ754" s="35"/>
      <c r="AR754" s="35"/>
      <c r="AS754" s="35"/>
      <c r="AT754" s="35"/>
      <c r="AU754" s="14"/>
      <c r="AV754" s="14"/>
      <c r="AW754" s="14"/>
      <c r="AX754" s="14"/>
      <c r="AY754" s="14"/>
      <c r="AZ754" s="14"/>
      <c r="BA754" s="29"/>
      <c r="BB754" s="14"/>
      <c r="BC754" s="14"/>
      <c r="BD754" s="14"/>
      <c r="BE754" s="29"/>
      <c r="BF754" s="29"/>
      <c r="BG754" s="14"/>
      <c r="BH754" s="14"/>
      <c r="BI754" s="14"/>
      <c r="BJ754" s="29"/>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t="s">
        <v>1565</v>
      </c>
      <c r="CX754" s="14" t="s">
        <v>1566</v>
      </c>
      <c r="CY754" s="14">
        <v>2020</v>
      </c>
      <c r="CZ754" s="36" t="s">
        <v>330</v>
      </c>
      <c r="DA754" s="14" t="s">
        <v>1215</v>
      </c>
      <c r="DB754" s="14">
        <v>11</v>
      </c>
      <c r="DC754" s="14"/>
      <c r="DD754" s="14"/>
      <c r="DE754" s="14" t="s">
        <v>1567</v>
      </c>
    </row>
    <row r="755" spans="1:109" s="13" customFormat="1" ht="20">
      <c r="A755" s="14" t="s">
        <v>2023</v>
      </c>
      <c r="B755" s="14"/>
      <c r="C755" s="14" t="s">
        <v>2024</v>
      </c>
      <c r="D755" s="14" t="s">
        <v>827</v>
      </c>
      <c r="E755" s="14" t="s">
        <v>673</v>
      </c>
      <c r="F755" s="14" t="s">
        <v>2912</v>
      </c>
      <c r="G755" s="14"/>
      <c r="H755" s="14" t="s">
        <v>712</v>
      </c>
      <c r="I755" s="14" t="s">
        <v>2955</v>
      </c>
      <c r="J755" s="14" t="s">
        <v>2956</v>
      </c>
      <c r="K755" s="14"/>
      <c r="L755" s="14" t="s">
        <v>903</v>
      </c>
      <c r="M755" s="14">
        <v>245</v>
      </c>
      <c r="N755" s="14"/>
      <c r="O755" s="34"/>
      <c r="P755" s="14"/>
      <c r="Q755" s="14">
        <v>55.87</v>
      </c>
      <c r="R755" s="14">
        <v>9.7100000000000009</v>
      </c>
      <c r="S755" s="14"/>
      <c r="T755" s="14"/>
      <c r="U755" s="14"/>
      <c r="V755" s="14">
        <v>162</v>
      </c>
      <c r="W755" s="14">
        <f>V755/M755</f>
        <v>0.66122448979591841</v>
      </c>
      <c r="X755" s="14">
        <v>39.200000000000003</v>
      </c>
      <c r="Y755" s="14">
        <v>5.64</v>
      </c>
      <c r="Z755" s="14"/>
      <c r="AA755" s="14"/>
      <c r="AB755" s="14"/>
      <c r="AC755" s="14">
        <v>193</v>
      </c>
      <c r="AD755" s="34">
        <f>AC755/M755</f>
        <v>0.78775510204081634</v>
      </c>
      <c r="AE755" s="35">
        <v>16.2</v>
      </c>
      <c r="AF755" s="35">
        <v>16.59</v>
      </c>
      <c r="AG755" s="35"/>
      <c r="AH755" s="35"/>
      <c r="AI755" s="35"/>
      <c r="AJ755" s="35"/>
      <c r="AK755" s="35"/>
      <c r="AL755" s="35"/>
      <c r="AM755" s="35"/>
      <c r="AN755" s="35"/>
      <c r="AO755" s="35"/>
      <c r="AP755" s="35"/>
      <c r="AQ755" s="35"/>
      <c r="AR755" s="35"/>
      <c r="AS755" s="35"/>
      <c r="AT755" s="35"/>
      <c r="AU755" s="14"/>
      <c r="AV755" s="14"/>
      <c r="AW755" s="14"/>
      <c r="AX755" s="14"/>
      <c r="AY755" s="14"/>
      <c r="AZ755" s="14"/>
      <c r="BA755" s="29"/>
      <c r="BB755" s="14"/>
      <c r="BC755" s="14"/>
      <c r="BD755" s="14"/>
      <c r="BE755" s="29"/>
      <c r="BF755" s="29"/>
      <c r="BG755" s="14"/>
      <c r="BH755" s="14"/>
      <c r="BI755" s="14"/>
      <c r="BJ755" s="29"/>
      <c r="BK755" s="14"/>
      <c r="BL755" s="14"/>
      <c r="BM755" s="14"/>
      <c r="BN755" s="14" t="s">
        <v>2231</v>
      </c>
      <c r="BO755" s="14"/>
      <c r="BP755" s="14"/>
      <c r="BQ755" s="14">
        <v>1.2999999999999999E-2</v>
      </c>
      <c r="BR755" s="14"/>
      <c r="BS755" s="14"/>
      <c r="BT755" s="14"/>
      <c r="BU755" s="14">
        <v>0.84499999999999997</v>
      </c>
      <c r="BV755" s="14"/>
      <c r="BW755" s="14"/>
      <c r="BX755" s="14"/>
      <c r="BY755" s="14"/>
      <c r="BZ755" s="14"/>
      <c r="CA755" s="14"/>
      <c r="CB755" s="14"/>
      <c r="CC755" s="14">
        <v>-5.8999999999999997E-2</v>
      </c>
      <c r="CD755" s="14"/>
      <c r="CE755" s="14"/>
      <c r="CF755" s="14"/>
      <c r="CG755" s="14">
        <v>0.35399999999999998</v>
      </c>
      <c r="CH755" s="14"/>
      <c r="CI755" s="14"/>
      <c r="CJ755" s="14"/>
      <c r="CK755" s="14"/>
      <c r="CL755" s="14"/>
      <c r="CM755" s="14"/>
      <c r="CN755" s="14"/>
      <c r="CO755" s="14"/>
      <c r="CP755" s="14"/>
      <c r="CQ755" s="14"/>
      <c r="CR755" s="14"/>
      <c r="CS755" s="14"/>
      <c r="CT755" s="14"/>
      <c r="CU755" s="14"/>
      <c r="CV755" s="14"/>
      <c r="CW755" s="14" t="s">
        <v>2102</v>
      </c>
      <c r="CX755" s="14" t="s">
        <v>2103</v>
      </c>
      <c r="CY755" s="14">
        <v>2021</v>
      </c>
      <c r="CZ755" s="36" t="s">
        <v>12</v>
      </c>
      <c r="DA755" s="14" t="s">
        <v>1215</v>
      </c>
      <c r="DB755" s="14">
        <v>12</v>
      </c>
      <c r="DC755" s="14"/>
      <c r="DD755" s="14"/>
      <c r="DE755" s="14" t="s">
        <v>2104</v>
      </c>
    </row>
    <row r="756" spans="1:109" s="13" customFormat="1" ht="20">
      <c r="A756" s="14" t="s">
        <v>2023</v>
      </c>
      <c r="B756" s="14"/>
      <c r="C756" s="14" t="s">
        <v>2024</v>
      </c>
      <c r="D756" s="14" t="s">
        <v>827</v>
      </c>
      <c r="E756" s="14" t="s">
        <v>673</v>
      </c>
      <c r="F756" s="14" t="s">
        <v>2576</v>
      </c>
      <c r="G756" s="14"/>
      <c r="H756" s="14" t="s">
        <v>712</v>
      </c>
      <c r="I756" s="14" t="s">
        <v>2955</v>
      </c>
      <c r="J756" s="14" t="s">
        <v>2956</v>
      </c>
      <c r="K756" s="14"/>
      <c r="L756" s="14" t="s">
        <v>903</v>
      </c>
      <c r="M756" s="14">
        <v>245</v>
      </c>
      <c r="N756" s="14"/>
      <c r="O756" s="34"/>
      <c r="P756" s="14"/>
      <c r="Q756" s="14">
        <v>55.87</v>
      </c>
      <c r="R756" s="14">
        <v>9.7100000000000009</v>
      </c>
      <c r="S756" s="14"/>
      <c r="T756" s="14"/>
      <c r="U756" s="14"/>
      <c r="V756" s="14">
        <v>162</v>
      </c>
      <c r="W756" s="14">
        <f>V756/M756</f>
        <v>0.66122448979591841</v>
      </c>
      <c r="X756" s="14">
        <v>39.200000000000003</v>
      </c>
      <c r="Y756" s="14">
        <v>5.64</v>
      </c>
      <c r="Z756" s="14"/>
      <c r="AA756" s="14"/>
      <c r="AB756" s="14"/>
      <c r="AC756" s="14">
        <v>193</v>
      </c>
      <c r="AD756" s="34">
        <f>AC756/M756</f>
        <v>0.78775510204081634</v>
      </c>
      <c r="AE756" s="35">
        <v>16.2</v>
      </c>
      <c r="AF756" s="35">
        <v>16.59</v>
      </c>
      <c r="AG756" s="35"/>
      <c r="AH756" s="35"/>
      <c r="AI756" s="35"/>
      <c r="AJ756" s="35"/>
      <c r="AK756" s="35"/>
      <c r="AL756" s="35"/>
      <c r="AM756" s="35"/>
      <c r="AN756" s="35"/>
      <c r="AO756" s="35"/>
      <c r="AP756" s="35"/>
      <c r="AQ756" s="35"/>
      <c r="AR756" s="35"/>
      <c r="AS756" s="35"/>
      <c r="AT756" s="35"/>
      <c r="AU756" s="14"/>
      <c r="AV756" s="14"/>
      <c r="AW756" s="14"/>
      <c r="AX756" s="14"/>
      <c r="AY756" s="14"/>
      <c r="AZ756" s="14"/>
      <c r="BA756" s="29"/>
      <c r="BB756" s="14"/>
      <c r="BC756" s="14"/>
      <c r="BD756" s="14"/>
      <c r="BE756" s="29"/>
      <c r="BF756" s="29"/>
      <c r="BG756" s="14"/>
      <c r="BH756" s="14"/>
      <c r="BI756" s="14"/>
      <c r="BJ756" s="29"/>
      <c r="BK756" s="14"/>
      <c r="BL756" s="14"/>
      <c r="BM756" s="14"/>
      <c r="BN756" s="14" t="s">
        <v>2231</v>
      </c>
      <c r="BO756" s="14"/>
      <c r="BP756" s="14"/>
      <c r="BQ756" s="14">
        <v>3.5999999999999997E-2</v>
      </c>
      <c r="BR756" s="14"/>
      <c r="BS756" s="14"/>
      <c r="BT756" s="14"/>
      <c r="BU756" s="14">
        <v>0.59</v>
      </c>
      <c r="BV756" s="14"/>
      <c r="BW756" s="14"/>
      <c r="BX756" s="14"/>
      <c r="BY756" s="14"/>
      <c r="BZ756" s="14"/>
      <c r="CA756" s="14"/>
      <c r="CB756" s="14"/>
      <c r="CC756" s="14">
        <v>-8.0000000000000002E-3</v>
      </c>
      <c r="CD756" s="14"/>
      <c r="CE756" s="14"/>
      <c r="CF756" s="14"/>
      <c r="CG756" s="14">
        <v>0.90100000000000002</v>
      </c>
      <c r="CH756" s="14"/>
      <c r="CI756" s="14"/>
      <c r="CJ756" s="14"/>
      <c r="CK756" s="14"/>
      <c r="CL756" s="14"/>
      <c r="CM756" s="14"/>
      <c r="CN756" s="14"/>
      <c r="CO756" s="14"/>
      <c r="CP756" s="14"/>
      <c r="CQ756" s="14"/>
      <c r="CR756" s="14"/>
      <c r="CS756" s="14"/>
      <c r="CT756" s="14"/>
      <c r="CU756" s="14"/>
      <c r="CV756" s="14"/>
      <c r="CW756" s="14" t="s">
        <v>2102</v>
      </c>
      <c r="CX756" s="14" t="s">
        <v>2103</v>
      </c>
      <c r="CY756" s="14">
        <v>2021</v>
      </c>
      <c r="CZ756" s="36" t="s">
        <v>12</v>
      </c>
      <c r="DA756" s="14" t="s">
        <v>1215</v>
      </c>
      <c r="DB756" s="14">
        <v>12</v>
      </c>
      <c r="DC756" s="14"/>
      <c r="DD756" s="14"/>
      <c r="DE756" s="14" t="s">
        <v>2104</v>
      </c>
    </row>
    <row r="757" spans="1:109" s="13" customFormat="1" ht="20">
      <c r="A757" s="14" t="s">
        <v>2023</v>
      </c>
      <c r="B757" s="14"/>
      <c r="C757" s="14" t="s">
        <v>2024</v>
      </c>
      <c r="D757" s="14" t="s">
        <v>827</v>
      </c>
      <c r="E757" s="14" t="s">
        <v>673</v>
      </c>
      <c r="F757" s="14" t="s">
        <v>2954</v>
      </c>
      <c r="G757" s="14"/>
      <c r="H757" s="14" t="s">
        <v>712</v>
      </c>
      <c r="I757" s="14" t="s">
        <v>2955</v>
      </c>
      <c r="J757" s="14" t="s">
        <v>2956</v>
      </c>
      <c r="K757" s="14"/>
      <c r="L757" s="14" t="s">
        <v>903</v>
      </c>
      <c r="M757" s="14">
        <v>245</v>
      </c>
      <c r="N757" s="14"/>
      <c r="O757" s="34"/>
      <c r="P757" s="14"/>
      <c r="Q757" s="14">
        <v>55.87</v>
      </c>
      <c r="R757" s="14">
        <v>9.7100000000000009</v>
      </c>
      <c r="S757" s="14"/>
      <c r="T757" s="14"/>
      <c r="U757" s="14"/>
      <c r="V757" s="14">
        <v>162</v>
      </c>
      <c r="W757" s="14">
        <f>V757/M757</f>
        <v>0.66122448979591841</v>
      </c>
      <c r="X757" s="14">
        <v>39.200000000000003</v>
      </c>
      <c r="Y757" s="14">
        <v>5.64</v>
      </c>
      <c r="Z757" s="14"/>
      <c r="AA757" s="14"/>
      <c r="AB757" s="14"/>
      <c r="AC757" s="14">
        <v>193</v>
      </c>
      <c r="AD757" s="34">
        <f>AC757/M757</f>
        <v>0.78775510204081634</v>
      </c>
      <c r="AE757" s="35">
        <v>16.2</v>
      </c>
      <c r="AF757" s="35">
        <v>16.59</v>
      </c>
      <c r="AG757" s="35"/>
      <c r="AH757" s="35"/>
      <c r="AI757" s="35"/>
      <c r="AJ757" s="35"/>
      <c r="AK757" s="35"/>
      <c r="AL757" s="35"/>
      <c r="AM757" s="35"/>
      <c r="AN757" s="35"/>
      <c r="AO757" s="35"/>
      <c r="AP757" s="35"/>
      <c r="AQ757" s="35"/>
      <c r="AR757" s="35"/>
      <c r="AS757" s="35"/>
      <c r="AT757" s="35"/>
      <c r="AU757" s="14"/>
      <c r="AV757" s="14"/>
      <c r="AW757" s="14"/>
      <c r="AX757" s="14"/>
      <c r="AY757" s="14"/>
      <c r="AZ757" s="14"/>
      <c r="BA757" s="29"/>
      <c r="BB757" s="14"/>
      <c r="BC757" s="14"/>
      <c r="BD757" s="14"/>
      <c r="BE757" s="29"/>
      <c r="BF757" s="29"/>
      <c r="BG757" s="14"/>
      <c r="BH757" s="14"/>
      <c r="BI757" s="14"/>
      <c r="BJ757" s="29"/>
      <c r="BK757" s="14"/>
      <c r="BL757" s="14"/>
      <c r="BM757" s="14"/>
      <c r="BN757" s="14" t="s">
        <v>2231</v>
      </c>
      <c r="BO757" s="14"/>
      <c r="BP757" s="14"/>
      <c r="BQ757" s="14">
        <v>-7.0999999999999994E-2</v>
      </c>
      <c r="BR757" s="14"/>
      <c r="BS757" s="14"/>
      <c r="BT757" s="14"/>
      <c r="BU757" s="14">
        <v>0.28399999999999997</v>
      </c>
      <c r="BV757" s="14"/>
      <c r="BW757" s="14"/>
      <c r="BX757" s="14"/>
      <c r="BY757" s="14"/>
      <c r="BZ757" s="14"/>
      <c r="CA757" s="14"/>
      <c r="CB757" s="14"/>
      <c r="CC757" s="14">
        <v>1E-3</v>
      </c>
      <c r="CD757" s="14"/>
      <c r="CE757" s="14"/>
      <c r="CF757" s="14"/>
      <c r="CG757" s="14">
        <v>0.98199999999999998</v>
      </c>
      <c r="CH757" s="14"/>
      <c r="CI757" s="14"/>
      <c r="CJ757" s="14"/>
      <c r="CK757" s="14"/>
      <c r="CL757" s="14"/>
      <c r="CM757" s="14"/>
      <c r="CN757" s="14"/>
      <c r="CO757" s="14"/>
      <c r="CP757" s="14"/>
      <c r="CQ757" s="14"/>
      <c r="CR757" s="14"/>
      <c r="CS757" s="14"/>
      <c r="CT757" s="14"/>
      <c r="CU757" s="14"/>
      <c r="CV757" s="14"/>
      <c r="CW757" s="14" t="s">
        <v>2102</v>
      </c>
      <c r="CX757" s="14" t="s">
        <v>2103</v>
      </c>
      <c r="CY757" s="14">
        <v>2021</v>
      </c>
      <c r="CZ757" s="36" t="s">
        <v>12</v>
      </c>
      <c r="DA757" s="14" t="s">
        <v>1215</v>
      </c>
      <c r="DB757" s="14">
        <v>12</v>
      </c>
      <c r="DC757" s="14"/>
      <c r="DD757" s="14"/>
      <c r="DE757" s="14" t="s">
        <v>2104</v>
      </c>
    </row>
    <row r="758" spans="1:109" s="13" customFormat="1" ht="20">
      <c r="A758" s="14" t="s">
        <v>2023</v>
      </c>
      <c r="B758" s="14"/>
      <c r="C758" s="14" t="s">
        <v>2024</v>
      </c>
      <c r="D758" s="14" t="s">
        <v>827</v>
      </c>
      <c r="E758" s="14" t="s">
        <v>673</v>
      </c>
      <c r="F758" s="14" t="s">
        <v>2957</v>
      </c>
      <c r="G758" s="14"/>
      <c r="H758" s="14" t="s">
        <v>712</v>
      </c>
      <c r="I758" s="14" t="s">
        <v>2955</v>
      </c>
      <c r="J758" s="14" t="s">
        <v>2956</v>
      </c>
      <c r="K758" s="14"/>
      <c r="L758" s="14" t="s">
        <v>903</v>
      </c>
      <c r="M758" s="14">
        <v>245</v>
      </c>
      <c r="N758" s="14"/>
      <c r="O758" s="34"/>
      <c r="P758" s="14"/>
      <c r="Q758" s="14">
        <v>55.87</v>
      </c>
      <c r="R758" s="14">
        <v>9.7100000000000009</v>
      </c>
      <c r="S758" s="14"/>
      <c r="T758" s="14"/>
      <c r="U758" s="14"/>
      <c r="V758" s="14">
        <v>162</v>
      </c>
      <c r="W758" s="14">
        <f>V758/M758</f>
        <v>0.66122448979591841</v>
      </c>
      <c r="X758" s="14">
        <v>39.200000000000003</v>
      </c>
      <c r="Y758" s="14">
        <v>5.64</v>
      </c>
      <c r="Z758" s="14"/>
      <c r="AA758" s="14"/>
      <c r="AB758" s="14"/>
      <c r="AC758" s="14">
        <v>193</v>
      </c>
      <c r="AD758" s="34">
        <f>AC758/M758</f>
        <v>0.78775510204081634</v>
      </c>
      <c r="AE758" s="35">
        <v>16.2</v>
      </c>
      <c r="AF758" s="35">
        <v>16.59</v>
      </c>
      <c r="AG758" s="35"/>
      <c r="AH758" s="35"/>
      <c r="AI758" s="35"/>
      <c r="AJ758" s="35"/>
      <c r="AK758" s="35"/>
      <c r="AL758" s="35"/>
      <c r="AM758" s="35"/>
      <c r="AN758" s="35"/>
      <c r="AO758" s="35"/>
      <c r="AP758" s="35"/>
      <c r="AQ758" s="35"/>
      <c r="AR758" s="35"/>
      <c r="AS758" s="35"/>
      <c r="AT758" s="35"/>
      <c r="AU758" s="14"/>
      <c r="AV758" s="14"/>
      <c r="AW758" s="14"/>
      <c r="AX758" s="14"/>
      <c r="AY758" s="14"/>
      <c r="AZ758" s="14"/>
      <c r="BA758" s="29"/>
      <c r="BB758" s="14"/>
      <c r="BC758" s="14"/>
      <c r="BD758" s="14"/>
      <c r="BE758" s="29"/>
      <c r="BF758" s="29"/>
      <c r="BG758" s="14"/>
      <c r="BH758" s="14"/>
      <c r="BI758" s="14"/>
      <c r="BJ758" s="29"/>
      <c r="BK758" s="14"/>
      <c r="BL758" s="14"/>
      <c r="BM758" s="14"/>
      <c r="BN758" s="14" t="s">
        <v>2231</v>
      </c>
      <c r="BO758" s="14"/>
      <c r="BP758" s="14"/>
      <c r="BQ758" s="14">
        <v>-1.7000000000000001E-2</v>
      </c>
      <c r="BR758" s="14"/>
      <c r="BS758" s="14"/>
      <c r="BT758" s="14"/>
      <c r="BU758" s="14">
        <v>0.28399999999999997</v>
      </c>
      <c r="BV758" s="14"/>
      <c r="BW758" s="14"/>
      <c r="BX758" s="14"/>
      <c r="BY758" s="14"/>
      <c r="BZ758" s="14"/>
      <c r="CA758" s="14"/>
      <c r="CB758" s="14"/>
      <c r="CC758" s="14">
        <v>-3.0000000000000001E-3</v>
      </c>
      <c r="CD758" s="14"/>
      <c r="CE758" s="14"/>
      <c r="CF758" s="14"/>
      <c r="CG758" s="14">
        <v>0.96299999999999997</v>
      </c>
      <c r="CH758" s="14"/>
      <c r="CI758" s="14"/>
      <c r="CJ758" s="14"/>
      <c r="CK758" s="14"/>
      <c r="CL758" s="14"/>
      <c r="CM758" s="14"/>
      <c r="CN758" s="14"/>
      <c r="CO758" s="14"/>
      <c r="CP758" s="14"/>
      <c r="CQ758" s="14"/>
      <c r="CR758" s="14"/>
      <c r="CS758" s="14"/>
      <c r="CT758" s="14"/>
      <c r="CU758" s="14"/>
      <c r="CV758" s="14"/>
      <c r="CW758" s="14" t="s">
        <v>2102</v>
      </c>
      <c r="CX758" s="14" t="s">
        <v>2103</v>
      </c>
      <c r="CY758" s="14">
        <v>2021</v>
      </c>
      <c r="CZ758" s="36" t="s">
        <v>12</v>
      </c>
      <c r="DA758" s="14" t="s">
        <v>1215</v>
      </c>
      <c r="DB758" s="14">
        <v>12</v>
      </c>
      <c r="DC758" s="14"/>
      <c r="DD758" s="14"/>
      <c r="DE758" s="14" t="s">
        <v>2104</v>
      </c>
    </row>
    <row r="759" spans="1:109" s="13" customFormat="1" ht="20">
      <c r="A759" s="14" t="s">
        <v>2023</v>
      </c>
      <c r="B759" s="14"/>
      <c r="C759" s="14" t="s">
        <v>2024</v>
      </c>
      <c r="D759" s="14" t="s">
        <v>827</v>
      </c>
      <c r="E759" s="14" t="s">
        <v>673</v>
      </c>
      <c r="F759" s="14" t="s">
        <v>2958</v>
      </c>
      <c r="G759" s="14"/>
      <c r="H759" s="14" t="s">
        <v>712</v>
      </c>
      <c r="I759" s="14" t="s">
        <v>2955</v>
      </c>
      <c r="J759" s="14" t="s">
        <v>2956</v>
      </c>
      <c r="K759" s="14"/>
      <c r="L759" s="14" t="s">
        <v>903</v>
      </c>
      <c r="M759" s="14">
        <v>245</v>
      </c>
      <c r="N759" s="14"/>
      <c r="O759" s="34"/>
      <c r="P759" s="14"/>
      <c r="Q759" s="14">
        <v>55.87</v>
      </c>
      <c r="R759" s="14">
        <v>9.7100000000000009</v>
      </c>
      <c r="S759" s="14"/>
      <c r="T759" s="14"/>
      <c r="U759" s="14"/>
      <c r="V759" s="14">
        <v>162</v>
      </c>
      <c r="W759" s="14">
        <f>V759/M759</f>
        <v>0.66122448979591841</v>
      </c>
      <c r="X759" s="14">
        <v>39.200000000000003</v>
      </c>
      <c r="Y759" s="14">
        <v>5.64</v>
      </c>
      <c r="Z759" s="14"/>
      <c r="AA759" s="14"/>
      <c r="AB759" s="14"/>
      <c r="AC759" s="14">
        <v>193</v>
      </c>
      <c r="AD759" s="34">
        <f>AC759/M759</f>
        <v>0.78775510204081634</v>
      </c>
      <c r="AE759" s="35">
        <v>16.2</v>
      </c>
      <c r="AF759" s="35">
        <v>16.59</v>
      </c>
      <c r="AG759" s="35"/>
      <c r="AH759" s="35"/>
      <c r="AI759" s="35"/>
      <c r="AJ759" s="35"/>
      <c r="AK759" s="35"/>
      <c r="AL759" s="35"/>
      <c r="AM759" s="35"/>
      <c r="AN759" s="35"/>
      <c r="AO759" s="35"/>
      <c r="AP759" s="35"/>
      <c r="AQ759" s="35"/>
      <c r="AR759" s="35"/>
      <c r="AS759" s="35"/>
      <c r="AT759" s="35"/>
      <c r="AU759" s="14"/>
      <c r="AV759" s="14"/>
      <c r="AW759" s="14"/>
      <c r="AX759" s="14"/>
      <c r="AY759" s="14"/>
      <c r="AZ759" s="14"/>
      <c r="BA759" s="29"/>
      <c r="BB759" s="14"/>
      <c r="BC759" s="14"/>
      <c r="BD759" s="14"/>
      <c r="BE759" s="29"/>
      <c r="BF759" s="29"/>
      <c r="BG759" s="14"/>
      <c r="BH759" s="14"/>
      <c r="BI759" s="14"/>
      <c r="BJ759" s="29"/>
      <c r="BK759" s="14"/>
      <c r="BL759" s="14"/>
      <c r="BM759" s="14"/>
      <c r="BN759" s="14" t="s">
        <v>2231</v>
      </c>
      <c r="BO759" s="14"/>
      <c r="BP759" s="14"/>
      <c r="BQ759" s="14">
        <v>2.1999999999999999E-2</v>
      </c>
      <c r="BR759" s="14"/>
      <c r="BS759" s="14"/>
      <c r="BT759" s="14"/>
      <c r="BU759" s="14">
        <v>0.74299999999999999</v>
      </c>
      <c r="BV759" s="14"/>
      <c r="BW759" s="14"/>
      <c r="BX759" s="14"/>
      <c r="BY759" s="14"/>
      <c r="BZ759" s="14"/>
      <c r="CA759" s="14"/>
      <c r="CB759" s="14"/>
      <c r="CC759" s="14">
        <v>3.1E-2</v>
      </c>
      <c r="CD759" s="14"/>
      <c r="CE759" s="14"/>
      <c r="CF759" s="14"/>
      <c r="CG759" s="14">
        <v>0.63200000000000001</v>
      </c>
      <c r="CH759" s="14"/>
      <c r="CI759" s="14"/>
      <c r="CJ759" s="14"/>
      <c r="CK759" s="14"/>
      <c r="CL759" s="14"/>
      <c r="CM759" s="14"/>
      <c r="CN759" s="14"/>
      <c r="CO759" s="14"/>
      <c r="CP759" s="14"/>
      <c r="CQ759" s="14"/>
      <c r="CR759" s="14"/>
      <c r="CS759" s="14"/>
      <c r="CT759" s="14"/>
      <c r="CU759" s="14"/>
      <c r="CV759" s="14"/>
      <c r="CW759" s="14" t="s">
        <v>2102</v>
      </c>
      <c r="CX759" s="14" t="s">
        <v>2103</v>
      </c>
      <c r="CY759" s="14">
        <v>2021</v>
      </c>
      <c r="CZ759" s="36" t="s">
        <v>12</v>
      </c>
      <c r="DA759" s="14" t="s">
        <v>1215</v>
      </c>
      <c r="DB759" s="14">
        <v>12</v>
      </c>
      <c r="DC759" s="14"/>
      <c r="DD759" s="14"/>
      <c r="DE759" s="14" t="s">
        <v>2104</v>
      </c>
    </row>
    <row r="760" spans="1:109" s="13" customFormat="1" ht="20">
      <c r="A760" s="13" t="s">
        <v>3426</v>
      </c>
      <c r="C760" s="13" t="s">
        <v>3982</v>
      </c>
      <c r="D760" s="14" t="s">
        <v>3981</v>
      </c>
      <c r="F760" s="13" t="s">
        <v>3983</v>
      </c>
      <c r="H760" s="14" t="s">
        <v>712</v>
      </c>
      <c r="I760" s="13" t="s">
        <v>3887</v>
      </c>
      <c r="O760" s="15"/>
      <c r="W760" s="2"/>
      <c r="BA760" s="16"/>
      <c r="BE760" s="16"/>
      <c r="BJ760" s="16"/>
      <c r="BN760" s="16"/>
      <c r="CW760" s="13" t="s">
        <v>3609</v>
      </c>
      <c r="CX760" s="13" t="s">
        <v>3610</v>
      </c>
      <c r="CY760" s="13">
        <v>2024</v>
      </c>
      <c r="CZ760" s="21">
        <v>45977</v>
      </c>
      <c r="DA760" s="13" t="s">
        <v>61</v>
      </c>
      <c r="DB760" s="13">
        <v>14</v>
      </c>
      <c r="DC760" s="13">
        <v>1</v>
      </c>
      <c r="DD760" s="13">
        <v>28289</v>
      </c>
      <c r="DE760" s="13" t="s">
        <v>3281</v>
      </c>
    </row>
    <row r="761" spans="1:109" s="13" customFormat="1" ht="20">
      <c r="A761" s="14" t="s">
        <v>1930</v>
      </c>
      <c r="B761" s="14"/>
      <c r="C761" s="14" t="s">
        <v>1585</v>
      </c>
      <c r="D761" s="14" t="s">
        <v>2772</v>
      </c>
      <c r="E761" s="14" t="s">
        <v>725</v>
      </c>
      <c r="F761" s="14" t="s">
        <v>2595</v>
      </c>
      <c r="G761" s="14"/>
      <c r="H761" s="14" t="s">
        <v>712</v>
      </c>
      <c r="I761" s="14" t="s">
        <v>2968</v>
      </c>
      <c r="J761" s="14" t="s">
        <v>4120</v>
      </c>
      <c r="K761" s="14" t="s">
        <v>4119</v>
      </c>
      <c r="L761" s="14"/>
      <c r="M761" s="14">
        <v>1030</v>
      </c>
      <c r="N761" s="14"/>
      <c r="O761" s="34"/>
      <c r="P761" s="14"/>
      <c r="Q761" s="14">
        <v>57</v>
      </c>
      <c r="R761" s="14">
        <v>11.4</v>
      </c>
      <c r="S761" s="14"/>
      <c r="T761" s="14"/>
      <c r="U761" s="14"/>
      <c r="V761" s="14"/>
      <c r="W761" s="14">
        <v>0.58799999999999997</v>
      </c>
      <c r="X761" s="14">
        <v>38.6</v>
      </c>
      <c r="Y761" s="14">
        <v>6.4</v>
      </c>
      <c r="Z761" s="14"/>
      <c r="AA761" s="14"/>
      <c r="AB761" s="14"/>
      <c r="AC761" s="14"/>
      <c r="AD761" s="34">
        <v>0.77400000000000002</v>
      </c>
      <c r="AE761" s="35">
        <v>16.5</v>
      </c>
      <c r="AF761" s="35">
        <v>16.399999999999999</v>
      </c>
      <c r="AG761" s="35"/>
      <c r="AH761" s="35"/>
      <c r="AI761" s="35"/>
      <c r="AJ761" s="35">
        <v>40.200000000000003</v>
      </c>
      <c r="AK761" s="35"/>
      <c r="AL761" s="35"/>
      <c r="AM761" s="35"/>
      <c r="AN761" s="35"/>
      <c r="AO761" s="35"/>
      <c r="AP761" s="35"/>
      <c r="AQ761" s="35"/>
      <c r="AR761" s="35"/>
      <c r="AS761" s="35"/>
      <c r="AT761" s="35"/>
      <c r="AU761" s="14"/>
      <c r="AV761" s="14"/>
      <c r="AW761" s="14"/>
      <c r="AX761" s="14"/>
      <c r="AY761" s="14"/>
      <c r="AZ761" s="14"/>
      <c r="BA761" s="29"/>
      <c r="BB761" s="14"/>
      <c r="BC761" s="14"/>
      <c r="BD761" s="14"/>
      <c r="BE761" s="29" t="s">
        <v>2970</v>
      </c>
      <c r="BF761" s="29"/>
      <c r="BG761" s="14">
        <v>1.079</v>
      </c>
      <c r="BH761" s="14">
        <v>1.016</v>
      </c>
      <c r="BI761" s="14">
        <v>1.1459999999999999</v>
      </c>
      <c r="BJ761" s="29" t="s">
        <v>4114</v>
      </c>
      <c r="BK761" s="14">
        <v>1.2490000000000001</v>
      </c>
      <c r="BL761" s="14">
        <v>1.0149999999999999</v>
      </c>
      <c r="BM761" s="14">
        <v>1.5369999999999999</v>
      </c>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t="s">
        <v>1580</v>
      </c>
      <c r="CX761" s="14" t="s">
        <v>1581</v>
      </c>
      <c r="CY761" s="14">
        <v>2022</v>
      </c>
      <c r="CZ761" s="36"/>
      <c r="DA761" s="14" t="s">
        <v>1582</v>
      </c>
      <c r="DB761" s="14">
        <v>17</v>
      </c>
      <c r="DC761" s="14">
        <v>4</v>
      </c>
      <c r="DD761" s="14" t="s">
        <v>1583</v>
      </c>
      <c r="DE761" s="14" t="s">
        <v>1584</v>
      </c>
    </row>
    <row r="762" spans="1:109" s="13" customFormat="1" ht="20">
      <c r="A762" s="14" t="s">
        <v>1929</v>
      </c>
      <c r="B762" s="14"/>
      <c r="C762" s="14" t="s">
        <v>1579</v>
      </c>
      <c r="D762" s="14" t="s">
        <v>898</v>
      </c>
      <c r="E762" s="14" t="s">
        <v>673</v>
      </c>
      <c r="F762" s="14" t="s">
        <v>2963</v>
      </c>
      <c r="G762" s="14"/>
      <c r="H762" s="14" t="s">
        <v>712</v>
      </c>
      <c r="I762" s="14" t="s">
        <v>2964</v>
      </c>
      <c r="J762" s="14" t="s">
        <v>585</v>
      </c>
      <c r="K762" s="14"/>
      <c r="L762" s="14" t="s">
        <v>639</v>
      </c>
      <c r="M762" s="14">
        <v>189</v>
      </c>
      <c r="N762" s="14"/>
      <c r="O762" s="34"/>
      <c r="P762" s="14"/>
      <c r="Q762" s="14">
        <v>50.17</v>
      </c>
      <c r="R762" s="14">
        <v>9.16</v>
      </c>
      <c r="S762" s="14"/>
      <c r="T762" s="14"/>
      <c r="U762" s="14"/>
      <c r="V762" s="14">
        <v>123</v>
      </c>
      <c r="W762" s="14">
        <f t="shared" ref="W762:W782" si="72">V762/M762</f>
        <v>0.65079365079365081</v>
      </c>
      <c r="X762" s="14">
        <v>30.12</v>
      </c>
      <c r="Y762" s="14">
        <v>8.42</v>
      </c>
      <c r="Z762" s="14"/>
      <c r="AA762" s="14"/>
      <c r="AB762" s="14"/>
      <c r="AC762" s="14">
        <v>161</v>
      </c>
      <c r="AD762" s="34">
        <f t="shared" ref="AD762:AD768" si="73">AC762/M762</f>
        <v>0.85185185185185186</v>
      </c>
      <c r="AE762" s="35">
        <v>27.29</v>
      </c>
      <c r="AF762" s="35">
        <v>15.91</v>
      </c>
      <c r="AG762" s="35"/>
      <c r="AH762" s="35"/>
      <c r="AI762" s="35"/>
      <c r="AJ762" s="35"/>
      <c r="AK762" s="35"/>
      <c r="AL762" s="35"/>
      <c r="AM762" s="35"/>
      <c r="AN762" s="35"/>
      <c r="AO762" s="35"/>
      <c r="AP762" s="35"/>
      <c r="AQ762" s="35"/>
      <c r="AR762" s="35"/>
      <c r="AS762" s="35"/>
      <c r="AT762" s="35"/>
      <c r="AU762" s="14"/>
      <c r="AV762" s="14"/>
      <c r="AW762" s="14"/>
      <c r="AX762" s="14"/>
      <c r="AY762" s="14"/>
      <c r="AZ762" s="14"/>
      <c r="BA762" s="29"/>
      <c r="BB762" s="14"/>
      <c r="BC762" s="14"/>
      <c r="BD762" s="14"/>
      <c r="BE762" s="29"/>
      <c r="BF762" s="29"/>
      <c r="BG762" s="14"/>
      <c r="BH762" s="14"/>
      <c r="BI762" s="14"/>
      <c r="BJ762" s="29"/>
      <c r="BK762" s="14"/>
      <c r="BL762" s="14"/>
      <c r="BM762" s="14"/>
      <c r="BN762" s="14" t="s">
        <v>2231</v>
      </c>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t="s">
        <v>1575</v>
      </c>
      <c r="CX762" s="14" t="s">
        <v>1576</v>
      </c>
      <c r="CY762" s="14">
        <v>2023</v>
      </c>
      <c r="CZ762" s="36">
        <v>45639</v>
      </c>
      <c r="DA762" s="14" t="s">
        <v>1577</v>
      </c>
      <c r="DB762" s="14">
        <v>8</v>
      </c>
      <c r="DC762" s="14">
        <v>1</v>
      </c>
      <c r="DD762" s="14" t="s">
        <v>2151</v>
      </c>
      <c r="DE762" s="14" t="s">
        <v>1578</v>
      </c>
    </row>
    <row r="763" spans="1:109" s="13" customFormat="1" ht="20">
      <c r="A763" s="14" t="s">
        <v>1929</v>
      </c>
      <c r="B763" s="14"/>
      <c r="C763" s="14" t="s">
        <v>1579</v>
      </c>
      <c r="D763" s="14" t="s">
        <v>898</v>
      </c>
      <c r="E763" s="14" t="s">
        <v>673</v>
      </c>
      <c r="F763" s="14" t="s">
        <v>2726</v>
      </c>
      <c r="G763" s="14"/>
      <c r="H763" s="14" t="s">
        <v>712</v>
      </c>
      <c r="I763" s="14" t="s">
        <v>2964</v>
      </c>
      <c r="J763" s="14" t="s">
        <v>585</v>
      </c>
      <c r="K763" s="14"/>
      <c r="L763" s="14" t="s">
        <v>639</v>
      </c>
      <c r="M763" s="14">
        <v>189</v>
      </c>
      <c r="N763" s="14"/>
      <c r="O763" s="34"/>
      <c r="P763" s="14"/>
      <c r="Q763" s="14">
        <v>50.17</v>
      </c>
      <c r="R763" s="14">
        <v>9.16</v>
      </c>
      <c r="S763" s="14"/>
      <c r="T763" s="14"/>
      <c r="U763" s="14"/>
      <c r="V763" s="14">
        <v>123</v>
      </c>
      <c r="W763" s="14">
        <f t="shared" si="72"/>
        <v>0.65079365079365081</v>
      </c>
      <c r="X763" s="14">
        <v>30.12</v>
      </c>
      <c r="Y763" s="14">
        <v>8.42</v>
      </c>
      <c r="Z763" s="14"/>
      <c r="AA763" s="14"/>
      <c r="AB763" s="14"/>
      <c r="AC763" s="14">
        <v>161</v>
      </c>
      <c r="AD763" s="34">
        <f t="shared" si="73"/>
        <v>0.85185185185185186</v>
      </c>
      <c r="AE763" s="35">
        <v>27.29</v>
      </c>
      <c r="AF763" s="35">
        <v>15.91</v>
      </c>
      <c r="AG763" s="35"/>
      <c r="AH763" s="35"/>
      <c r="AI763" s="35"/>
      <c r="AJ763" s="35"/>
      <c r="AK763" s="35"/>
      <c r="AL763" s="35"/>
      <c r="AM763" s="35"/>
      <c r="AN763" s="35"/>
      <c r="AO763" s="35"/>
      <c r="AP763" s="35"/>
      <c r="AQ763" s="35"/>
      <c r="AR763" s="35"/>
      <c r="AS763" s="35"/>
      <c r="AT763" s="35"/>
      <c r="AU763" s="14"/>
      <c r="AV763" s="14"/>
      <c r="AW763" s="14"/>
      <c r="AX763" s="14"/>
      <c r="AY763" s="14"/>
      <c r="AZ763" s="14"/>
      <c r="BA763" s="29"/>
      <c r="BB763" s="14"/>
      <c r="BC763" s="14"/>
      <c r="BD763" s="14"/>
      <c r="BE763" s="29"/>
      <c r="BF763" s="29"/>
      <c r="BG763" s="14"/>
      <c r="BH763" s="14"/>
      <c r="BI763" s="14"/>
      <c r="BJ763" s="29"/>
      <c r="BK763" s="14"/>
      <c r="BL763" s="14"/>
      <c r="BM763" s="14"/>
      <c r="BN763" s="14" t="s">
        <v>2231</v>
      </c>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t="s">
        <v>1575</v>
      </c>
      <c r="CX763" s="14" t="s">
        <v>1576</v>
      </c>
      <c r="CY763" s="14">
        <v>2023</v>
      </c>
      <c r="CZ763" s="36">
        <v>45639</v>
      </c>
      <c r="DA763" s="14" t="s">
        <v>1577</v>
      </c>
      <c r="DB763" s="14">
        <v>8</v>
      </c>
      <c r="DC763" s="14">
        <v>1</v>
      </c>
      <c r="DD763" s="14" t="s">
        <v>2151</v>
      </c>
      <c r="DE763" s="14" t="s">
        <v>1578</v>
      </c>
    </row>
    <row r="764" spans="1:109" s="13" customFormat="1" ht="20">
      <c r="A764" s="14" t="s">
        <v>1929</v>
      </c>
      <c r="B764" s="14"/>
      <c r="C764" s="14" t="s">
        <v>1579</v>
      </c>
      <c r="D764" s="14" t="s">
        <v>898</v>
      </c>
      <c r="E764" s="14" t="s">
        <v>673</v>
      </c>
      <c r="F764" s="14" t="s">
        <v>2965</v>
      </c>
      <c r="G764" s="14"/>
      <c r="H764" s="14" t="s">
        <v>712</v>
      </c>
      <c r="I764" s="14" t="s">
        <v>2964</v>
      </c>
      <c r="J764" s="14" t="s">
        <v>585</v>
      </c>
      <c r="K764" s="14"/>
      <c r="L764" s="14" t="s">
        <v>2435</v>
      </c>
      <c r="M764" s="14">
        <v>189</v>
      </c>
      <c r="N764" s="14"/>
      <c r="O764" s="34"/>
      <c r="P764" s="14"/>
      <c r="Q764" s="14">
        <v>50.17</v>
      </c>
      <c r="R764" s="14">
        <v>9.16</v>
      </c>
      <c r="S764" s="14"/>
      <c r="T764" s="14"/>
      <c r="U764" s="14"/>
      <c r="V764" s="14">
        <v>123</v>
      </c>
      <c r="W764" s="14">
        <f t="shared" si="72"/>
        <v>0.65079365079365081</v>
      </c>
      <c r="X764" s="14">
        <v>30.12</v>
      </c>
      <c r="Y764" s="14">
        <v>8.42</v>
      </c>
      <c r="Z764" s="14"/>
      <c r="AA764" s="14"/>
      <c r="AB764" s="14"/>
      <c r="AC764" s="14">
        <v>161</v>
      </c>
      <c r="AD764" s="34">
        <f t="shared" si="73"/>
        <v>0.85185185185185186</v>
      </c>
      <c r="AE764" s="35">
        <v>27.29</v>
      </c>
      <c r="AF764" s="35">
        <v>15.91</v>
      </c>
      <c r="AG764" s="35"/>
      <c r="AH764" s="35"/>
      <c r="AI764" s="35"/>
      <c r="AJ764" s="35"/>
      <c r="AK764" s="35"/>
      <c r="AL764" s="35"/>
      <c r="AM764" s="35"/>
      <c r="AN764" s="35"/>
      <c r="AO764" s="35"/>
      <c r="AP764" s="35"/>
      <c r="AQ764" s="35"/>
      <c r="AR764" s="35"/>
      <c r="AS764" s="35"/>
      <c r="AT764" s="35"/>
      <c r="AU764" s="14"/>
      <c r="AV764" s="14"/>
      <c r="AW764" s="14"/>
      <c r="AX764" s="14"/>
      <c r="AY764" s="14"/>
      <c r="AZ764" s="14"/>
      <c r="BA764" s="29"/>
      <c r="BB764" s="14"/>
      <c r="BC764" s="14"/>
      <c r="BD764" s="14"/>
      <c r="BE764" s="29"/>
      <c r="BF764" s="29"/>
      <c r="BG764" s="14"/>
      <c r="BH764" s="14"/>
      <c r="BI764" s="14"/>
      <c r="BJ764" s="29"/>
      <c r="BK764" s="14"/>
      <c r="BL764" s="14"/>
      <c r="BM764" s="14"/>
      <c r="BN764" s="14" t="s">
        <v>2231</v>
      </c>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t="s">
        <v>1575</v>
      </c>
      <c r="CX764" s="14" t="s">
        <v>1576</v>
      </c>
      <c r="CY764" s="14">
        <v>2023</v>
      </c>
      <c r="CZ764" s="36">
        <v>45639</v>
      </c>
      <c r="DA764" s="14" t="s">
        <v>1577</v>
      </c>
      <c r="DB764" s="14">
        <v>8</v>
      </c>
      <c r="DC764" s="14">
        <v>1</v>
      </c>
      <c r="DD764" s="14" t="s">
        <v>2151</v>
      </c>
      <c r="DE764" s="14" t="s">
        <v>1578</v>
      </c>
    </row>
    <row r="765" spans="1:109" s="13" customFormat="1" ht="20">
      <c r="A765" s="14" t="s">
        <v>1929</v>
      </c>
      <c r="B765" s="14"/>
      <c r="C765" s="14" t="s">
        <v>1579</v>
      </c>
      <c r="D765" s="14" t="s">
        <v>898</v>
      </c>
      <c r="E765" s="14" t="s">
        <v>673</v>
      </c>
      <c r="F765" s="14" t="s">
        <v>2382</v>
      </c>
      <c r="G765" s="14"/>
      <c r="H765" s="14" t="s">
        <v>712</v>
      </c>
      <c r="I765" s="14" t="s">
        <v>2964</v>
      </c>
      <c r="J765" s="14" t="s">
        <v>585</v>
      </c>
      <c r="K765" s="14"/>
      <c r="L765" s="14" t="s">
        <v>639</v>
      </c>
      <c r="M765" s="14">
        <v>189</v>
      </c>
      <c r="N765" s="14"/>
      <c r="O765" s="34"/>
      <c r="P765" s="14"/>
      <c r="Q765" s="14">
        <v>50.17</v>
      </c>
      <c r="R765" s="14">
        <v>9.16</v>
      </c>
      <c r="S765" s="14"/>
      <c r="T765" s="14"/>
      <c r="U765" s="14"/>
      <c r="V765" s="14">
        <v>123</v>
      </c>
      <c r="W765" s="14">
        <f t="shared" si="72"/>
        <v>0.65079365079365081</v>
      </c>
      <c r="X765" s="14">
        <v>30.12</v>
      </c>
      <c r="Y765" s="14">
        <v>8.42</v>
      </c>
      <c r="Z765" s="14"/>
      <c r="AA765" s="14"/>
      <c r="AB765" s="14"/>
      <c r="AC765" s="14">
        <v>161</v>
      </c>
      <c r="AD765" s="34">
        <f t="shared" si="73"/>
        <v>0.85185185185185186</v>
      </c>
      <c r="AE765" s="35">
        <v>27.29</v>
      </c>
      <c r="AF765" s="35">
        <v>15.91</v>
      </c>
      <c r="AG765" s="35"/>
      <c r="AH765" s="35"/>
      <c r="AI765" s="35"/>
      <c r="AJ765" s="35"/>
      <c r="AK765" s="35"/>
      <c r="AL765" s="35"/>
      <c r="AM765" s="35"/>
      <c r="AN765" s="35"/>
      <c r="AO765" s="35"/>
      <c r="AP765" s="35"/>
      <c r="AQ765" s="35"/>
      <c r="AR765" s="35"/>
      <c r="AS765" s="35"/>
      <c r="AT765" s="35"/>
      <c r="AU765" s="14"/>
      <c r="AV765" s="14"/>
      <c r="AW765" s="14"/>
      <c r="AX765" s="14"/>
      <c r="AY765" s="14"/>
      <c r="AZ765" s="14"/>
      <c r="BA765" s="29"/>
      <c r="BB765" s="14"/>
      <c r="BC765" s="14"/>
      <c r="BD765" s="14"/>
      <c r="BE765" s="29"/>
      <c r="BF765" s="29"/>
      <c r="BG765" s="14"/>
      <c r="BH765" s="14"/>
      <c r="BI765" s="14"/>
      <c r="BJ765" s="29"/>
      <c r="BK765" s="14"/>
      <c r="BL765" s="14"/>
      <c r="BM765" s="14"/>
      <c r="BN765" s="14" t="s">
        <v>2231</v>
      </c>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t="s">
        <v>1575</v>
      </c>
      <c r="CX765" s="14" t="s">
        <v>1576</v>
      </c>
      <c r="CY765" s="14">
        <v>2023</v>
      </c>
      <c r="CZ765" s="36">
        <v>45639</v>
      </c>
      <c r="DA765" s="14" t="s">
        <v>1577</v>
      </c>
      <c r="DB765" s="14">
        <v>8</v>
      </c>
      <c r="DC765" s="14">
        <v>1</v>
      </c>
      <c r="DD765" s="14" t="s">
        <v>2151</v>
      </c>
      <c r="DE765" s="14" t="s">
        <v>1578</v>
      </c>
    </row>
    <row r="766" spans="1:109" s="13" customFormat="1" ht="20">
      <c r="A766" s="14" t="s">
        <v>1929</v>
      </c>
      <c r="B766" s="14"/>
      <c r="C766" s="14" t="s">
        <v>1579</v>
      </c>
      <c r="D766" s="14" t="s">
        <v>898</v>
      </c>
      <c r="E766" s="14" t="s">
        <v>673</v>
      </c>
      <c r="F766" s="14" t="s">
        <v>2722</v>
      </c>
      <c r="G766" s="14"/>
      <c r="H766" s="14" t="s">
        <v>712</v>
      </c>
      <c r="I766" s="14" t="s">
        <v>2964</v>
      </c>
      <c r="J766" s="14" t="s">
        <v>585</v>
      </c>
      <c r="K766" s="14"/>
      <c r="L766" s="14" t="s">
        <v>639</v>
      </c>
      <c r="M766" s="14">
        <v>189</v>
      </c>
      <c r="N766" s="14"/>
      <c r="O766" s="34"/>
      <c r="P766" s="14"/>
      <c r="Q766" s="14">
        <v>50.17</v>
      </c>
      <c r="R766" s="14">
        <v>9.16</v>
      </c>
      <c r="S766" s="14"/>
      <c r="T766" s="14"/>
      <c r="U766" s="14"/>
      <c r="V766" s="14">
        <v>123</v>
      </c>
      <c r="W766" s="14">
        <f t="shared" si="72"/>
        <v>0.65079365079365081</v>
      </c>
      <c r="X766" s="14">
        <v>30.12</v>
      </c>
      <c r="Y766" s="14">
        <v>8.42</v>
      </c>
      <c r="Z766" s="14"/>
      <c r="AA766" s="14"/>
      <c r="AB766" s="14"/>
      <c r="AC766" s="14">
        <v>161</v>
      </c>
      <c r="AD766" s="34">
        <f t="shared" si="73"/>
        <v>0.85185185185185186</v>
      </c>
      <c r="AE766" s="35">
        <v>27.29</v>
      </c>
      <c r="AF766" s="35">
        <v>15.91</v>
      </c>
      <c r="AG766" s="35"/>
      <c r="AH766" s="35"/>
      <c r="AI766" s="35"/>
      <c r="AJ766" s="35"/>
      <c r="AK766" s="35"/>
      <c r="AL766" s="35"/>
      <c r="AM766" s="35"/>
      <c r="AN766" s="35"/>
      <c r="AO766" s="35"/>
      <c r="AP766" s="35"/>
      <c r="AQ766" s="35"/>
      <c r="AR766" s="35"/>
      <c r="AS766" s="35"/>
      <c r="AT766" s="35"/>
      <c r="AU766" s="14"/>
      <c r="AV766" s="14"/>
      <c r="AW766" s="14"/>
      <c r="AX766" s="14"/>
      <c r="AY766" s="14"/>
      <c r="AZ766" s="14"/>
      <c r="BA766" s="29"/>
      <c r="BB766" s="14"/>
      <c r="BC766" s="14"/>
      <c r="BD766" s="14"/>
      <c r="BE766" s="29"/>
      <c r="BF766" s="29"/>
      <c r="BG766" s="14"/>
      <c r="BH766" s="14"/>
      <c r="BI766" s="14"/>
      <c r="BJ766" s="29"/>
      <c r="BK766" s="14"/>
      <c r="BL766" s="14"/>
      <c r="BM766" s="14"/>
      <c r="BN766" s="14" t="s">
        <v>2231</v>
      </c>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t="s">
        <v>1575</v>
      </c>
      <c r="CX766" s="14" t="s">
        <v>1576</v>
      </c>
      <c r="CY766" s="14">
        <v>2023</v>
      </c>
      <c r="CZ766" s="36">
        <v>45639</v>
      </c>
      <c r="DA766" s="14" t="s">
        <v>1577</v>
      </c>
      <c r="DB766" s="14">
        <v>8</v>
      </c>
      <c r="DC766" s="14">
        <v>1</v>
      </c>
      <c r="DD766" s="14" t="s">
        <v>2151</v>
      </c>
      <c r="DE766" s="14" t="s">
        <v>1578</v>
      </c>
    </row>
    <row r="767" spans="1:109" s="13" customFormat="1" ht="20">
      <c r="A767" s="14" t="s">
        <v>1929</v>
      </c>
      <c r="B767" s="14"/>
      <c r="C767" s="14" t="s">
        <v>1579</v>
      </c>
      <c r="D767" s="14" t="s">
        <v>898</v>
      </c>
      <c r="E767" s="14" t="s">
        <v>673</v>
      </c>
      <c r="F767" s="14" t="s">
        <v>2724</v>
      </c>
      <c r="G767" s="14"/>
      <c r="H767" s="14" t="s">
        <v>712</v>
      </c>
      <c r="I767" s="14" t="s">
        <v>2964</v>
      </c>
      <c r="J767" s="14" t="s">
        <v>585</v>
      </c>
      <c r="K767" s="14"/>
      <c r="L767" s="14" t="s">
        <v>639</v>
      </c>
      <c r="M767" s="14">
        <v>189</v>
      </c>
      <c r="N767" s="14"/>
      <c r="O767" s="34"/>
      <c r="P767" s="14"/>
      <c r="Q767" s="14">
        <v>50.17</v>
      </c>
      <c r="R767" s="14">
        <v>9.16</v>
      </c>
      <c r="S767" s="14"/>
      <c r="T767" s="14"/>
      <c r="U767" s="14"/>
      <c r="V767" s="14">
        <v>123</v>
      </c>
      <c r="W767" s="14">
        <f t="shared" si="72"/>
        <v>0.65079365079365081</v>
      </c>
      <c r="X767" s="14">
        <v>30.12</v>
      </c>
      <c r="Y767" s="14">
        <v>8.42</v>
      </c>
      <c r="Z767" s="14"/>
      <c r="AA767" s="14"/>
      <c r="AB767" s="14"/>
      <c r="AC767" s="14">
        <v>161</v>
      </c>
      <c r="AD767" s="34">
        <f t="shared" si="73"/>
        <v>0.85185185185185186</v>
      </c>
      <c r="AE767" s="35">
        <v>27.29</v>
      </c>
      <c r="AF767" s="35">
        <v>15.91</v>
      </c>
      <c r="AG767" s="35"/>
      <c r="AH767" s="35"/>
      <c r="AI767" s="35"/>
      <c r="AJ767" s="35"/>
      <c r="AK767" s="35"/>
      <c r="AL767" s="35"/>
      <c r="AM767" s="35"/>
      <c r="AN767" s="35"/>
      <c r="AO767" s="35"/>
      <c r="AP767" s="35"/>
      <c r="AQ767" s="35"/>
      <c r="AR767" s="35"/>
      <c r="AS767" s="35"/>
      <c r="AT767" s="35"/>
      <c r="AU767" s="14"/>
      <c r="AV767" s="14"/>
      <c r="AW767" s="14"/>
      <c r="AX767" s="14"/>
      <c r="AY767" s="14"/>
      <c r="AZ767" s="14"/>
      <c r="BA767" s="29"/>
      <c r="BB767" s="14"/>
      <c r="BC767" s="14"/>
      <c r="BD767" s="14"/>
      <c r="BE767" s="29"/>
      <c r="BF767" s="29"/>
      <c r="BG767" s="14"/>
      <c r="BH767" s="14"/>
      <c r="BI767" s="14"/>
      <c r="BJ767" s="29"/>
      <c r="BK767" s="14"/>
      <c r="BL767" s="14"/>
      <c r="BM767" s="14"/>
      <c r="BN767" s="14" t="s">
        <v>2231</v>
      </c>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t="s">
        <v>1575</v>
      </c>
      <c r="CX767" s="14" t="s">
        <v>1576</v>
      </c>
      <c r="CY767" s="14">
        <v>2023</v>
      </c>
      <c r="CZ767" s="36">
        <v>45639</v>
      </c>
      <c r="DA767" s="14" t="s">
        <v>1577</v>
      </c>
      <c r="DB767" s="14">
        <v>8</v>
      </c>
      <c r="DC767" s="14">
        <v>1</v>
      </c>
      <c r="DD767" s="14" t="s">
        <v>2151</v>
      </c>
      <c r="DE767" s="14" t="s">
        <v>1578</v>
      </c>
    </row>
    <row r="768" spans="1:109" s="13" customFormat="1" ht="20">
      <c r="A768" s="14" t="s">
        <v>1929</v>
      </c>
      <c r="B768" s="14"/>
      <c r="C768" s="14" t="s">
        <v>1579</v>
      </c>
      <c r="D768" s="14" t="s">
        <v>898</v>
      </c>
      <c r="E768" s="14" t="s">
        <v>673</v>
      </c>
      <c r="F768" s="14" t="s">
        <v>2717</v>
      </c>
      <c r="G768" s="14"/>
      <c r="H768" s="14" t="s">
        <v>712</v>
      </c>
      <c r="I768" s="14" t="s">
        <v>2964</v>
      </c>
      <c r="J768" s="14" t="s">
        <v>585</v>
      </c>
      <c r="K768" s="14"/>
      <c r="L768" s="14" t="s">
        <v>639</v>
      </c>
      <c r="M768" s="14">
        <v>189</v>
      </c>
      <c r="N768" s="14"/>
      <c r="O768" s="34"/>
      <c r="P768" s="14"/>
      <c r="Q768" s="14">
        <v>50.17</v>
      </c>
      <c r="R768" s="14">
        <v>9.16</v>
      </c>
      <c r="S768" s="14"/>
      <c r="T768" s="14"/>
      <c r="U768" s="14"/>
      <c r="V768" s="14">
        <v>123</v>
      </c>
      <c r="W768" s="14">
        <f t="shared" si="72"/>
        <v>0.65079365079365081</v>
      </c>
      <c r="X768" s="14">
        <v>30.12</v>
      </c>
      <c r="Y768" s="14">
        <v>8.42</v>
      </c>
      <c r="Z768" s="14"/>
      <c r="AA768" s="14"/>
      <c r="AB768" s="14"/>
      <c r="AC768" s="14">
        <v>161</v>
      </c>
      <c r="AD768" s="34">
        <f t="shared" si="73"/>
        <v>0.85185185185185186</v>
      </c>
      <c r="AE768" s="35">
        <v>27.29</v>
      </c>
      <c r="AF768" s="35">
        <v>15.91</v>
      </c>
      <c r="AG768" s="35"/>
      <c r="AH768" s="35"/>
      <c r="AI768" s="35"/>
      <c r="AJ768" s="35"/>
      <c r="AK768" s="35"/>
      <c r="AL768" s="35"/>
      <c r="AM768" s="35"/>
      <c r="AN768" s="35"/>
      <c r="AO768" s="35"/>
      <c r="AP768" s="35"/>
      <c r="AQ768" s="35"/>
      <c r="AR768" s="35"/>
      <c r="AS768" s="35"/>
      <c r="AT768" s="35"/>
      <c r="AU768" s="14"/>
      <c r="AV768" s="14"/>
      <c r="AW768" s="14"/>
      <c r="AX768" s="14"/>
      <c r="AY768" s="14"/>
      <c r="AZ768" s="14"/>
      <c r="BA768" s="29"/>
      <c r="BB768" s="14"/>
      <c r="BC768" s="14"/>
      <c r="BD768" s="14"/>
      <c r="BE768" s="29"/>
      <c r="BF768" s="29"/>
      <c r="BG768" s="14"/>
      <c r="BH768" s="14"/>
      <c r="BI768" s="14"/>
      <c r="BJ768" s="29"/>
      <c r="BK768" s="14"/>
      <c r="BL768" s="14"/>
      <c r="BM768" s="14"/>
      <c r="BN768" s="14" t="s">
        <v>2231</v>
      </c>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t="s">
        <v>1575</v>
      </c>
      <c r="CX768" s="14" t="s">
        <v>1576</v>
      </c>
      <c r="CY768" s="14">
        <v>2023</v>
      </c>
      <c r="CZ768" s="36">
        <v>45639</v>
      </c>
      <c r="DA768" s="14" t="s">
        <v>1577</v>
      </c>
      <c r="DB768" s="14">
        <v>8</v>
      </c>
      <c r="DC768" s="14">
        <v>1</v>
      </c>
      <c r="DD768" s="14" t="s">
        <v>2151</v>
      </c>
      <c r="DE768" s="14" t="s">
        <v>1578</v>
      </c>
    </row>
    <row r="769" spans="1:109" s="13" customFormat="1" ht="20">
      <c r="A769" s="14" t="s">
        <v>2025</v>
      </c>
      <c r="B769" s="14"/>
      <c r="C769" s="14" t="s">
        <v>2026</v>
      </c>
      <c r="D769" s="14" t="s">
        <v>2454</v>
      </c>
      <c r="E769" s="14" t="s">
        <v>672</v>
      </c>
      <c r="F769" s="14" t="s">
        <v>686</v>
      </c>
      <c r="G769" s="14"/>
      <c r="H769" s="14" t="s">
        <v>669</v>
      </c>
      <c r="I769" s="14" t="s">
        <v>2973</v>
      </c>
      <c r="J769" s="14" t="s">
        <v>652</v>
      </c>
      <c r="K769" s="14"/>
      <c r="L769" s="14" t="s">
        <v>639</v>
      </c>
      <c r="M769" s="14">
        <v>10</v>
      </c>
      <c r="N769" s="14"/>
      <c r="O769" s="34"/>
      <c r="P769" s="14"/>
      <c r="Q769" s="14"/>
      <c r="R769" s="14"/>
      <c r="S769" s="14">
        <v>69.599999999999994</v>
      </c>
      <c r="T769" s="14">
        <v>57.8</v>
      </c>
      <c r="U769" s="14">
        <v>74.5</v>
      </c>
      <c r="V769" s="14">
        <v>4</v>
      </c>
      <c r="W769" s="14">
        <f t="shared" si="72"/>
        <v>0.4</v>
      </c>
      <c r="X769" s="14"/>
      <c r="Y769" s="14"/>
      <c r="Z769" s="14"/>
      <c r="AA769" s="14"/>
      <c r="AB769" s="14"/>
      <c r="AC769" s="14"/>
      <c r="AD769" s="34"/>
      <c r="AE769" s="35"/>
      <c r="AF769" s="35"/>
      <c r="AG769" s="35"/>
      <c r="AH769" s="35"/>
      <c r="AI769" s="35"/>
      <c r="AJ769" s="35"/>
      <c r="AK769" s="35"/>
      <c r="AL769" s="35"/>
      <c r="AM769" s="35"/>
      <c r="AN769" s="35"/>
      <c r="AO769" s="35"/>
      <c r="AP769" s="35"/>
      <c r="AQ769" s="35"/>
      <c r="AR769" s="35"/>
      <c r="AS769" s="35"/>
      <c r="AT769" s="35"/>
      <c r="AU769" s="14"/>
      <c r="AV769" s="14"/>
      <c r="AW769" s="14"/>
      <c r="AX769" s="14"/>
      <c r="AY769" s="14"/>
      <c r="AZ769" s="14"/>
      <c r="BA769" s="29"/>
      <c r="BB769" s="14"/>
      <c r="BC769" s="14"/>
      <c r="BD769" s="14"/>
      <c r="BE769" s="29"/>
      <c r="BF769" s="29"/>
      <c r="BG769" s="14"/>
      <c r="BH769" s="14"/>
      <c r="BI769" s="14"/>
      <c r="BJ769" s="29"/>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t="s">
        <v>2105</v>
      </c>
      <c r="CX769" s="14" t="s">
        <v>2106</v>
      </c>
      <c r="CY769" s="14">
        <v>2019</v>
      </c>
      <c r="CZ769" s="36">
        <v>45560</v>
      </c>
      <c r="DA769" s="14" t="s">
        <v>2107</v>
      </c>
      <c r="DB769" s="14">
        <v>57</v>
      </c>
      <c r="DC769" s="14">
        <v>10</v>
      </c>
      <c r="DD769" s="14" t="s">
        <v>2108</v>
      </c>
      <c r="DE769" s="14" t="s">
        <v>2109</v>
      </c>
    </row>
    <row r="770" spans="1:109" s="13" customFormat="1" ht="20">
      <c r="A770" s="14" t="s">
        <v>2025</v>
      </c>
      <c r="B770" s="14"/>
      <c r="C770" s="14" t="s">
        <v>2026</v>
      </c>
      <c r="D770" s="14" t="s">
        <v>830</v>
      </c>
      <c r="E770" s="14" t="s">
        <v>673</v>
      </c>
      <c r="F770" s="14" t="s">
        <v>686</v>
      </c>
      <c r="G770" s="14"/>
      <c r="H770" s="14" t="s">
        <v>669</v>
      </c>
      <c r="I770" s="14" t="s">
        <v>2973</v>
      </c>
      <c r="J770" s="14" t="s">
        <v>652</v>
      </c>
      <c r="K770" s="14"/>
      <c r="L770" s="14" t="s">
        <v>639</v>
      </c>
      <c r="M770" s="14">
        <v>10</v>
      </c>
      <c r="N770" s="14"/>
      <c r="O770" s="34"/>
      <c r="P770" s="14"/>
      <c r="Q770" s="14"/>
      <c r="R770" s="14"/>
      <c r="S770" s="14">
        <v>69.599999999999994</v>
      </c>
      <c r="T770" s="14">
        <v>57.8</v>
      </c>
      <c r="U770" s="14">
        <v>74.5</v>
      </c>
      <c r="V770" s="14">
        <v>4</v>
      </c>
      <c r="W770" s="14">
        <f t="shared" si="72"/>
        <v>0.4</v>
      </c>
      <c r="X770" s="14"/>
      <c r="Y770" s="14"/>
      <c r="Z770" s="14"/>
      <c r="AA770" s="14"/>
      <c r="AB770" s="14"/>
      <c r="AC770" s="14"/>
      <c r="AD770" s="34"/>
      <c r="AE770" s="35"/>
      <c r="AF770" s="35"/>
      <c r="AG770" s="35"/>
      <c r="AH770" s="35"/>
      <c r="AI770" s="35"/>
      <c r="AJ770" s="35"/>
      <c r="AK770" s="35"/>
      <c r="AL770" s="35"/>
      <c r="AM770" s="35"/>
      <c r="AN770" s="35"/>
      <c r="AO770" s="35"/>
      <c r="AP770" s="35"/>
      <c r="AQ770" s="35"/>
      <c r="AR770" s="35"/>
      <c r="AS770" s="35"/>
      <c r="AT770" s="35"/>
      <c r="AU770" s="14"/>
      <c r="AV770" s="14"/>
      <c r="AW770" s="14"/>
      <c r="AX770" s="14"/>
      <c r="AY770" s="14"/>
      <c r="AZ770" s="14"/>
      <c r="BA770" s="29"/>
      <c r="BB770" s="14"/>
      <c r="BC770" s="14"/>
      <c r="BD770" s="14"/>
      <c r="BE770" s="29"/>
      <c r="BF770" s="29"/>
      <c r="BG770" s="14"/>
      <c r="BH770" s="14"/>
      <c r="BI770" s="14"/>
      <c r="BJ770" s="29"/>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t="s">
        <v>2105</v>
      </c>
      <c r="CX770" s="14" t="s">
        <v>2106</v>
      </c>
      <c r="CY770" s="14">
        <v>2019</v>
      </c>
      <c r="CZ770" s="36">
        <v>45560</v>
      </c>
      <c r="DA770" s="14" t="s">
        <v>2107</v>
      </c>
      <c r="DB770" s="14">
        <v>57</v>
      </c>
      <c r="DC770" s="14">
        <v>10</v>
      </c>
      <c r="DD770" s="14" t="s">
        <v>2108</v>
      </c>
      <c r="DE770" s="14" t="s">
        <v>2109</v>
      </c>
    </row>
    <row r="771" spans="1:109" s="13" customFormat="1" ht="20">
      <c r="A771" s="14" t="s">
        <v>1931</v>
      </c>
      <c r="B771" s="14"/>
      <c r="C771" s="14" t="s">
        <v>2979</v>
      </c>
      <c r="D771" s="14" t="s">
        <v>827</v>
      </c>
      <c r="E771" s="14" t="s">
        <v>725</v>
      </c>
      <c r="F771" s="14" t="s">
        <v>675</v>
      </c>
      <c r="G771" s="14"/>
      <c r="H771" s="14" t="s">
        <v>669</v>
      </c>
      <c r="I771" s="14" t="s">
        <v>2977</v>
      </c>
      <c r="J771" s="14" t="s">
        <v>652</v>
      </c>
      <c r="K771" s="14" t="s">
        <v>2978</v>
      </c>
      <c r="L771" s="14" t="s">
        <v>639</v>
      </c>
      <c r="M771" s="14">
        <v>46</v>
      </c>
      <c r="N771" s="14"/>
      <c r="O771" s="34"/>
      <c r="P771" s="14"/>
      <c r="Q771" s="14">
        <v>61.3</v>
      </c>
      <c r="R771" s="14">
        <v>11.6</v>
      </c>
      <c r="S771" s="14"/>
      <c r="T771" s="14"/>
      <c r="U771" s="14"/>
      <c r="V771" s="14">
        <v>27</v>
      </c>
      <c r="W771" s="14">
        <f t="shared" si="72"/>
        <v>0.58695652173913049</v>
      </c>
      <c r="X771" s="14"/>
      <c r="Y771" s="14"/>
      <c r="Z771" s="14">
        <v>42</v>
      </c>
      <c r="AA771" s="14">
        <v>39.799999999999997</v>
      </c>
      <c r="AB771" s="14">
        <v>44</v>
      </c>
      <c r="AC771" s="14">
        <v>36</v>
      </c>
      <c r="AD771" s="34">
        <f t="shared" ref="AD771:AD778" si="74">AC771/M771</f>
        <v>0.78260869565217395</v>
      </c>
      <c r="AE771" s="35"/>
      <c r="AF771" s="35"/>
      <c r="AG771" s="35">
        <v>10.1</v>
      </c>
      <c r="AH771" s="35">
        <v>6.51</v>
      </c>
      <c r="AI771" s="35">
        <v>19.399999999999999</v>
      </c>
      <c r="AJ771" s="35"/>
      <c r="AK771" s="35"/>
      <c r="AL771" s="35"/>
      <c r="AM771" s="35"/>
      <c r="AN771" s="35"/>
      <c r="AO771" s="35"/>
      <c r="AP771" s="35"/>
      <c r="AQ771" s="35"/>
      <c r="AR771" s="35"/>
      <c r="AS771" s="35"/>
      <c r="AT771" s="35"/>
      <c r="AU771" s="14"/>
      <c r="AV771" s="14"/>
      <c r="AW771" s="14"/>
      <c r="AX771" s="14"/>
      <c r="AY771" s="14"/>
      <c r="AZ771" s="14"/>
      <c r="BA771" s="29"/>
      <c r="BB771" s="14"/>
      <c r="BC771" s="14"/>
      <c r="BD771" s="14"/>
      <c r="BE771" s="29"/>
      <c r="BF771" s="29"/>
      <c r="BG771" s="14"/>
      <c r="BH771" s="14"/>
      <c r="BI771" s="14"/>
      <c r="BJ771" s="29"/>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c r="CM771" s="14"/>
      <c r="CN771" s="14"/>
      <c r="CO771" s="14"/>
      <c r="CP771" s="14"/>
      <c r="CQ771" s="14" t="s">
        <v>2984</v>
      </c>
      <c r="CR771" s="14" t="s">
        <v>2380</v>
      </c>
      <c r="CS771" s="14"/>
      <c r="CT771" s="14"/>
      <c r="CU771" s="14"/>
      <c r="CV771" s="14"/>
      <c r="CW771" s="14" t="s">
        <v>1586</v>
      </c>
      <c r="CX771" s="14" t="s">
        <v>1587</v>
      </c>
      <c r="CY771" s="14">
        <v>2021</v>
      </c>
      <c r="CZ771" s="36">
        <v>45530</v>
      </c>
      <c r="DA771" s="14" t="s">
        <v>1149</v>
      </c>
      <c r="DB771" s="14">
        <v>10</v>
      </c>
      <c r="DC771" s="14">
        <v>1</v>
      </c>
      <c r="DD771" s="14" t="s">
        <v>2144</v>
      </c>
      <c r="DE771" s="14" t="s">
        <v>1588</v>
      </c>
    </row>
    <row r="772" spans="1:109" s="13" customFormat="1" ht="20">
      <c r="A772" s="14" t="s">
        <v>1931</v>
      </c>
      <c r="B772" s="14"/>
      <c r="C772" s="14" t="s">
        <v>2980</v>
      </c>
      <c r="D772" s="14" t="s">
        <v>827</v>
      </c>
      <c r="E772" s="14" t="s">
        <v>673</v>
      </c>
      <c r="F772" s="14" t="s">
        <v>675</v>
      </c>
      <c r="G772" s="14"/>
      <c r="H772" s="14" t="s">
        <v>669</v>
      </c>
      <c r="I772" s="14" t="s">
        <v>2982</v>
      </c>
      <c r="J772" s="14" t="s">
        <v>652</v>
      </c>
      <c r="K772" s="14" t="s">
        <v>2978</v>
      </c>
      <c r="L772" s="14" t="s">
        <v>639</v>
      </c>
      <c r="M772" s="14">
        <v>46</v>
      </c>
      <c r="N772" s="14"/>
      <c r="O772" s="34"/>
      <c r="P772" s="14"/>
      <c r="Q772" s="14">
        <v>63.4</v>
      </c>
      <c r="R772" s="14">
        <v>10.199999999999999</v>
      </c>
      <c r="S772" s="14"/>
      <c r="T772" s="14"/>
      <c r="U772" s="14"/>
      <c r="V772" s="14">
        <v>32</v>
      </c>
      <c r="W772" s="14">
        <f t="shared" si="72"/>
        <v>0.69565217391304346</v>
      </c>
      <c r="X772" s="14"/>
      <c r="Y772" s="14"/>
      <c r="Z772" s="14">
        <v>37</v>
      </c>
      <c r="AA772" s="14">
        <v>30.5</v>
      </c>
      <c r="AB772" s="14">
        <v>42</v>
      </c>
      <c r="AC772" s="14">
        <v>35</v>
      </c>
      <c r="AD772" s="34">
        <f t="shared" si="74"/>
        <v>0.76086956521739135</v>
      </c>
      <c r="AE772" s="35"/>
      <c r="AF772" s="35"/>
      <c r="AG772" s="35">
        <v>14.8</v>
      </c>
      <c r="AH772" s="35">
        <v>9.4</v>
      </c>
      <c r="AI772" s="35">
        <v>28.4</v>
      </c>
      <c r="AJ772" s="35"/>
      <c r="AK772" s="35"/>
      <c r="AL772" s="35"/>
      <c r="AM772" s="35"/>
      <c r="AN772" s="35"/>
      <c r="AO772" s="35"/>
      <c r="AP772" s="35"/>
      <c r="AQ772" s="35"/>
      <c r="AR772" s="35"/>
      <c r="AS772" s="35"/>
      <c r="AT772" s="35"/>
      <c r="AU772" s="14"/>
      <c r="AV772" s="14"/>
      <c r="AW772" s="14"/>
      <c r="AX772" s="14"/>
      <c r="AY772" s="14"/>
      <c r="AZ772" s="14"/>
      <c r="BA772" s="29"/>
      <c r="BB772" s="14"/>
      <c r="BC772" s="14"/>
      <c r="BD772" s="14"/>
      <c r="BE772" s="29"/>
      <c r="BF772" s="29"/>
      <c r="BG772" s="14"/>
      <c r="BH772" s="14"/>
      <c r="BI772" s="14"/>
      <c r="BJ772" s="29"/>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c r="CM772" s="14"/>
      <c r="CN772" s="14"/>
      <c r="CO772" s="14"/>
      <c r="CP772" s="14"/>
      <c r="CQ772" s="14" t="s">
        <v>2984</v>
      </c>
      <c r="CR772" s="14" t="s">
        <v>2380</v>
      </c>
      <c r="CS772" s="14"/>
      <c r="CT772" s="14"/>
      <c r="CU772" s="14"/>
      <c r="CV772" s="14"/>
      <c r="CW772" s="14" t="s">
        <v>1586</v>
      </c>
      <c r="CX772" s="14" t="s">
        <v>1587</v>
      </c>
      <c r="CY772" s="14">
        <v>2021</v>
      </c>
      <c r="CZ772" s="36">
        <v>45530</v>
      </c>
      <c r="DA772" s="14" t="s">
        <v>1149</v>
      </c>
      <c r="DB772" s="14">
        <v>10</v>
      </c>
      <c r="DC772" s="14">
        <v>1</v>
      </c>
      <c r="DD772" s="14" t="s">
        <v>2144</v>
      </c>
      <c r="DE772" s="14" t="s">
        <v>1588</v>
      </c>
    </row>
    <row r="773" spans="1:109" s="13" customFormat="1" ht="20">
      <c r="A773" s="14" t="s">
        <v>1931</v>
      </c>
      <c r="B773" s="14"/>
      <c r="C773" s="14" t="s">
        <v>2981</v>
      </c>
      <c r="D773" s="14" t="s">
        <v>827</v>
      </c>
      <c r="E773" s="14" t="s">
        <v>674</v>
      </c>
      <c r="F773" s="14" t="s">
        <v>675</v>
      </c>
      <c r="G773" s="14"/>
      <c r="H773" s="14" t="s">
        <v>669</v>
      </c>
      <c r="I773" s="14" t="s">
        <v>2983</v>
      </c>
      <c r="J773" s="14" t="s">
        <v>652</v>
      </c>
      <c r="K773" s="14" t="s">
        <v>2978</v>
      </c>
      <c r="L773" s="14" t="s">
        <v>639</v>
      </c>
      <c r="M773" s="14">
        <v>33</v>
      </c>
      <c r="N773" s="14"/>
      <c r="O773" s="34"/>
      <c r="P773" s="14"/>
      <c r="Q773" s="14">
        <v>51.3</v>
      </c>
      <c r="R773" s="14">
        <v>11.7</v>
      </c>
      <c r="S773" s="14"/>
      <c r="T773" s="14"/>
      <c r="U773" s="14"/>
      <c r="V773" s="14">
        <v>23</v>
      </c>
      <c r="W773" s="14">
        <f t="shared" si="72"/>
        <v>0.69696969696969702</v>
      </c>
      <c r="X773" s="14"/>
      <c r="Y773" s="14"/>
      <c r="Z773" s="14">
        <v>39</v>
      </c>
      <c r="AA773" s="14">
        <v>34</v>
      </c>
      <c r="AB773" s="14">
        <v>43</v>
      </c>
      <c r="AC773" s="14">
        <v>26</v>
      </c>
      <c r="AD773" s="34">
        <f t="shared" si="74"/>
        <v>0.78787878787878785</v>
      </c>
      <c r="AE773" s="35"/>
      <c r="AF773" s="35"/>
      <c r="AG773" s="35">
        <v>20</v>
      </c>
      <c r="AH773" s="35">
        <v>13</v>
      </c>
      <c r="AI773" s="35">
        <v>29.5</v>
      </c>
      <c r="AJ773" s="35"/>
      <c r="AK773" s="35"/>
      <c r="AL773" s="35"/>
      <c r="AM773" s="35"/>
      <c r="AN773" s="35"/>
      <c r="AO773" s="35"/>
      <c r="AP773" s="35"/>
      <c r="AQ773" s="35"/>
      <c r="AR773" s="35"/>
      <c r="AS773" s="35"/>
      <c r="AT773" s="35"/>
      <c r="AU773" s="14"/>
      <c r="AV773" s="14"/>
      <c r="AW773" s="14"/>
      <c r="AX773" s="14"/>
      <c r="AY773" s="14"/>
      <c r="AZ773" s="14"/>
      <c r="BA773" s="29"/>
      <c r="BB773" s="14"/>
      <c r="BC773" s="14"/>
      <c r="BD773" s="14"/>
      <c r="BE773" s="29"/>
      <c r="BF773" s="29"/>
      <c r="BG773" s="14"/>
      <c r="BH773" s="14"/>
      <c r="BI773" s="14"/>
      <c r="BJ773" s="29"/>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c r="CM773" s="14"/>
      <c r="CN773" s="14"/>
      <c r="CO773" s="14"/>
      <c r="CP773" s="14"/>
      <c r="CQ773" s="14" t="s">
        <v>2984</v>
      </c>
      <c r="CR773" s="14" t="s">
        <v>2380</v>
      </c>
      <c r="CS773" s="14"/>
      <c r="CT773" s="14"/>
      <c r="CU773" s="14"/>
      <c r="CV773" s="14"/>
      <c r="CW773" s="14" t="s">
        <v>1586</v>
      </c>
      <c r="CX773" s="14" t="s">
        <v>1587</v>
      </c>
      <c r="CY773" s="14">
        <v>2021</v>
      </c>
      <c r="CZ773" s="36">
        <v>45530</v>
      </c>
      <c r="DA773" s="14" t="s">
        <v>1149</v>
      </c>
      <c r="DB773" s="14">
        <v>10</v>
      </c>
      <c r="DC773" s="14">
        <v>1</v>
      </c>
      <c r="DD773" s="14" t="s">
        <v>2144</v>
      </c>
      <c r="DE773" s="14" t="s">
        <v>1588</v>
      </c>
    </row>
    <row r="774" spans="1:109" s="13" customFormat="1" ht="20">
      <c r="A774" s="14" t="s">
        <v>1932</v>
      </c>
      <c r="B774" s="14"/>
      <c r="C774" s="14" t="s">
        <v>1592</v>
      </c>
      <c r="D774" s="14" t="s">
        <v>827</v>
      </c>
      <c r="E774" s="14" t="s">
        <v>674</v>
      </c>
      <c r="F774" s="14" t="s">
        <v>675</v>
      </c>
      <c r="G774" s="14"/>
      <c r="H774" s="14" t="s">
        <v>2985</v>
      </c>
      <c r="I774" s="14" t="s">
        <v>2986</v>
      </c>
      <c r="J774" s="14" t="s">
        <v>652</v>
      </c>
      <c r="K774" s="14" t="s">
        <v>2987</v>
      </c>
      <c r="L774" s="14" t="s">
        <v>639</v>
      </c>
      <c r="M774" s="14">
        <v>65</v>
      </c>
      <c r="N774" s="14"/>
      <c r="O774" s="34"/>
      <c r="P774" s="14"/>
      <c r="Q774" s="14">
        <v>57.8</v>
      </c>
      <c r="R774" s="14">
        <v>9.5</v>
      </c>
      <c r="S774" s="14"/>
      <c r="T774" s="14"/>
      <c r="U774" s="14"/>
      <c r="V774" s="14">
        <v>42</v>
      </c>
      <c r="W774" s="14">
        <f t="shared" si="72"/>
        <v>0.64615384615384619</v>
      </c>
      <c r="X774" s="14"/>
      <c r="Y774" s="14"/>
      <c r="Z774" s="14">
        <v>39</v>
      </c>
      <c r="AA774" s="14">
        <v>34</v>
      </c>
      <c r="AB774" s="14">
        <v>42</v>
      </c>
      <c r="AC774" s="14">
        <v>57</v>
      </c>
      <c r="AD774" s="34">
        <f t="shared" si="74"/>
        <v>0.87692307692307692</v>
      </c>
      <c r="AE774" s="35"/>
      <c r="AF774" s="35"/>
      <c r="AG774" s="35">
        <v>18</v>
      </c>
      <c r="AH774" s="35">
        <v>12</v>
      </c>
      <c r="AI774" s="35">
        <v>21</v>
      </c>
      <c r="AJ774" s="35"/>
      <c r="AK774" s="35"/>
      <c r="AL774" s="35"/>
      <c r="AM774" s="35"/>
      <c r="AN774" s="35"/>
      <c r="AO774" s="35"/>
      <c r="AP774" s="35"/>
      <c r="AQ774" s="35"/>
      <c r="AR774" s="35"/>
      <c r="AS774" s="35"/>
      <c r="AT774" s="35"/>
      <c r="AU774" s="14"/>
      <c r="AV774" s="14"/>
      <c r="AW774" s="14"/>
      <c r="AX774" s="14"/>
      <c r="AY774" s="14"/>
      <c r="AZ774" s="14"/>
      <c r="BA774" s="29"/>
      <c r="BB774" s="14"/>
      <c r="BC774" s="14"/>
      <c r="BD774" s="14"/>
      <c r="BE774" s="29"/>
      <c r="BF774" s="29"/>
      <c r="BG774" s="14"/>
      <c r="BH774" s="14"/>
      <c r="BI774" s="14"/>
      <c r="BJ774" s="29"/>
      <c r="BK774" s="14"/>
      <c r="BL774" s="14"/>
      <c r="BM774" s="14"/>
      <c r="BN774" s="14" t="s">
        <v>2553</v>
      </c>
      <c r="BO774" s="14" t="s">
        <v>2490</v>
      </c>
      <c r="BP774" s="14"/>
      <c r="BQ774" s="14">
        <v>0.64</v>
      </c>
      <c r="BR774" s="14"/>
      <c r="BS774" s="14"/>
      <c r="BT774" s="14"/>
      <c r="BU774" s="14" t="s">
        <v>635</v>
      </c>
      <c r="BV774" s="14"/>
      <c r="BW774" s="14"/>
      <c r="BX774" s="14"/>
      <c r="BY774" s="14"/>
      <c r="BZ774" s="14"/>
      <c r="CA774" s="14"/>
      <c r="CB774" s="14"/>
      <c r="CC774" s="14"/>
      <c r="CD774" s="14"/>
      <c r="CE774" s="14"/>
      <c r="CF774" s="14"/>
      <c r="CG774" s="14"/>
      <c r="CH774" s="14"/>
      <c r="CI774" s="14"/>
      <c r="CJ774" s="14" t="s">
        <v>2988</v>
      </c>
      <c r="CK774" s="14">
        <v>0.61</v>
      </c>
      <c r="CL774" s="14"/>
      <c r="CM774" s="14"/>
      <c r="CN774" s="14" t="s">
        <v>635</v>
      </c>
      <c r="CO774" s="14"/>
      <c r="CP774" s="14"/>
      <c r="CQ774" s="14"/>
      <c r="CR774" s="14"/>
      <c r="CS774" s="14"/>
      <c r="CT774" s="14"/>
      <c r="CU774" s="14"/>
      <c r="CV774" s="14" t="s">
        <v>2989</v>
      </c>
      <c r="CW774" s="14" t="s">
        <v>1589</v>
      </c>
      <c r="CX774" s="14" t="s">
        <v>1590</v>
      </c>
      <c r="CY774" s="14">
        <v>2023</v>
      </c>
      <c r="CZ774" s="36"/>
      <c r="DA774" s="14" t="s">
        <v>349</v>
      </c>
      <c r="DB774" s="14"/>
      <c r="DC774" s="14"/>
      <c r="DD774" s="14"/>
      <c r="DE774" s="14" t="s">
        <v>1591</v>
      </c>
    </row>
    <row r="775" spans="1:109" s="13" customFormat="1" ht="20">
      <c r="A775" s="13" t="s">
        <v>3427</v>
      </c>
      <c r="B775" s="16"/>
      <c r="C775" s="13" t="s">
        <v>3353</v>
      </c>
      <c r="D775" s="14" t="s">
        <v>1015</v>
      </c>
      <c r="E775" s="13" t="s">
        <v>673</v>
      </c>
      <c r="F775" s="13" t="s">
        <v>675</v>
      </c>
      <c r="H775" s="14" t="s">
        <v>669</v>
      </c>
      <c r="I775" s="14" t="s">
        <v>3986</v>
      </c>
      <c r="J775" s="13" t="s">
        <v>808</v>
      </c>
      <c r="L775" s="13" t="s">
        <v>639</v>
      </c>
      <c r="M775" s="13">
        <v>790</v>
      </c>
      <c r="O775" s="15"/>
      <c r="S775" s="13">
        <v>66.5</v>
      </c>
      <c r="T775" s="13">
        <v>58.2</v>
      </c>
      <c r="U775" s="13">
        <v>73.8</v>
      </c>
      <c r="V775" s="13">
        <v>478</v>
      </c>
      <c r="W775" s="2">
        <f t="shared" si="72"/>
        <v>0.60506329113924051</v>
      </c>
      <c r="Z775" s="13">
        <v>38</v>
      </c>
      <c r="AA775" s="13">
        <v>33</v>
      </c>
      <c r="AB775" s="13">
        <v>42</v>
      </c>
      <c r="AC775" s="13">
        <f>228+25+270</f>
        <v>523</v>
      </c>
      <c r="AD775" s="13">
        <f t="shared" si="74"/>
        <v>0.66202531645569618</v>
      </c>
      <c r="AG775" s="13">
        <v>12.1</v>
      </c>
      <c r="AH775" s="13">
        <v>7.8</v>
      </c>
      <c r="AI775" s="13">
        <v>19.3</v>
      </c>
      <c r="AL775" s="13">
        <f>3.15*12</f>
        <v>37.799999999999997</v>
      </c>
      <c r="AQ775" s="13">
        <v>18.8</v>
      </c>
      <c r="AR775" s="13">
        <v>10.199999999999999</v>
      </c>
      <c r="AS775" s="13">
        <v>35.700000000000003</v>
      </c>
      <c r="AT775" s="13">
        <v>554</v>
      </c>
      <c r="BA775" s="16"/>
      <c r="BE775" s="16"/>
      <c r="BJ775" s="16"/>
      <c r="BN775" s="16"/>
      <c r="CW775" s="13" t="s">
        <v>3611</v>
      </c>
      <c r="CX775" s="13" t="s">
        <v>3612</v>
      </c>
      <c r="CY775" s="13">
        <v>2024</v>
      </c>
      <c r="CZ775" s="13" t="s">
        <v>162</v>
      </c>
      <c r="DA775" s="13" t="s">
        <v>125</v>
      </c>
      <c r="DB775" s="13">
        <v>96</v>
      </c>
      <c r="DC775" s="13">
        <v>6</v>
      </c>
      <c r="DD775" s="13" t="s">
        <v>3613</v>
      </c>
      <c r="DE775" s="13" t="s">
        <v>3282</v>
      </c>
    </row>
    <row r="776" spans="1:109" s="13" customFormat="1" ht="20">
      <c r="A776" s="13" t="s">
        <v>3427</v>
      </c>
      <c r="B776" s="16"/>
      <c r="C776" s="13" t="s">
        <v>3353</v>
      </c>
      <c r="D776" s="14" t="s">
        <v>1015</v>
      </c>
      <c r="E776" s="13" t="s">
        <v>673</v>
      </c>
      <c r="F776" s="13" t="s">
        <v>686</v>
      </c>
      <c r="H776" s="14" t="s">
        <v>669</v>
      </c>
      <c r="I776" s="14" t="s">
        <v>3986</v>
      </c>
      <c r="J776" s="13" t="s">
        <v>808</v>
      </c>
      <c r="L776" s="13" t="s">
        <v>639</v>
      </c>
      <c r="M776" s="13">
        <v>790</v>
      </c>
      <c r="O776" s="15"/>
      <c r="S776" s="13">
        <v>66.5</v>
      </c>
      <c r="T776" s="13">
        <v>58.2</v>
      </c>
      <c r="U776" s="13">
        <v>73.8</v>
      </c>
      <c r="V776" s="13">
        <v>478</v>
      </c>
      <c r="W776" s="2">
        <f t="shared" si="72"/>
        <v>0.60506329113924051</v>
      </c>
      <c r="Z776" s="13">
        <v>38</v>
      </c>
      <c r="AA776" s="13">
        <v>33</v>
      </c>
      <c r="AB776" s="13">
        <v>42</v>
      </c>
      <c r="AC776" s="13">
        <f>228+25+270</f>
        <v>523</v>
      </c>
      <c r="AD776" s="13">
        <f t="shared" si="74"/>
        <v>0.66202531645569618</v>
      </c>
      <c r="AG776" s="13">
        <v>12.1</v>
      </c>
      <c r="AH776" s="13">
        <v>7.8</v>
      </c>
      <c r="AI776" s="13">
        <v>19.3</v>
      </c>
      <c r="AL776" s="13">
        <f>3.15*12</f>
        <v>37.799999999999997</v>
      </c>
      <c r="AQ776" s="13">
        <v>18.8</v>
      </c>
      <c r="AR776" s="13">
        <v>10.199999999999999</v>
      </c>
      <c r="AS776" s="13">
        <v>35.700000000000003</v>
      </c>
      <c r="AT776" s="13">
        <v>554</v>
      </c>
      <c r="BA776" s="16"/>
      <c r="BE776" s="16"/>
      <c r="BJ776" s="16"/>
      <c r="BN776" s="16"/>
      <c r="CW776" s="13" t="s">
        <v>3611</v>
      </c>
      <c r="CX776" s="13" t="s">
        <v>3612</v>
      </c>
      <c r="CY776" s="13">
        <v>2024</v>
      </c>
      <c r="CZ776" s="13" t="s">
        <v>162</v>
      </c>
      <c r="DA776" s="13" t="s">
        <v>125</v>
      </c>
      <c r="DB776" s="13">
        <v>96</v>
      </c>
      <c r="DC776" s="13">
        <v>6</v>
      </c>
      <c r="DD776" s="13" t="s">
        <v>3613</v>
      </c>
      <c r="DE776" s="13" t="s">
        <v>3282</v>
      </c>
    </row>
    <row r="777" spans="1:109" s="13" customFormat="1" ht="20">
      <c r="A777" s="13" t="s">
        <v>1754</v>
      </c>
      <c r="B777" s="13" t="s">
        <v>1754</v>
      </c>
      <c r="C777" s="13" t="s">
        <v>542</v>
      </c>
      <c r="D777" s="13" t="s">
        <v>1035</v>
      </c>
      <c r="E777" s="13" t="s">
        <v>673</v>
      </c>
      <c r="F777" s="13" t="s">
        <v>675</v>
      </c>
      <c r="G777" s="14"/>
      <c r="H777" s="13" t="s">
        <v>669</v>
      </c>
      <c r="I777" s="13" t="s">
        <v>3636</v>
      </c>
      <c r="J777" s="13" t="s">
        <v>808</v>
      </c>
      <c r="L777" s="14"/>
      <c r="M777" s="13">
        <v>34</v>
      </c>
      <c r="O777" s="15"/>
      <c r="P777" s="13">
        <v>5</v>
      </c>
      <c r="S777" s="13">
        <v>62</v>
      </c>
      <c r="V777" s="14">
        <v>20</v>
      </c>
      <c r="W777" s="14">
        <f t="shared" si="72"/>
        <v>0.58823529411764708</v>
      </c>
      <c r="X777" s="14"/>
      <c r="Y777" s="14"/>
      <c r="Z777" s="14">
        <v>40</v>
      </c>
      <c r="AA777" s="14"/>
      <c r="AB777" s="14"/>
      <c r="AC777" s="14">
        <v>24</v>
      </c>
      <c r="AD777" s="34">
        <f t="shared" si="74"/>
        <v>0.70588235294117652</v>
      </c>
      <c r="AE777" s="35"/>
      <c r="AF777" s="35"/>
      <c r="AG777" s="35">
        <v>9</v>
      </c>
      <c r="AH777" s="35"/>
      <c r="AI777" s="35"/>
      <c r="AJ777" s="35"/>
      <c r="AK777" s="35"/>
      <c r="AL777" s="35"/>
      <c r="AM777" s="35"/>
      <c r="AN777" s="35"/>
      <c r="AO777" s="35"/>
      <c r="AP777" s="35"/>
      <c r="AQ777" s="35"/>
      <c r="AR777" s="35"/>
      <c r="AS777" s="35"/>
      <c r="AT777" s="35"/>
      <c r="AU777" s="14"/>
      <c r="AV777" s="14"/>
      <c r="AW777" s="14"/>
      <c r="AX777" s="14"/>
      <c r="AY777" s="14"/>
      <c r="AZ777" s="14"/>
      <c r="BA777" s="29"/>
      <c r="BB777" s="14"/>
      <c r="BC777" s="14"/>
      <c r="BD777" s="14"/>
      <c r="BE777" s="29"/>
      <c r="BF777" s="29"/>
      <c r="BG777" s="14"/>
      <c r="BH777" s="14"/>
      <c r="BI777" s="14"/>
      <c r="BJ777" s="29"/>
      <c r="BK777" s="14"/>
      <c r="BL777" s="14"/>
      <c r="BM777" s="14"/>
      <c r="BN777" s="14" t="s">
        <v>2231</v>
      </c>
      <c r="BO777" s="14"/>
      <c r="BP777" s="14"/>
      <c r="BQ777" s="14">
        <v>0.20300000000000001</v>
      </c>
      <c r="BR777" s="14">
        <v>29</v>
      </c>
      <c r="BS777" s="14"/>
      <c r="BT777" s="14"/>
      <c r="BU777" s="14">
        <v>0.28999999999999998</v>
      </c>
      <c r="BV777" s="14"/>
      <c r="BW777" s="14"/>
      <c r="BX777" s="14"/>
      <c r="BY777" s="14"/>
      <c r="BZ777" s="14"/>
      <c r="CA777" s="14"/>
      <c r="CB777" s="14"/>
      <c r="CC777" s="14">
        <v>-0.13700000000000001</v>
      </c>
      <c r="CD777" s="14">
        <v>29</v>
      </c>
      <c r="CE777" s="14"/>
      <c r="CF777" s="14"/>
      <c r="CG777" s="14">
        <v>0.47699999999999998</v>
      </c>
      <c r="CH777" s="14"/>
      <c r="CI777" s="14"/>
      <c r="CJ777" s="14"/>
      <c r="CK777" s="14"/>
      <c r="CL777" s="14"/>
      <c r="CM777" s="14"/>
      <c r="CN777" s="14"/>
      <c r="CO777" s="14"/>
      <c r="CP777" s="14"/>
      <c r="CQ777" s="14"/>
      <c r="CR777" s="14"/>
      <c r="CS777" s="14"/>
      <c r="CT777" s="14"/>
      <c r="CU777" s="14"/>
      <c r="CV777" s="14"/>
      <c r="CW777" s="13" t="s">
        <v>538</v>
      </c>
      <c r="CX777" s="13" t="s">
        <v>539</v>
      </c>
      <c r="CY777" s="13">
        <v>2024</v>
      </c>
      <c r="CZ777" s="13" t="s">
        <v>53</v>
      </c>
      <c r="DA777" s="13" t="s">
        <v>13</v>
      </c>
      <c r="DB777" s="13">
        <v>271</v>
      </c>
      <c r="DC777" s="13">
        <v>7</v>
      </c>
      <c r="DD777" s="13" t="s">
        <v>540</v>
      </c>
      <c r="DE777" s="13" t="s">
        <v>541</v>
      </c>
    </row>
    <row r="778" spans="1:109" s="13" customFormat="1" ht="20">
      <c r="A778" s="13" t="s">
        <v>1754</v>
      </c>
      <c r="B778" s="13" t="s">
        <v>1754</v>
      </c>
      <c r="C778" s="13" t="s">
        <v>542</v>
      </c>
      <c r="D778" s="13" t="s">
        <v>1035</v>
      </c>
      <c r="E778" s="13" t="s">
        <v>672</v>
      </c>
      <c r="F778" s="13" t="s">
        <v>686</v>
      </c>
      <c r="G778" s="14"/>
      <c r="H778" s="13" t="s">
        <v>669</v>
      </c>
      <c r="I778" s="13" t="s">
        <v>3636</v>
      </c>
      <c r="J778" s="13" t="s">
        <v>585</v>
      </c>
      <c r="L778" s="14"/>
      <c r="M778" s="13">
        <v>34</v>
      </c>
      <c r="O778" s="15"/>
      <c r="P778" s="13">
        <v>5</v>
      </c>
      <c r="S778" s="13">
        <v>62</v>
      </c>
      <c r="V778" s="14">
        <v>20</v>
      </c>
      <c r="W778" s="14">
        <f t="shared" si="72"/>
        <v>0.58823529411764708</v>
      </c>
      <c r="X778" s="14"/>
      <c r="Y778" s="14"/>
      <c r="Z778" s="14">
        <v>40</v>
      </c>
      <c r="AA778" s="14"/>
      <c r="AB778" s="14"/>
      <c r="AC778" s="14">
        <v>24</v>
      </c>
      <c r="AD778" s="34">
        <f t="shared" si="74"/>
        <v>0.70588235294117652</v>
      </c>
      <c r="AE778" s="35"/>
      <c r="AF778" s="35"/>
      <c r="AG778" s="35">
        <v>9</v>
      </c>
      <c r="AH778" s="35"/>
      <c r="AI778" s="35"/>
      <c r="AJ778" s="35"/>
      <c r="AK778" s="35"/>
      <c r="AL778" s="35"/>
      <c r="AM778" s="35"/>
      <c r="AN778" s="35"/>
      <c r="AO778" s="35"/>
      <c r="AP778" s="35"/>
      <c r="AQ778" s="35"/>
      <c r="AR778" s="35"/>
      <c r="AS778" s="35"/>
      <c r="AT778" s="35"/>
      <c r="AU778" s="14"/>
      <c r="AV778" s="14"/>
      <c r="AW778" s="14"/>
      <c r="AX778" s="14"/>
      <c r="AY778" s="14"/>
      <c r="AZ778" s="14"/>
      <c r="BA778" s="29"/>
      <c r="BB778" s="14"/>
      <c r="BC778" s="14"/>
      <c r="BD778" s="14"/>
      <c r="BE778" s="29"/>
      <c r="BF778" s="29"/>
      <c r="BG778" s="14"/>
      <c r="BH778" s="14"/>
      <c r="BI778" s="14"/>
      <c r="BJ778" s="29"/>
      <c r="BK778" s="14"/>
      <c r="BL778" s="14"/>
      <c r="BM778" s="14"/>
      <c r="BN778" s="14" t="s">
        <v>2231</v>
      </c>
      <c r="BO778" s="14"/>
      <c r="BP778" s="14"/>
      <c r="BQ778" s="14">
        <v>0.33200000000000002</v>
      </c>
      <c r="BR778" s="14">
        <v>28</v>
      </c>
      <c r="BS778" s="14"/>
      <c r="BT778" s="14"/>
      <c r="BU778" s="14">
        <v>8.4000000000000005E-2</v>
      </c>
      <c r="BV778" s="14"/>
      <c r="BW778" s="14"/>
      <c r="BX778" s="14"/>
      <c r="BY778" s="14"/>
      <c r="BZ778" s="14"/>
      <c r="CA778" s="14"/>
      <c r="CB778" s="14"/>
      <c r="CC778" s="14">
        <v>-0.10199999999999999</v>
      </c>
      <c r="CD778" s="14">
        <v>28</v>
      </c>
      <c r="CE778" s="14"/>
      <c r="CF778" s="14"/>
      <c r="CG778" s="14">
        <v>0.60499999999999998</v>
      </c>
      <c r="CH778" s="14"/>
      <c r="CI778" s="14"/>
      <c r="CJ778" s="14"/>
      <c r="CK778" s="14"/>
      <c r="CL778" s="14"/>
      <c r="CM778" s="14"/>
      <c r="CN778" s="14"/>
      <c r="CO778" s="14"/>
      <c r="CP778" s="14"/>
      <c r="CQ778" s="14"/>
      <c r="CR778" s="14"/>
      <c r="CS778" s="14"/>
      <c r="CT778" s="14"/>
      <c r="CU778" s="14"/>
      <c r="CV778" s="14"/>
      <c r="CW778" s="13" t="s">
        <v>538</v>
      </c>
      <c r="CX778" s="13" t="s">
        <v>539</v>
      </c>
      <c r="CY778" s="13">
        <v>2024</v>
      </c>
      <c r="CZ778" s="13" t="s">
        <v>53</v>
      </c>
      <c r="DA778" s="13" t="s">
        <v>13</v>
      </c>
      <c r="DB778" s="13">
        <v>271</v>
      </c>
      <c r="DC778" s="13">
        <v>7</v>
      </c>
      <c r="DD778" s="13" t="s">
        <v>540</v>
      </c>
      <c r="DE778" s="13" t="s">
        <v>541</v>
      </c>
    </row>
    <row r="779" spans="1:109" s="13" customFormat="1" ht="20">
      <c r="A779" s="14" t="s">
        <v>1934</v>
      </c>
      <c r="B779" s="14"/>
      <c r="C779" s="14" t="s">
        <v>2993</v>
      </c>
      <c r="D779" s="14" t="s">
        <v>827</v>
      </c>
      <c r="E779" s="14" t="s">
        <v>672</v>
      </c>
      <c r="F779" s="14" t="s">
        <v>2382</v>
      </c>
      <c r="G779" s="14"/>
      <c r="H779" s="14" t="s">
        <v>584</v>
      </c>
      <c r="I779" s="14" t="s">
        <v>2949</v>
      </c>
      <c r="J779" s="14" t="s">
        <v>585</v>
      </c>
      <c r="K779" s="14" t="s">
        <v>2992</v>
      </c>
      <c r="L779" s="14" t="s">
        <v>639</v>
      </c>
      <c r="M779" s="14">
        <v>47</v>
      </c>
      <c r="N779" s="14"/>
      <c r="O779" s="34"/>
      <c r="P779" s="14"/>
      <c r="Q779" s="14">
        <v>56.9</v>
      </c>
      <c r="R779" s="14"/>
      <c r="S779" s="14">
        <v>56</v>
      </c>
      <c r="T779" s="14"/>
      <c r="U779" s="14"/>
      <c r="V779" s="14">
        <v>33</v>
      </c>
      <c r="W779" s="14">
        <f t="shared" si="72"/>
        <v>0.7021276595744681</v>
      </c>
      <c r="X779" s="14"/>
      <c r="Y779" s="14"/>
      <c r="Z779" s="14"/>
      <c r="AA779" s="14"/>
      <c r="AB779" s="14"/>
      <c r="AC779" s="14"/>
      <c r="AD779" s="34"/>
      <c r="AE779" s="35">
        <v>18</v>
      </c>
      <c r="AF779" s="35"/>
      <c r="AG779" s="35">
        <v>16</v>
      </c>
      <c r="AH779" s="35"/>
      <c r="AI779" s="35"/>
      <c r="AJ779" s="35"/>
      <c r="AK779" s="35"/>
      <c r="AL779" s="35"/>
      <c r="AM779" s="35"/>
      <c r="AN779" s="35"/>
      <c r="AO779" s="35"/>
      <c r="AP779" s="35"/>
      <c r="AQ779" s="35"/>
      <c r="AR779" s="35"/>
      <c r="AS779" s="35"/>
      <c r="AT779" s="35"/>
      <c r="AU779" s="14"/>
      <c r="AV779" s="14"/>
      <c r="AW779" s="14"/>
      <c r="AX779" s="14"/>
      <c r="AY779" s="14"/>
      <c r="AZ779" s="14"/>
      <c r="BA779" s="29"/>
      <c r="BB779" s="14"/>
      <c r="BC779" s="14"/>
      <c r="BD779" s="14"/>
      <c r="BE779" s="29"/>
      <c r="BF779" s="29"/>
      <c r="BG779" s="14"/>
      <c r="BH779" s="14"/>
      <c r="BI779" s="14"/>
      <c r="BJ779" s="29"/>
      <c r="BK779" s="14"/>
      <c r="BL779" s="14"/>
      <c r="BM779" s="14"/>
      <c r="BN779" s="14" t="s">
        <v>2231</v>
      </c>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c r="CM779" s="14"/>
      <c r="CN779" s="14"/>
      <c r="CO779" s="14"/>
      <c r="CP779" s="14"/>
      <c r="CQ779" s="14"/>
      <c r="CR779" s="14"/>
      <c r="CS779" s="14"/>
      <c r="CT779" s="14"/>
      <c r="CU779" s="14"/>
      <c r="CV779" s="14" t="s">
        <v>2995</v>
      </c>
      <c r="CW779" s="14" t="s">
        <v>1598</v>
      </c>
      <c r="CX779" s="14" t="s">
        <v>1599</v>
      </c>
      <c r="CY779" s="14">
        <v>2019</v>
      </c>
      <c r="CZ779" s="36" t="s">
        <v>44</v>
      </c>
      <c r="DA779" s="14" t="s">
        <v>1171</v>
      </c>
      <c r="DB779" s="14">
        <v>6</v>
      </c>
      <c r="DC779" s="14">
        <v>6</v>
      </c>
      <c r="DD779" s="14"/>
      <c r="DE779" s="14" t="s">
        <v>1600</v>
      </c>
    </row>
    <row r="780" spans="1:109" s="13" customFormat="1" ht="20">
      <c r="A780" s="14" t="s">
        <v>1934</v>
      </c>
      <c r="B780" s="14"/>
      <c r="C780" s="14" t="s">
        <v>2994</v>
      </c>
      <c r="D780" s="14" t="s">
        <v>827</v>
      </c>
      <c r="E780" s="14" t="s">
        <v>672</v>
      </c>
      <c r="F780" s="14" t="s">
        <v>2382</v>
      </c>
      <c r="G780" s="14"/>
      <c r="H780" s="14" t="s">
        <v>584</v>
      </c>
      <c r="I780" s="14" t="s">
        <v>2991</v>
      </c>
      <c r="J780" s="14" t="s">
        <v>585</v>
      </c>
      <c r="K780" s="14" t="s">
        <v>2992</v>
      </c>
      <c r="L780" s="14" t="s">
        <v>639</v>
      </c>
      <c r="M780" s="14">
        <v>35</v>
      </c>
      <c r="N780" s="14"/>
      <c r="O780" s="34"/>
      <c r="P780" s="14"/>
      <c r="Q780" s="14">
        <v>65.3</v>
      </c>
      <c r="R780" s="14"/>
      <c r="S780" s="14">
        <v>64.5</v>
      </c>
      <c r="T780" s="14"/>
      <c r="U780" s="14"/>
      <c r="V780" s="14">
        <v>19</v>
      </c>
      <c r="W780" s="14">
        <f t="shared" si="72"/>
        <v>0.54285714285714282</v>
      </c>
      <c r="X780" s="14"/>
      <c r="Y780" s="14"/>
      <c r="Z780" s="14"/>
      <c r="AA780" s="14"/>
      <c r="AB780" s="14"/>
      <c r="AC780" s="14"/>
      <c r="AD780" s="34"/>
      <c r="AE780" s="35">
        <v>8.1999999999999993</v>
      </c>
      <c r="AF780" s="35"/>
      <c r="AG780" s="35">
        <v>9.4</v>
      </c>
      <c r="AH780" s="35"/>
      <c r="AI780" s="35"/>
      <c r="AJ780" s="35"/>
      <c r="AK780" s="35"/>
      <c r="AL780" s="35"/>
      <c r="AM780" s="35"/>
      <c r="AN780" s="35"/>
      <c r="AO780" s="35"/>
      <c r="AP780" s="35"/>
      <c r="AQ780" s="35"/>
      <c r="AR780" s="35"/>
      <c r="AS780" s="35"/>
      <c r="AT780" s="35"/>
      <c r="AU780" s="14"/>
      <c r="AV780" s="14"/>
      <c r="AW780" s="14"/>
      <c r="AX780" s="14"/>
      <c r="AY780" s="14"/>
      <c r="AZ780" s="14"/>
      <c r="BA780" s="29"/>
      <c r="BB780" s="14"/>
      <c r="BC780" s="14"/>
      <c r="BD780" s="14"/>
      <c r="BE780" s="29"/>
      <c r="BF780" s="29"/>
      <c r="BG780" s="14"/>
      <c r="BH780" s="14"/>
      <c r="BI780" s="14"/>
      <c r="BJ780" s="29"/>
      <c r="BK780" s="14"/>
      <c r="BL780" s="14"/>
      <c r="BM780" s="14"/>
      <c r="BN780" s="14" t="s">
        <v>2231</v>
      </c>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c r="CM780" s="14"/>
      <c r="CN780" s="14"/>
      <c r="CO780" s="14"/>
      <c r="CP780" s="14"/>
      <c r="CQ780" s="14"/>
      <c r="CR780" s="14"/>
      <c r="CS780" s="14"/>
      <c r="CT780" s="14"/>
      <c r="CU780" s="14"/>
      <c r="CV780" s="14" t="s">
        <v>2995</v>
      </c>
      <c r="CW780" s="14" t="s">
        <v>1598</v>
      </c>
      <c r="CX780" s="14" t="s">
        <v>1599</v>
      </c>
      <c r="CY780" s="14">
        <v>2019</v>
      </c>
      <c r="CZ780" s="36" t="s">
        <v>44</v>
      </c>
      <c r="DA780" s="14" t="s">
        <v>1171</v>
      </c>
      <c r="DB780" s="14">
        <v>6</v>
      </c>
      <c r="DC780" s="14">
        <v>6</v>
      </c>
      <c r="DD780" s="14"/>
      <c r="DE780" s="14" t="s">
        <v>1600</v>
      </c>
    </row>
    <row r="781" spans="1:109" s="13" customFormat="1" ht="20">
      <c r="A781" s="14" t="s">
        <v>1933</v>
      </c>
      <c r="B781" s="14"/>
      <c r="C781" s="14" t="s">
        <v>1597</v>
      </c>
      <c r="D781" s="14" t="s">
        <v>827</v>
      </c>
      <c r="E781" s="14" t="s">
        <v>673</v>
      </c>
      <c r="F781" s="14" t="s">
        <v>2382</v>
      </c>
      <c r="G781" s="14"/>
      <c r="H781" s="14" t="s">
        <v>584</v>
      </c>
      <c r="I781" s="14" t="s">
        <v>2991</v>
      </c>
      <c r="J781" s="14" t="s">
        <v>585</v>
      </c>
      <c r="K781" s="14" t="s">
        <v>2990</v>
      </c>
      <c r="L781" s="14" t="s">
        <v>639</v>
      </c>
      <c r="M781" s="14">
        <v>97</v>
      </c>
      <c r="N781" s="14"/>
      <c r="O781" s="34"/>
      <c r="P781" s="14"/>
      <c r="Q781" s="14">
        <v>61.5</v>
      </c>
      <c r="R781" s="14">
        <v>12.1</v>
      </c>
      <c r="S781" s="14">
        <v>63.1</v>
      </c>
      <c r="T781" s="14"/>
      <c r="U781" s="14"/>
      <c r="V781" s="14">
        <v>64</v>
      </c>
      <c r="W781" s="14">
        <f t="shared" si="72"/>
        <v>0.65979381443298968</v>
      </c>
      <c r="X781" s="14">
        <v>37</v>
      </c>
      <c r="Y781" s="14">
        <v>6.1</v>
      </c>
      <c r="Z781" s="14">
        <v>38</v>
      </c>
      <c r="AA781" s="14"/>
      <c r="AB781" s="14"/>
      <c r="AC781" s="14">
        <v>69</v>
      </c>
      <c r="AD781" s="34">
        <f>AC781/M781</f>
        <v>0.71134020618556704</v>
      </c>
      <c r="AE781" s="35">
        <v>17.399999999999999</v>
      </c>
      <c r="AF781" s="35">
        <v>16.100000000000001</v>
      </c>
      <c r="AG781" s="35">
        <v>12.7</v>
      </c>
      <c r="AH781" s="35"/>
      <c r="AI781" s="35"/>
      <c r="AJ781" s="35"/>
      <c r="AK781" s="35"/>
      <c r="AL781" s="35"/>
      <c r="AM781" s="35"/>
      <c r="AN781" s="35"/>
      <c r="AO781" s="35"/>
      <c r="AP781" s="35"/>
      <c r="AQ781" s="35"/>
      <c r="AR781" s="35"/>
      <c r="AS781" s="35"/>
      <c r="AT781" s="35"/>
      <c r="AU781" s="14"/>
      <c r="AV781" s="14"/>
      <c r="AW781" s="14"/>
      <c r="AX781" s="14"/>
      <c r="AY781" s="14"/>
      <c r="AZ781" s="14"/>
      <c r="BA781" s="29"/>
      <c r="BB781" s="14"/>
      <c r="BC781" s="14"/>
      <c r="BD781" s="14"/>
      <c r="BE781" s="29"/>
      <c r="BF781" s="29"/>
      <c r="BG781" s="14"/>
      <c r="BH781" s="14"/>
      <c r="BI781" s="14"/>
      <c r="BJ781" s="29"/>
      <c r="BK781" s="14"/>
      <c r="BL781" s="14"/>
      <c r="BM781" s="14"/>
      <c r="BN781" s="14" t="s">
        <v>2231</v>
      </c>
      <c r="BO781" s="14" t="s">
        <v>2490</v>
      </c>
      <c r="BP781" s="14"/>
      <c r="BQ781" s="14"/>
      <c r="BR781" s="14"/>
      <c r="BS781" s="14"/>
      <c r="BT781" s="14"/>
      <c r="BU781" s="14"/>
      <c r="BV781" s="14"/>
      <c r="BW781" s="14"/>
      <c r="BX781" s="14"/>
      <c r="BY781" s="14"/>
      <c r="BZ781" s="14"/>
      <c r="CA781" s="14"/>
      <c r="CB781" s="14"/>
      <c r="CC781" s="14">
        <v>-0.29680000000000001</v>
      </c>
      <c r="CD781" s="14"/>
      <c r="CE781" s="14"/>
      <c r="CF781" s="14"/>
      <c r="CG781" s="14" t="s">
        <v>701</v>
      </c>
      <c r="CH781" s="14"/>
      <c r="CI781" s="14"/>
      <c r="CJ781" s="14"/>
      <c r="CK781" s="14"/>
      <c r="CL781" s="14"/>
      <c r="CM781" s="14"/>
      <c r="CN781" s="14"/>
      <c r="CO781" s="14"/>
      <c r="CP781" s="14"/>
      <c r="CQ781" s="14"/>
      <c r="CR781" s="14"/>
      <c r="CS781" s="14"/>
      <c r="CT781" s="14"/>
      <c r="CU781" s="14"/>
      <c r="CV781" s="14"/>
      <c r="CW781" s="14" t="s">
        <v>1593</v>
      </c>
      <c r="CX781" s="14" t="s">
        <v>1594</v>
      </c>
      <c r="CY781" s="14">
        <v>2021</v>
      </c>
      <c r="CZ781" s="36" t="s">
        <v>330</v>
      </c>
      <c r="DA781" s="14" t="s">
        <v>64</v>
      </c>
      <c r="DB781" s="14">
        <v>22</v>
      </c>
      <c r="DC781" s="14">
        <v>45355</v>
      </c>
      <c r="DD781" s="14" t="s">
        <v>1595</v>
      </c>
      <c r="DE781" s="14" t="s">
        <v>1596</v>
      </c>
    </row>
    <row r="782" spans="1:109" s="13" customFormat="1" ht="20">
      <c r="A782" s="14" t="s">
        <v>1935</v>
      </c>
      <c r="B782" s="14"/>
      <c r="C782" s="14" t="s">
        <v>1605</v>
      </c>
      <c r="D782" s="14" t="s">
        <v>827</v>
      </c>
      <c r="E782" s="14" t="s">
        <v>672</v>
      </c>
      <c r="F782" s="14" t="s">
        <v>2997</v>
      </c>
      <c r="G782" s="14"/>
      <c r="H782" s="14" t="s">
        <v>712</v>
      </c>
      <c r="I782" s="14" t="s">
        <v>2998</v>
      </c>
      <c r="J782" s="14" t="s">
        <v>3003</v>
      </c>
      <c r="K782" s="14" t="s">
        <v>2999</v>
      </c>
      <c r="L782" s="14" t="s">
        <v>3000</v>
      </c>
      <c r="M782" s="14">
        <v>31</v>
      </c>
      <c r="N782" s="14"/>
      <c r="O782" s="34"/>
      <c r="P782" s="14"/>
      <c r="Q782" s="14">
        <v>55.13</v>
      </c>
      <c r="R782" s="14">
        <v>14.07</v>
      </c>
      <c r="S782" s="14"/>
      <c r="T782" s="14"/>
      <c r="U782" s="14"/>
      <c r="V782" s="14">
        <v>20</v>
      </c>
      <c r="W782" s="14">
        <f t="shared" si="72"/>
        <v>0.64516129032258063</v>
      </c>
      <c r="X782" s="14">
        <v>38.270000000000003</v>
      </c>
      <c r="Y782" s="14">
        <v>3.4</v>
      </c>
      <c r="Z782" s="14"/>
      <c r="AA782" s="14"/>
      <c r="AB782" s="14"/>
      <c r="AC782" s="14"/>
      <c r="AD782" s="34"/>
      <c r="AE782" s="35">
        <f>1.55*12</f>
        <v>18.600000000000001</v>
      </c>
      <c r="AF782" s="35">
        <f>1.32*12</f>
        <v>15.84</v>
      </c>
      <c r="AG782" s="35"/>
      <c r="AH782" s="35"/>
      <c r="AI782" s="35"/>
      <c r="AJ782" s="35"/>
      <c r="AK782" s="35"/>
      <c r="AL782" s="35"/>
      <c r="AM782" s="35"/>
      <c r="AN782" s="35"/>
      <c r="AO782" s="35"/>
      <c r="AP782" s="35"/>
      <c r="AQ782" s="35"/>
      <c r="AR782" s="35"/>
      <c r="AS782" s="35"/>
      <c r="AT782" s="35"/>
      <c r="AU782" s="14"/>
      <c r="AV782" s="14"/>
      <c r="AW782" s="14"/>
      <c r="AX782" s="14"/>
      <c r="AY782" s="14"/>
      <c r="AZ782" s="14"/>
      <c r="BA782" s="29"/>
      <c r="BB782" s="14"/>
      <c r="BC782" s="14"/>
      <c r="BD782" s="14"/>
      <c r="BE782" s="29"/>
      <c r="BF782" s="29"/>
      <c r="BG782" s="14"/>
      <c r="BH782" s="14"/>
      <c r="BI782" s="14"/>
      <c r="BJ782" s="29"/>
      <c r="BK782" s="14"/>
      <c r="BL782" s="14"/>
      <c r="BM782" s="14"/>
      <c r="BN782" s="14" t="s">
        <v>2231</v>
      </c>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t="s">
        <v>1601</v>
      </c>
      <c r="CX782" s="14" t="s">
        <v>1602</v>
      </c>
      <c r="CY782" s="14">
        <v>2020</v>
      </c>
      <c r="CZ782" s="36" t="s">
        <v>53</v>
      </c>
      <c r="DA782" s="14" t="s">
        <v>545</v>
      </c>
      <c r="DB782" s="14">
        <v>41</v>
      </c>
      <c r="DC782" s="14">
        <v>7</v>
      </c>
      <c r="DD782" s="14" t="s">
        <v>1603</v>
      </c>
      <c r="DE782" s="14" t="s">
        <v>1604</v>
      </c>
    </row>
    <row r="783" spans="1:109" s="13" customFormat="1" ht="20">
      <c r="A783" s="14" t="s">
        <v>2127</v>
      </c>
      <c r="B783" s="14"/>
      <c r="C783" s="14" t="s">
        <v>2113</v>
      </c>
      <c r="D783" s="14" t="s">
        <v>830</v>
      </c>
      <c r="E783" s="14"/>
      <c r="F783" s="14"/>
      <c r="G783" s="14"/>
      <c r="H783" s="14"/>
      <c r="I783" s="14" t="s">
        <v>3004</v>
      </c>
      <c r="J783" s="14" t="s">
        <v>576</v>
      </c>
      <c r="K783" s="14"/>
      <c r="L783" s="14"/>
      <c r="M783" s="14"/>
      <c r="N783" s="14"/>
      <c r="O783" s="34"/>
      <c r="P783" s="14"/>
      <c r="Q783" s="14"/>
      <c r="R783" s="14"/>
      <c r="S783" s="14"/>
      <c r="T783" s="14"/>
      <c r="U783" s="14"/>
      <c r="V783" s="14"/>
      <c r="W783" s="14"/>
      <c r="X783" s="14"/>
      <c r="Y783" s="14"/>
      <c r="Z783" s="14"/>
      <c r="AA783" s="14"/>
      <c r="AB783" s="14"/>
      <c r="AC783" s="14"/>
      <c r="AD783" s="34"/>
      <c r="AE783" s="35"/>
      <c r="AF783" s="35"/>
      <c r="AG783" s="35"/>
      <c r="AH783" s="35"/>
      <c r="AI783" s="35"/>
      <c r="AJ783" s="35"/>
      <c r="AK783" s="35"/>
      <c r="AL783" s="35"/>
      <c r="AM783" s="35"/>
      <c r="AN783" s="35"/>
      <c r="AO783" s="35"/>
      <c r="AP783" s="35"/>
      <c r="AQ783" s="35"/>
      <c r="AR783" s="35"/>
      <c r="AS783" s="35"/>
      <c r="AT783" s="35"/>
      <c r="AU783" s="14"/>
      <c r="AV783" s="14"/>
      <c r="AW783" s="14"/>
      <c r="AX783" s="14"/>
      <c r="AY783" s="14"/>
      <c r="AZ783" s="14"/>
      <c r="BA783" s="29"/>
      <c r="BB783" s="14"/>
      <c r="BC783" s="14"/>
      <c r="BD783" s="14"/>
      <c r="BE783" s="29"/>
      <c r="BF783" s="29"/>
      <c r="BG783" s="14"/>
      <c r="BH783" s="14"/>
      <c r="BI783" s="14"/>
      <c r="BJ783" s="29"/>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t="s">
        <v>2110</v>
      </c>
      <c r="CX783" s="14" t="s">
        <v>2111</v>
      </c>
      <c r="CY783" s="14">
        <v>2021</v>
      </c>
      <c r="CZ783" s="36" t="s">
        <v>188</v>
      </c>
      <c r="DA783" s="14" t="s">
        <v>1145</v>
      </c>
      <c r="DB783" s="14">
        <v>15</v>
      </c>
      <c r="DC783" s="14"/>
      <c r="DD783" s="14"/>
      <c r="DE783" s="14" t="s">
        <v>2112</v>
      </c>
    </row>
    <row r="784" spans="1:109" s="13" customFormat="1" ht="20">
      <c r="A784" s="14" t="s">
        <v>1938</v>
      </c>
      <c r="B784" s="14"/>
      <c r="C784" s="14" t="s">
        <v>1618</v>
      </c>
      <c r="D784" s="14"/>
      <c r="E784" s="14" t="s">
        <v>673</v>
      </c>
      <c r="F784" s="14" t="s">
        <v>2377</v>
      </c>
      <c r="G784" s="14"/>
      <c r="H784" s="14" t="s">
        <v>712</v>
      </c>
      <c r="I784" s="14" t="s">
        <v>3014</v>
      </c>
      <c r="J784" s="14" t="s">
        <v>4116</v>
      </c>
      <c r="K784" s="14"/>
      <c r="L784" s="14" t="s">
        <v>2376</v>
      </c>
      <c r="M784" s="14">
        <v>329</v>
      </c>
      <c r="N784" s="14">
        <v>16</v>
      </c>
      <c r="O784" s="34"/>
      <c r="P784" s="14"/>
      <c r="Q784" s="14">
        <v>55.7</v>
      </c>
      <c r="R784" s="14">
        <v>11.2</v>
      </c>
      <c r="S784" s="14"/>
      <c r="T784" s="14"/>
      <c r="U784" s="14"/>
      <c r="V784" s="14">
        <v>207</v>
      </c>
      <c r="W784" s="14">
        <f>V784/M784</f>
        <v>0.62917933130699089</v>
      </c>
      <c r="X784" s="14"/>
      <c r="Y784" s="14"/>
      <c r="Z784" s="14">
        <v>41</v>
      </c>
      <c r="AA784" s="14">
        <v>38</v>
      </c>
      <c r="AB784" s="14">
        <v>44</v>
      </c>
      <c r="AC784" s="14">
        <f>165+93</f>
        <v>258</v>
      </c>
      <c r="AD784" s="34">
        <f>AC784/M784</f>
        <v>0.78419452887537999</v>
      </c>
      <c r="AE784" s="35"/>
      <c r="AF784" s="35"/>
      <c r="AG784" s="35">
        <v>11</v>
      </c>
      <c r="AH784" s="35">
        <v>6</v>
      </c>
      <c r="AI784" s="35">
        <v>16</v>
      </c>
      <c r="AJ784" s="35"/>
      <c r="AK784" s="35"/>
      <c r="AL784" s="35"/>
      <c r="AM784" s="35"/>
      <c r="AN784" s="35"/>
      <c r="AO784" s="35"/>
      <c r="AP784" s="35"/>
      <c r="AQ784" s="35">
        <v>35</v>
      </c>
      <c r="AR784" s="35"/>
      <c r="AS784" s="35"/>
      <c r="AT784" s="35"/>
      <c r="AU784" s="14" t="s">
        <v>2449</v>
      </c>
      <c r="AV784" s="14"/>
      <c r="AW784" s="14"/>
      <c r="AX784" s="14"/>
      <c r="AY784" s="14"/>
      <c r="AZ784" s="14"/>
      <c r="BA784" s="29"/>
      <c r="BB784" s="14"/>
      <c r="BC784" s="14"/>
      <c r="BD784" s="14"/>
      <c r="BE784" s="29" t="s">
        <v>3015</v>
      </c>
      <c r="BF784" s="29"/>
      <c r="BG784" s="14"/>
      <c r="BH784" s="14"/>
      <c r="BI784" s="14"/>
      <c r="BJ784" s="29" t="s">
        <v>3017</v>
      </c>
      <c r="BK784" s="14">
        <v>1.9359999999999999</v>
      </c>
      <c r="BL784" s="14">
        <v>1.3340000000000001</v>
      </c>
      <c r="BM784" s="14">
        <v>2.81</v>
      </c>
      <c r="BN784" s="14" t="s">
        <v>2231</v>
      </c>
      <c r="BO784" s="14" t="s">
        <v>2490</v>
      </c>
      <c r="BP784" s="14"/>
      <c r="BQ784" s="14">
        <v>-0.1215</v>
      </c>
      <c r="BR784" s="14"/>
      <c r="BS784" s="14"/>
      <c r="BT784" s="14"/>
      <c r="BU784" s="14">
        <v>2.76E-2</v>
      </c>
      <c r="BV784" s="14"/>
      <c r="BW784" s="14"/>
      <c r="BX784" s="14"/>
      <c r="BY784" s="14"/>
      <c r="BZ784" s="14"/>
      <c r="CA784" s="14"/>
      <c r="CB784" s="14"/>
      <c r="CC784" s="14">
        <v>2.6689999999999998E-2</v>
      </c>
      <c r="CD784" s="14"/>
      <c r="CE784" s="14"/>
      <c r="CF784" s="14"/>
      <c r="CG784" s="14">
        <v>0.62949999999999995</v>
      </c>
      <c r="CH784" s="14"/>
      <c r="CI784" s="14"/>
      <c r="CJ784" s="14"/>
      <c r="CK784" s="14"/>
      <c r="CL784" s="14"/>
      <c r="CM784" s="14"/>
      <c r="CN784" s="14"/>
      <c r="CO784" s="14"/>
      <c r="CP784" s="14"/>
      <c r="CQ784" s="14"/>
      <c r="CR784" s="14"/>
      <c r="CS784" s="14"/>
      <c r="CT784" s="14"/>
      <c r="CU784" s="14"/>
      <c r="CV784" s="14" t="s">
        <v>3016</v>
      </c>
      <c r="CW784" s="14" t="s">
        <v>1615</v>
      </c>
      <c r="CX784" s="14" t="s">
        <v>1616</v>
      </c>
      <c r="CY784" s="14">
        <v>2021</v>
      </c>
      <c r="CZ784" s="36"/>
      <c r="DA784" s="14" t="s">
        <v>416</v>
      </c>
      <c r="DB784" s="14">
        <v>12</v>
      </c>
      <c r="DC784" s="14"/>
      <c r="DD784" s="14" t="s">
        <v>2148</v>
      </c>
      <c r="DE784" s="14" t="s">
        <v>1617</v>
      </c>
    </row>
    <row r="785" spans="1:109" s="13" customFormat="1" ht="20">
      <c r="A785" s="14" t="s">
        <v>1936</v>
      </c>
      <c r="B785" s="14"/>
      <c r="C785" s="14" t="s">
        <v>1610</v>
      </c>
      <c r="D785" s="14" t="s">
        <v>4179</v>
      </c>
      <c r="E785" s="29" t="s">
        <v>672</v>
      </c>
      <c r="F785" s="29" t="s">
        <v>680</v>
      </c>
      <c r="G785" s="14"/>
      <c r="H785" s="14"/>
      <c r="I785" s="14"/>
      <c r="J785" s="14"/>
      <c r="K785" s="14"/>
      <c r="L785" s="14"/>
      <c r="M785" s="14"/>
      <c r="N785" s="14"/>
      <c r="O785" s="34"/>
      <c r="P785" s="14"/>
      <c r="Q785" s="14"/>
      <c r="R785" s="14"/>
      <c r="S785" s="14"/>
      <c r="T785" s="14"/>
      <c r="U785" s="14"/>
      <c r="V785" s="14"/>
      <c r="W785" s="14"/>
      <c r="X785" s="14"/>
      <c r="Y785" s="14"/>
      <c r="Z785" s="14"/>
      <c r="AA785" s="14"/>
      <c r="AB785" s="14"/>
      <c r="AC785" s="14"/>
      <c r="AD785" s="34"/>
      <c r="AE785" s="35"/>
      <c r="AF785" s="35"/>
      <c r="AG785" s="35"/>
      <c r="AH785" s="35"/>
      <c r="AI785" s="35"/>
      <c r="AJ785" s="35"/>
      <c r="AK785" s="35"/>
      <c r="AL785" s="35"/>
      <c r="AM785" s="35"/>
      <c r="AN785" s="35"/>
      <c r="AO785" s="35"/>
      <c r="AP785" s="35"/>
      <c r="AQ785" s="35"/>
      <c r="AR785" s="35"/>
      <c r="AS785" s="35"/>
      <c r="AT785" s="35"/>
      <c r="AU785" s="14"/>
      <c r="AV785" s="14"/>
      <c r="AW785" s="14"/>
      <c r="AX785" s="14"/>
      <c r="AY785" s="14"/>
      <c r="AZ785" s="14"/>
      <c r="BA785" s="29"/>
      <c r="BB785" s="14"/>
      <c r="BC785" s="14"/>
      <c r="BD785" s="14"/>
      <c r="BE785" s="29"/>
      <c r="BF785" s="29"/>
      <c r="BG785" s="14"/>
      <c r="BH785" s="14"/>
      <c r="BI785" s="14"/>
      <c r="BJ785" s="29"/>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t="s">
        <v>1606</v>
      </c>
      <c r="CX785" s="14" t="s">
        <v>1607</v>
      </c>
      <c r="CY785" s="14">
        <v>2024</v>
      </c>
      <c r="CZ785" s="36" t="s">
        <v>12</v>
      </c>
      <c r="DA785" s="14" t="s">
        <v>545</v>
      </c>
      <c r="DB785" s="14">
        <v>45</v>
      </c>
      <c r="DC785" s="14">
        <v>6</v>
      </c>
      <c r="DD785" s="14" t="s">
        <v>1608</v>
      </c>
      <c r="DE785" s="14" t="s">
        <v>1609</v>
      </c>
    </row>
    <row r="786" spans="1:109" s="13" customFormat="1" ht="20">
      <c r="A786" s="14" t="s">
        <v>1936</v>
      </c>
      <c r="B786" s="14"/>
      <c r="C786" s="14" t="s">
        <v>1610</v>
      </c>
      <c r="D786" s="14" t="s">
        <v>4179</v>
      </c>
      <c r="E786" s="29" t="s">
        <v>672</v>
      </c>
      <c r="F786" s="29" t="s">
        <v>679</v>
      </c>
      <c r="G786" s="14"/>
      <c r="H786" s="14"/>
      <c r="I786" s="14"/>
      <c r="J786" s="14"/>
      <c r="K786" s="14"/>
      <c r="L786" s="14"/>
      <c r="M786" s="14"/>
      <c r="N786" s="14"/>
      <c r="O786" s="34"/>
      <c r="P786" s="14"/>
      <c r="Q786" s="14"/>
      <c r="R786" s="14"/>
      <c r="S786" s="14"/>
      <c r="T786" s="14"/>
      <c r="U786" s="14"/>
      <c r="V786" s="14"/>
      <c r="W786" s="14"/>
      <c r="X786" s="14"/>
      <c r="Y786" s="14"/>
      <c r="Z786" s="14"/>
      <c r="AA786" s="14"/>
      <c r="AB786" s="14"/>
      <c r="AC786" s="14"/>
      <c r="AD786" s="34"/>
      <c r="AE786" s="35"/>
      <c r="AF786" s="35"/>
      <c r="AG786" s="35"/>
      <c r="AH786" s="35"/>
      <c r="AI786" s="35"/>
      <c r="AJ786" s="35"/>
      <c r="AK786" s="35"/>
      <c r="AL786" s="35"/>
      <c r="AM786" s="35"/>
      <c r="AN786" s="35"/>
      <c r="AO786" s="35"/>
      <c r="AP786" s="35"/>
      <c r="AQ786" s="35"/>
      <c r="AR786" s="35"/>
      <c r="AS786" s="35"/>
      <c r="AT786" s="35"/>
      <c r="AU786" s="14"/>
      <c r="AV786" s="14"/>
      <c r="AW786" s="14"/>
      <c r="AX786" s="14"/>
      <c r="AY786" s="14"/>
      <c r="AZ786" s="14"/>
      <c r="BA786" s="29"/>
      <c r="BB786" s="14"/>
      <c r="BC786" s="14"/>
      <c r="BD786" s="14"/>
      <c r="BE786" s="29"/>
      <c r="BF786" s="29"/>
      <c r="BG786" s="14"/>
      <c r="BH786" s="14"/>
      <c r="BI786" s="14"/>
      <c r="BJ786" s="29"/>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t="s">
        <v>1606</v>
      </c>
      <c r="CX786" s="14" t="s">
        <v>1607</v>
      </c>
      <c r="CY786" s="14">
        <v>2024</v>
      </c>
      <c r="CZ786" s="36" t="s">
        <v>12</v>
      </c>
      <c r="DA786" s="14" t="s">
        <v>545</v>
      </c>
      <c r="DB786" s="14">
        <v>45</v>
      </c>
      <c r="DC786" s="14">
        <v>6</v>
      </c>
      <c r="DD786" s="14" t="s">
        <v>1608</v>
      </c>
      <c r="DE786" s="14" t="s">
        <v>1609</v>
      </c>
    </row>
    <row r="787" spans="1:109" s="13" customFormat="1" ht="20">
      <c r="A787" s="14" t="s">
        <v>1937</v>
      </c>
      <c r="B787" s="14"/>
      <c r="C787" s="14" t="s">
        <v>3012</v>
      </c>
      <c r="D787" s="14" t="s">
        <v>827</v>
      </c>
      <c r="E787" s="14" t="s">
        <v>673</v>
      </c>
      <c r="F787" s="14" t="s">
        <v>3005</v>
      </c>
      <c r="G787" s="14"/>
      <c r="H787" s="14" t="s">
        <v>712</v>
      </c>
      <c r="I787" s="14" t="s">
        <v>3006</v>
      </c>
      <c r="J787" s="14" t="s">
        <v>3007</v>
      </c>
      <c r="K787" s="14"/>
      <c r="L787" s="14" t="s">
        <v>639</v>
      </c>
      <c r="M787" s="14">
        <v>25</v>
      </c>
      <c r="N787" s="14">
        <v>0</v>
      </c>
      <c r="O787" s="34"/>
      <c r="P787" s="14"/>
      <c r="Q787" s="14"/>
      <c r="R787" s="14"/>
      <c r="S787" s="14">
        <v>55</v>
      </c>
      <c r="T787" s="14">
        <v>39</v>
      </c>
      <c r="U787" s="14">
        <v>54.75</v>
      </c>
      <c r="V787" s="14">
        <v>14</v>
      </c>
      <c r="W787" s="14">
        <f t="shared" ref="W787:W808" si="75">V787/M787</f>
        <v>0.56000000000000005</v>
      </c>
      <c r="X787" s="14"/>
      <c r="Y787" s="14"/>
      <c r="Z787" s="14">
        <v>41</v>
      </c>
      <c r="AA787" s="14">
        <v>35</v>
      </c>
      <c r="AB787" s="14">
        <v>40</v>
      </c>
      <c r="AC787" s="14">
        <v>21</v>
      </c>
      <c r="AD787" s="34">
        <f t="shared" ref="AD787:AD803" si="76">AC787/M787</f>
        <v>0.84</v>
      </c>
      <c r="AE787" s="35"/>
      <c r="AF787" s="35"/>
      <c r="AG787" s="35">
        <v>16</v>
      </c>
      <c r="AH787" s="35">
        <v>10</v>
      </c>
      <c r="AI787" s="35">
        <v>20</v>
      </c>
      <c r="AJ787" s="35"/>
      <c r="AK787" s="35"/>
      <c r="AL787" s="35"/>
      <c r="AM787" s="35"/>
      <c r="AN787" s="35"/>
      <c r="AO787" s="35"/>
      <c r="AP787" s="35"/>
      <c r="AQ787" s="35"/>
      <c r="AR787" s="35"/>
      <c r="AS787" s="35"/>
      <c r="AT787" s="35"/>
      <c r="AU787" s="14"/>
      <c r="AV787" s="14"/>
      <c r="AW787" s="14"/>
      <c r="AX787" s="14"/>
      <c r="AY787" s="14"/>
      <c r="AZ787" s="14"/>
      <c r="BA787" s="29"/>
      <c r="BB787" s="14"/>
      <c r="BC787" s="14"/>
      <c r="BD787" s="14"/>
      <c r="BE787" s="29"/>
      <c r="BF787" s="29"/>
      <c r="BG787" s="14"/>
      <c r="BH787" s="14"/>
      <c r="BI787" s="14"/>
      <c r="BJ787" s="29"/>
      <c r="BK787" s="14"/>
      <c r="BL787" s="14"/>
      <c r="BM787" s="14"/>
      <c r="BN787" s="14"/>
      <c r="BO787" s="14"/>
      <c r="BP787" s="14"/>
      <c r="BQ787" s="14"/>
      <c r="BR787" s="14"/>
      <c r="BS787" s="14"/>
      <c r="BT787" s="14"/>
      <c r="BU787" s="14">
        <v>1.2E-2</v>
      </c>
      <c r="BV787" s="14"/>
      <c r="BW787" s="14"/>
      <c r="BX787" s="14"/>
      <c r="BY787" s="14"/>
      <c r="BZ787" s="14"/>
      <c r="CA787" s="1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t="s">
        <v>1611</v>
      </c>
      <c r="CX787" s="14" t="s">
        <v>1612</v>
      </c>
      <c r="CY787" s="14">
        <v>2024</v>
      </c>
      <c r="CZ787" s="36">
        <v>45397</v>
      </c>
      <c r="DA787" s="14" t="s">
        <v>362</v>
      </c>
      <c r="DB787" s="14">
        <v>10</v>
      </c>
      <c r="DC787" s="14">
        <v>7</v>
      </c>
      <c r="DD787" s="14" t="s">
        <v>1613</v>
      </c>
      <c r="DE787" s="14" t="s">
        <v>1614</v>
      </c>
    </row>
    <row r="788" spans="1:109" s="13" customFormat="1" ht="20">
      <c r="A788" s="14" t="s">
        <v>1937</v>
      </c>
      <c r="B788" s="14"/>
      <c r="C788" s="14" t="s">
        <v>3012</v>
      </c>
      <c r="D788" s="14" t="s">
        <v>827</v>
      </c>
      <c r="E788" s="14" t="s">
        <v>673</v>
      </c>
      <c r="F788" s="14" t="s">
        <v>3009</v>
      </c>
      <c r="G788" s="14"/>
      <c r="H788" s="14" t="s">
        <v>712</v>
      </c>
      <c r="I788" s="14" t="s">
        <v>3006</v>
      </c>
      <c r="J788" s="14" t="s">
        <v>3007</v>
      </c>
      <c r="K788" s="14"/>
      <c r="L788" s="14" t="s">
        <v>639</v>
      </c>
      <c r="M788" s="14">
        <v>25</v>
      </c>
      <c r="N788" s="14">
        <v>0</v>
      </c>
      <c r="O788" s="34"/>
      <c r="P788" s="14"/>
      <c r="Q788" s="14"/>
      <c r="R788" s="14"/>
      <c r="S788" s="14">
        <v>55</v>
      </c>
      <c r="T788" s="14">
        <v>39</v>
      </c>
      <c r="U788" s="14">
        <v>54.75</v>
      </c>
      <c r="V788" s="14">
        <v>14</v>
      </c>
      <c r="W788" s="14">
        <f t="shared" si="75"/>
        <v>0.56000000000000005</v>
      </c>
      <c r="X788" s="14"/>
      <c r="Y788" s="14"/>
      <c r="Z788" s="14">
        <v>41</v>
      </c>
      <c r="AA788" s="14">
        <v>35</v>
      </c>
      <c r="AB788" s="14">
        <v>40</v>
      </c>
      <c r="AC788" s="14">
        <v>21</v>
      </c>
      <c r="AD788" s="34">
        <f t="shared" si="76"/>
        <v>0.84</v>
      </c>
      <c r="AE788" s="35"/>
      <c r="AF788" s="35"/>
      <c r="AG788" s="35">
        <v>16</v>
      </c>
      <c r="AH788" s="35">
        <v>10</v>
      </c>
      <c r="AI788" s="35">
        <v>20</v>
      </c>
      <c r="AJ788" s="35"/>
      <c r="AK788" s="35"/>
      <c r="AL788" s="35"/>
      <c r="AM788" s="35"/>
      <c r="AN788" s="35"/>
      <c r="AO788" s="35"/>
      <c r="AP788" s="35"/>
      <c r="AQ788" s="35"/>
      <c r="AR788" s="35"/>
      <c r="AS788" s="35"/>
      <c r="AT788" s="35"/>
      <c r="AU788" s="14"/>
      <c r="AV788" s="14"/>
      <c r="AW788" s="14"/>
      <c r="AX788" s="14"/>
      <c r="AY788" s="14"/>
      <c r="AZ788" s="14"/>
      <c r="BA788" s="29"/>
      <c r="BB788" s="14"/>
      <c r="BC788" s="14"/>
      <c r="BD788" s="14"/>
      <c r="BE788" s="29"/>
      <c r="BF788" s="29"/>
      <c r="BG788" s="14"/>
      <c r="BH788" s="14"/>
      <c r="BI788" s="14"/>
      <c r="BJ788" s="29"/>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t="s">
        <v>1611</v>
      </c>
      <c r="CX788" s="14" t="s">
        <v>1612</v>
      </c>
      <c r="CY788" s="14">
        <v>2024</v>
      </c>
      <c r="CZ788" s="36">
        <v>45397</v>
      </c>
      <c r="DA788" s="14" t="s">
        <v>362</v>
      </c>
      <c r="DB788" s="14">
        <v>10</v>
      </c>
      <c r="DC788" s="14">
        <v>7</v>
      </c>
      <c r="DD788" s="14" t="s">
        <v>1613</v>
      </c>
      <c r="DE788" s="14" t="s">
        <v>1614</v>
      </c>
    </row>
    <row r="789" spans="1:109" s="13" customFormat="1" ht="20">
      <c r="A789" s="14" t="s">
        <v>1937</v>
      </c>
      <c r="B789" s="14"/>
      <c r="C789" s="14" t="s">
        <v>3013</v>
      </c>
      <c r="D789" s="14" t="s">
        <v>827</v>
      </c>
      <c r="E789" s="14" t="s">
        <v>673</v>
      </c>
      <c r="F789" s="14" t="s">
        <v>3005</v>
      </c>
      <c r="G789" s="14"/>
      <c r="H789" s="14" t="s">
        <v>712</v>
      </c>
      <c r="I789" s="14" t="s">
        <v>3006</v>
      </c>
      <c r="J789" s="14" t="s">
        <v>3008</v>
      </c>
      <c r="K789" s="14"/>
      <c r="L789" s="14" t="s">
        <v>639</v>
      </c>
      <c r="M789" s="14">
        <v>25</v>
      </c>
      <c r="N789" s="14">
        <v>0</v>
      </c>
      <c r="O789" s="34"/>
      <c r="P789" s="14"/>
      <c r="Q789" s="14"/>
      <c r="R789" s="14"/>
      <c r="S789" s="14">
        <v>61</v>
      </c>
      <c r="T789" s="14">
        <v>51</v>
      </c>
      <c r="U789" s="14">
        <v>66</v>
      </c>
      <c r="V789" s="14">
        <v>19</v>
      </c>
      <c r="W789" s="14">
        <f t="shared" si="75"/>
        <v>0.76</v>
      </c>
      <c r="X789" s="14"/>
      <c r="Y789" s="14"/>
      <c r="Z789" s="14">
        <v>42</v>
      </c>
      <c r="AA789" s="14">
        <v>39</v>
      </c>
      <c r="AB789" s="14">
        <v>44</v>
      </c>
      <c r="AC789" s="14">
        <v>20</v>
      </c>
      <c r="AD789" s="34">
        <f t="shared" si="76"/>
        <v>0.8</v>
      </c>
      <c r="AE789" s="35"/>
      <c r="AF789" s="35"/>
      <c r="AG789" s="35">
        <v>12</v>
      </c>
      <c r="AH789" s="35">
        <v>9</v>
      </c>
      <c r="AI789" s="35">
        <v>16</v>
      </c>
      <c r="AJ789" s="35"/>
      <c r="AK789" s="35"/>
      <c r="AL789" s="35"/>
      <c r="AM789" s="35"/>
      <c r="AN789" s="35"/>
      <c r="AO789" s="35"/>
      <c r="AP789" s="35"/>
      <c r="AQ789" s="35"/>
      <c r="AR789" s="35"/>
      <c r="AS789" s="35"/>
      <c r="AT789" s="35"/>
      <c r="AU789" s="14"/>
      <c r="AV789" s="14"/>
      <c r="AW789" s="14"/>
      <c r="AX789" s="14"/>
      <c r="AY789" s="14"/>
      <c r="AZ789" s="14"/>
      <c r="BA789" s="29"/>
      <c r="BB789" s="14"/>
      <c r="BC789" s="14"/>
      <c r="BD789" s="14"/>
      <c r="BE789" s="29"/>
      <c r="BF789" s="29"/>
      <c r="BG789" s="14"/>
      <c r="BH789" s="14"/>
      <c r="BI789" s="14"/>
      <c r="BJ789" s="29"/>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t="s">
        <v>1611</v>
      </c>
      <c r="CX789" s="14" t="s">
        <v>1612</v>
      </c>
      <c r="CY789" s="14">
        <v>2024</v>
      </c>
      <c r="CZ789" s="36">
        <v>45397</v>
      </c>
      <c r="DA789" s="14" t="s">
        <v>362</v>
      </c>
      <c r="DB789" s="14">
        <v>10</v>
      </c>
      <c r="DC789" s="14">
        <v>7</v>
      </c>
      <c r="DD789" s="14" t="s">
        <v>1613</v>
      </c>
      <c r="DE789" s="14" t="s">
        <v>1614</v>
      </c>
    </row>
    <row r="790" spans="1:109" s="13" customFormat="1" ht="20">
      <c r="A790" s="14" t="s">
        <v>1937</v>
      </c>
      <c r="B790" s="14"/>
      <c r="C790" s="14" t="s">
        <v>3013</v>
      </c>
      <c r="D790" s="14" t="s">
        <v>827</v>
      </c>
      <c r="E790" s="14" t="s">
        <v>673</v>
      </c>
      <c r="F790" s="14" t="s">
        <v>3009</v>
      </c>
      <c r="G790" s="14"/>
      <c r="H790" s="14" t="s">
        <v>712</v>
      </c>
      <c r="I790" s="14" t="s">
        <v>3006</v>
      </c>
      <c r="J790" s="14" t="s">
        <v>3008</v>
      </c>
      <c r="K790" s="14"/>
      <c r="L790" s="14" t="s">
        <v>639</v>
      </c>
      <c r="M790" s="14">
        <v>25</v>
      </c>
      <c r="N790" s="14">
        <v>0</v>
      </c>
      <c r="O790" s="34"/>
      <c r="P790" s="14"/>
      <c r="Q790" s="14"/>
      <c r="R790" s="14"/>
      <c r="S790" s="14">
        <v>61</v>
      </c>
      <c r="T790" s="14">
        <v>51</v>
      </c>
      <c r="U790" s="14">
        <v>66</v>
      </c>
      <c r="V790" s="14">
        <v>19</v>
      </c>
      <c r="W790" s="14">
        <f t="shared" si="75"/>
        <v>0.76</v>
      </c>
      <c r="X790" s="14"/>
      <c r="Y790" s="14"/>
      <c r="Z790" s="14">
        <v>42</v>
      </c>
      <c r="AA790" s="14">
        <v>39</v>
      </c>
      <c r="AB790" s="14">
        <v>44</v>
      </c>
      <c r="AC790" s="14">
        <v>20</v>
      </c>
      <c r="AD790" s="34">
        <f t="shared" si="76"/>
        <v>0.8</v>
      </c>
      <c r="AE790" s="35"/>
      <c r="AF790" s="35"/>
      <c r="AG790" s="35">
        <v>12</v>
      </c>
      <c r="AH790" s="35">
        <v>9</v>
      </c>
      <c r="AI790" s="35">
        <v>16</v>
      </c>
      <c r="AJ790" s="35"/>
      <c r="AK790" s="35"/>
      <c r="AL790" s="35"/>
      <c r="AM790" s="35"/>
      <c r="AN790" s="35"/>
      <c r="AO790" s="35"/>
      <c r="AP790" s="35"/>
      <c r="AQ790" s="35"/>
      <c r="AR790" s="35"/>
      <c r="AS790" s="35"/>
      <c r="AT790" s="35"/>
      <c r="AU790" s="14"/>
      <c r="AV790" s="14"/>
      <c r="AW790" s="14"/>
      <c r="AX790" s="14"/>
      <c r="AY790" s="14"/>
      <c r="AZ790" s="14"/>
      <c r="BA790" s="29"/>
      <c r="BB790" s="14"/>
      <c r="BC790" s="14"/>
      <c r="BD790" s="14"/>
      <c r="BE790" s="29"/>
      <c r="BF790" s="29"/>
      <c r="BG790" s="14"/>
      <c r="BH790" s="14"/>
      <c r="BI790" s="14"/>
      <c r="BJ790" s="29"/>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t="s">
        <v>1611</v>
      </c>
      <c r="CX790" s="14" t="s">
        <v>1612</v>
      </c>
      <c r="CY790" s="14">
        <v>2024</v>
      </c>
      <c r="CZ790" s="36">
        <v>45397</v>
      </c>
      <c r="DA790" s="14" t="s">
        <v>362</v>
      </c>
      <c r="DB790" s="14">
        <v>10</v>
      </c>
      <c r="DC790" s="14">
        <v>7</v>
      </c>
      <c r="DD790" s="14" t="s">
        <v>1613</v>
      </c>
      <c r="DE790" s="14" t="s">
        <v>1614</v>
      </c>
    </row>
    <row r="791" spans="1:109" s="13" customFormat="1" ht="20">
      <c r="A791" s="14" t="s">
        <v>2027</v>
      </c>
      <c r="B791" s="14"/>
      <c r="C791" s="14" t="s">
        <v>2028</v>
      </c>
      <c r="D791" s="14" t="s">
        <v>827</v>
      </c>
      <c r="E791" s="14" t="s">
        <v>673</v>
      </c>
      <c r="F791" s="14" t="s">
        <v>675</v>
      </c>
      <c r="G791" s="14"/>
      <c r="H791" s="14" t="s">
        <v>855</v>
      </c>
      <c r="I791" s="14" t="s">
        <v>3126</v>
      </c>
      <c r="J791" s="14" t="s">
        <v>652</v>
      </c>
      <c r="K791" s="14" t="s">
        <v>2031</v>
      </c>
      <c r="L791" s="14" t="s">
        <v>639</v>
      </c>
      <c r="M791" s="14">
        <v>70</v>
      </c>
      <c r="N791" s="14">
        <v>0</v>
      </c>
      <c r="O791" s="34">
        <v>0</v>
      </c>
      <c r="P791" s="14">
        <v>0</v>
      </c>
      <c r="Q791" s="14">
        <v>63.9</v>
      </c>
      <c r="R791" s="14">
        <v>7.9</v>
      </c>
      <c r="S791" s="14"/>
      <c r="T791" s="14"/>
      <c r="U791" s="14"/>
      <c r="V791" s="14">
        <v>50</v>
      </c>
      <c r="W791" s="14">
        <f t="shared" si="75"/>
        <v>0.7142857142857143</v>
      </c>
      <c r="X791" s="14">
        <v>40.200000000000003</v>
      </c>
      <c r="Y791" s="14">
        <v>4.9000000000000004</v>
      </c>
      <c r="Z791" s="14"/>
      <c r="AA791" s="14"/>
      <c r="AB791" s="14"/>
      <c r="AC791" s="14">
        <v>55</v>
      </c>
      <c r="AD791" s="34">
        <f t="shared" si="76"/>
        <v>0.7857142857142857</v>
      </c>
      <c r="AE791" s="35">
        <f>1.5*12</f>
        <v>18</v>
      </c>
      <c r="AF791" s="35">
        <f>1.4*12</f>
        <v>16.799999999999997</v>
      </c>
      <c r="AG791" s="35"/>
      <c r="AH791" s="35"/>
      <c r="AI791" s="35"/>
      <c r="AJ791" s="35"/>
      <c r="AK791" s="35"/>
      <c r="AL791" s="35"/>
      <c r="AM791" s="35"/>
      <c r="AN791" s="35"/>
      <c r="AO791" s="35"/>
      <c r="AP791" s="35"/>
      <c r="AQ791" s="35">
        <v>20</v>
      </c>
      <c r="AR791" s="35"/>
      <c r="AS791" s="35"/>
      <c r="AT791" s="35"/>
      <c r="AU791" s="14" t="s">
        <v>2449</v>
      </c>
      <c r="AV791" s="14" t="s">
        <v>2380</v>
      </c>
      <c r="AW791" s="14"/>
      <c r="AX791" s="14"/>
      <c r="AY791" s="14"/>
      <c r="AZ791" s="14"/>
      <c r="BA791" s="29"/>
      <c r="BB791" s="14"/>
      <c r="BC791" s="14"/>
      <c r="BD791" s="14"/>
      <c r="BE791" s="29" t="s">
        <v>3019</v>
      </c>
      <c r="BF791" s="29"/>
      <c r="BG791" s="14">
        <v>1.0089999999999999</v>
      </c>
      <c r="BH791" s="14">
        <v>1.002</v>
      </c>
      <c r="BI791" s="14">
        <v>1.016</v>
      </c>
      <c r="BJ791" s="29"/>
      <c r="BK791" s="14"/>
      <c r="BL791" s="14"/>
      <c r="BM791" s="14"/>
      <c r="BN791" s="14" t="s">
        <v>2231</v>
      </c>
      <c r="BO791" s="14" t="s">
        <v>2380</v>
      </c>
      <c r="BP791" s="14"/>
      <c r="BQ791" s="14"/>
      <c r="BR791" s="14"/>
      <c r="BS791" s="14"/>
      <c r="BT791" s="14"/>
      <c r="BU791" s="14"/>
      <c r="BV791" s="14"/>
      <c r="BW791" s="14"/>
      <c r="BX791" s="14"/>
      <c r="BY791" s="14"/>
      <c r="BZ791" s="14"/>
      <c r="CA791" s="14"/>
      <c r="CB791" s="14"/>
      <c r="CC791" s="14">
        <v>-0.20899999999999999</v>
      </c>
      <c r="CD791" s="14"/>
      <c r="CE791" s="14"/>
      <c r="CF791" s="14"/>
      <c r="CG791" s="14">
        <v>8.3000000000000004E-2</v>
      </c>
      <c r="CH791" s="14"/>
      <c r="CI791" s="14"/>
      <c r="CJ791" s="14"/>
      <c r="CK791" s="14"/>
      <c r="CL791" s="14"/>
      <c r="CM791" s="14"/>
      <c r="CN791" s="14"/>
      <c r="CO791" s="14"/>
      <c r="CP791" s="14"/>
      <c r="CQ791" s="14"/>
      <c r="CR791" s="14"/>
      <c r="CS791" s="14"/>
      <c r="CT791" s="14"/>
      <c r="CU791" s="14"/>
      <c r="CV791" s="14"/>
      <c r="CW791" s="14" t="s">
        <v>2034</v>
      </c>
      <c r="CX791" s="14" t="s">
        <v>2114</v>
      </c>
      <c r="CY791" s="14">
        <v>2021</v>
      </c>
      <c r="CZ791" s="36" t="s">
        <v>32</v>
      </c>
      <c r="DA791" s="14" t="s">
        <v>195</v>
      </c>
      <c r="DB791" s="14">
        <v>92</v>
      </c>
      <c r="DC791" s="14">
        <v>10</v>
      </c>
      <c r="DD791" s="14" t="s">
        <v>2115</v>
      </c>
      <c r="DE791" s="14" t="s">
        <v>2116</v>
      </c>
    </row>
    <row r="792" spans="1:109" s="13" customFormat="1" ht="20">
      <c r="A792" s="14" t="s">
        <v>1939</v>
      </c>
      <c r="B792" s="14" t="s">
        <v>1755</v>
      </c>
      <c r="C792" s="14" t="s">
        <v>548</v>
      </c>
      <c r="D792" s="14" t="s">
        <v>831</v>
      </c>
      <c r="E792" s="14" t="s">
        <v>672</v>
      </c>
      <c r="F792" s="14" t="s">
        <v>1036</v>
      </c>
      <c r="G792" s="14"/>
      <c r="H792" s="14" t="s">
        <v>712</v>
      </c>
      <c r="I792" s="14" t="s">
        <v>3020</v>
      </c>
      <c r="J792" s="14" t="s">
        <v>585</v>
      </c>
      <c r="K792" s="14"/>
      <c r="L792" s="14" t="s">
        <v>639</v>
      </c>
      <c r="M792" s="14">
        <v>19</v>
      </c>
      <c r="N792" s="14"/>
      <c r="O792" s="34"/>
      <c r="P792" s="14"/>
      <c r="Q792" s="14">
        <v>59.47</v>
      </c>
      <c r="R792" s="14">
        <v>7.25</v>
      </c>
      <c r="S792" s="14"/>
      <c r="T792" s="14"/>
      <c r="U792" s="14"/>
      <c r="V792" s="14">
        <v>11</v>
      </c>
      <c r="W792" s="14">
        <f t="shared" si="75"/>
        <v>0.57894736842105265</v>
      </c>
      <c r="X792" s="14">
        <v>38.58</v>
      </c>
      <c r="Y792" s="14">
        <v>5.34</v>
      </c>
      <c r="Z792" s="14"/>
      <c r="AA792" s="14"/>
      <c r="AB792" s="14"/>
      <c r="AC792" s="14">
        <v>16</v>
      </c>
      <c r="AD792" s="34">
        <f t="shared" si="76"/>
        <v>0.84210526315789469</v>
      </c>
      <c r="AE792" s="35">
        <v>19.579999999999998</v>
      </c>
      <c r="AF792" s="35">
        <v>18.21</v>
      </c>
      <c r="AG792" s="35"/>
      <c r="AH792" s="35"/>
      <c r="AI792" s="35"/>
      <c r="AJ792" s="35"/>
      <c r="AK792" s="35"/>
      <c r="AL792" s="35"/>
      <c r="AM792" s="35"/>
      <c r="AN792" s="35"/>
      <c r="AO792" s="35"/>
      <c r="AP792" s="35"/>
      <c r="AQ792" s="35"/>
      <c r="AR792" s="35"/>
      <c r="AS792" s="35"/>
      <c r="AT792" s="35"/>
      <c r="AU792" s="14"/>
      <c r="AV792" s="14"/>
      <c r="AW792" s="14"/>
      <c r="AX792" s="14"/>
      <c r="AY792" s="14"/>
      <c r="AZ792" s="14"/>
      <c r="BA792" s="29"/>
      <c r="BB792" s="14"/>
      <c r="BC792" s="14"/>
      <c r="BD792" s="14"/>
      <c r="BE792" s="29"/>
      <c r="BF792" s="29"/>
      <c r="BG792" s="14"/>
      <c r="BH792" s="14"/>
      <c r="BI792" s="14"/>
      <c r="BJ792" s="29"/>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t="s">
        <v>543</v>
      </c>
      <c r="CX792" s="14" t="s">
        <v>544</v>
      </c>
      <c r="CY792" s="14">
        <v>2020</v>
      </c>
      <c r="CZ792" s="36" t="s">
        <v>32</v>
      </c>
      <c r="DA792" s="14" t="s">
        <v>545</v>
      </c>
      <c r="DB792" s="14">
        <v>41</v>
      </c>
      <c r="DC792" s="14">
        <v>10</v>
      </c>
      <c r="DD792" s="14" t="s">
        <v>546</v>
      </c>
      <c r="DE792" s="14" t="s">
        <v>547</v>
      </c>
    </row>
    <row r="793" spans="1:109" s="13" customFormat="1" ht="20">
      <c r="A793" s="14" t="s">
        <v>1939</v>
      </c>
      <c r="B793" s="14" t="s">
        <v>1755</v>
      </c>
      <c r="C793" s="14" t="s">
        <v>548</v>
      </c>
      <c r="D793" s="14" t="s">
        <v>831</v>
      </c>
      <c r="E793" s="14" t="s">
        <v>672</v>
      </c>
      <c r="F793" s="14" t="s">
        <v>675</v>
      </c>
      <c r="G793" s="14"/>
      <c r="H793" s="14" t="s">
        <v>712</v>
      </c>
      <c r="I793" s="14" t="s">
        <v>3020</v>
      </c>
      <c r="J793" s="14" t="s">
        <v>585</v>
      </c>
      <c r="K793" s="14"/>
      <c r="L793" s="14" t="s">
        <v>639</v>
      </c>
      <c r="M793" s="14">
        <v>19</v>
      </c>
      <c r="N793" s="14"/>
      <c r="O793" s="34"/>
      <c r="P793" s="14"/>
      <c r="Q793" s="14">
        <v>59.47</v>
      </c>
      <c r="R793" s="14">
        <v>7.25</v>
      </c>
      <c r="S793" s="14"/>
      <c r="T793" s="14"/>
      <c r="U793" s="14"/>
      <c r="V793" s="14">
        <v>11</v>
      </c>
      <c r="W793" s="14">
        <f t="shared" si="75"/>
        <v>0.57894736842105265</v>
      </c>
      <c r="X793" s="14">
        <v>38.58</v>
      </c>
      <c r="Y793" s="14">
        <v>5.34</v>
      </c>
      <c r="Z793" s="14"/>
      <c r="AA793" s="14"/>
      <c r="AB793" s="14"/>
      <c r="AC793" s="14">
        <v>16</v>
      </c>
      <c r="AD793" s="34">
        <f t="shared" si="76"/>
        <v>0.84210526315789469</v>
      </c>
      <c r="AE793" s="35">
        <v>19.579999999999998</v>
      </c>
      <c r="AF793" s="35">
        <v>18.21</v>
      </c>
      <c r="AG793" s="35"/>
      <c r="AH793" s="35"/>
      <c r="AI793" s="35"/>
      <c r="AJ793" s="35"/>
      <c r="AK793" s="35"/>
      <c r="AL793" s="35"/>
      <c r="AM793" s="35"/>
      <c r="AN793" s="35"/>
      <c r="AO793" s="35"/>
      <c r="AP793" s="35"/>
      <c r="AQ793" s="35"/>
      <c r="AR793" s="35"/>
      <c r="AS793" s="35"/>
      <c r="AT793" s="35"/>
      <c r="AU793" s="14"/>
      <c r="AV793" s="14"/>
      <c r="AW793" s="14"/>
      <c r="AX793" s="14"/>
      <c r="AY793" s="14"/>
      <c r="AZ793" s="14"/>
      <c r="BA793" s="29"/>
      <c r="BB793" s="14"/>
      <c r="BC793" s="14"/>
      <c r="BD793" s="14"/>
      <c r="BE793" s="29"/>
      <c r="BF793" s="29"/>
      <c r="BG793" s="14"/>
      <c r="BH793" s="14"/>
      <c r="BI793" s="14"/>
      <c r="BJ793" s="29"/>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t="s">
        <v>543</v>
      </c>
      <c r="CX793" s="14" t="s">
        <v>544</v>
      </c>
      <c r="CY793" s="14">
        <v>2020</v>
      </c>
      <c r="CZ793" s="36" t="s">
        <v>32</v>
      </c>
      <c r="DA793" s="14" t="s">
        <v>545</v>
      </c>
      <c r="DB793" s="14">
        <v>41</v>
      </c>
      <c r="DC793" s="14">
        <v>10</v>
      </c>
      <c r="DD793" s="14" t="s">
        <v>546</v>
      </c>
      <c r="DE793" s="14" t="s">
        <v>547</v>
      </c>
    </row>
    <row r="794" spans="1:109" s="13" customFormat="1" ht="20">
      <c r="A794" s="14" t="s">
        <v>1939</v>
      </c>
      <c r="B794" s="14" t="s">
        <v>1755</v>
      </c>
      <c r="C794" s="14" t="s">
        <v>548</v>
      </c>
      <c r="D794" s="14" t="s">
        <v>831</v>
      </c>
      <c r="E794" s="14" t="s">
        <v>672</v>
      </c>
      <c r="F794" s="14" t="s">
        <v>807</v>
      </c>
      <c r="G794" s="14"/>
      <c r="H794" s="14" t="s">
        <v>712</v>
      </c>
      <c r="I794" s="14" t="s">
        <v>3020</v>
      </c>
      <c r="J794" s="14" t="s">
        <v>585</v>
      </c>
      <c r="K794" s="14"/>
      <c r="L794" s="14" t="s">
        <v>639</v>
      </c>
      <c r="M794" s="14">
        <v>19</v>
      </c>
      <c r="N794" s="14"/>
      <c r="O794" s="34"/>
      <c r="P794" s="14"/>
      <c r="Q794" s="14">
        <v>59.47</v>
      </c>
      <c r="R794" s="14">
        <v>7.25</v>
      </c>
      <c r="S794" s="14"/>
      <c r="T794" s="14"/>
      <c r="U794" s="14"/>
      <c r="V794" s="14">
        <v>11</v>
      </c>
      <c r="W794" s="14">
        <f t="shared" si="75"/>
        <v>0.57894736842105265</v>
      </c>
      <c r="X794" s="14">
        <v>38.58</v>
      </c>
      <c r="Y794" s="14">
        <v>5.34</v>
      </c>
      <c r="Z794" s="14"/>
      <c r="AA794" s="14"/>
      <c r="AB794" s="14"/>
      <c r="AC794" s="14">
        <v>16</v>
      </c>
      <c r="AD794" s="34">
        <f t="shared" si="76"/>
        <v>0.84210526315789469</v>
      </c>
      <c r="AE794" s="35">
        <v>19.579999999999998</v>
      </c>
      <c r="AF794" s="35">
        <v>18.21</v>
      </c>
      <c r="AG794" s="35"/>
      <c r="AH794" s="35"/>
      <c r="AI794" s="35"/>
      <c r="AJ794" s="35"/>
      <c r="AK794" s="35"/>
      <c r="AL794" s="35"/>
      <c r="AM794" s="35"/>
      <c r="AN794" s="35"/>
      <c r="AO794" s="35"/>
      <c r="AP794" s="35"/>
      <c r="AQ794" s="35"/>
      <c r="AR794" s="35"/>
      <c r="AS794" s="35"/>
      <c r="AT794" s="35"/>
      <c r="AU794" s="14"/>
      <c r="AV794" s="14"/>
      <c r="AW794" s="14"/>
      <c r="AX794" s="14"/>
      <c r="AY794" s="14"/>
      <c r="AZ794" s="14"/>
      <c r="BA794" s="29"/>
      <c r="BB794" s="14"/>
      <c r="BC794" s="14"/>
      <c r="BD794" s="14"/>
      <c r="BE794" s="29"/>
      <c r="BF794" s="29"/>
      <c r="BG794" s="14"/>
      <c r="BH794" s="14"/>
      <c r="BI794" s="14"/>
      <c r="BJ794" s="29"/>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t="s">
        <v>543</v>
      </c>
      <c r="CX794" s="14" t="s">
        <v>544</v>
      </c>
      <c r="CY794" s="14">
        <v>2020</v>
      </c>
      <c r="CZ794" s="36" t="s">
        <v>32</v>
      </c>
      <c r="DA794" s="14" t="s">
        <v>545</v>
      </c>
      <c r="DB794" s="14">
        <v>41</v>
      </c>
      <c r="DC794" s="14">
        <v>10</v>
      </c>
      <c r="DD794" s="14" t="s">
        <v>546</v>
      </c>
      <c r="DE794" s="14" t="s">
        <v>547</v>
      </c>
    </row>
    <row r="795" spans="1:109" s="13" customFormat="1" ht="20">
      <c r="A795" s="14" t="s">
        <v>1940</v>
      </c>
      <c r="B795" s="14"/>
      <c r="C795" s="14" t="s">
        <v>553</v>
      </c>
      <c r="D795" s="14" t="s">
        <v>818</v>
      </c>
      <c r="E795" s="14" t="s">
        <v>725</v>
      </c>
      <c r="F795" s="14" t="s">
        <v>3021</v>
      </c>
      <c r="G795" s="14"/>
      <c r="H795" s="14" t="s">
        <v>712</v>
      </c>
      <c r="I795" s="14" t="s">
        <v>3022</v>
      </c>
      <c r="J795" s="14" t="s">
        <v>3024</v>
      </c>
      <c r="K795" s="14" t="s">
        <v>3023</v>
      </c>
      <c r="L795" s="14" t="s">
        <v>3027</v>
      </c>
      <c r="M795" s="14">
        <v>59</v>
      </c>
      <c r="N795" s="14"/>
      <c r="O795" s="34"/>
      <c r="P795" s="14"/>
      <c r="Q795" s="14">
        <v>58</v>
      </c>
      <c r="R795" s="14">
        <v>10</v>
      </c>
      <c r="S795" s="14"/>
      <c r="T795" s="14"/>
      <c r="U795" s="14"/>
      <c r="V795" s="14">
        <v>39</v>
      </c>
      <c r="W795" s="14">
        <f t="shared" si="75"/>
        <v>0.66101694915254239</v>
      </c>
      <c r="X795" s="14">
        <v>37.39</v>
      </c>
      <c r="Y795" s="14">
        <v>4.3250000000000002</v>
      </c>
      <c r="Z795" s="14"/>
      <c r="AA795" s="14"/>
      <c r="AB795" s="14"/>
      <c r="AC795" s="14">
        <v>36</v>
      </c>
      <c r="AD795" s="34">
        <f t="shared" si="76"/>
        <v>0.61016949152542377</v>
      </c>
      <c r="AE795" s="35">
        <v>12.36</v>
      </c>
      <c r="AF795" s="35">
        <v>7.2450000000000001</v>
      </c>
      <c r="AG795" s="35"/>
      <c r="AH795" s="35"/>
      <c r="AI795" s="35"/>
      <c r="AJ795" s="35"/>
      <c r="AK795" s="35"/>
      <c r="AL795" s="35"/>
      <c r="AM795" s="35"/>
      <c r="AN795" s="35"/>
      <c r="AO795" s="35"/>
      <c r="AP795" s="35"/>
      <c r="AQ795" s="35"/>
      <c r="AR795" s="35"/>
      <c r="AS795" s="35"/>
      <c r="AT795" s="35"/>
      <c r="AU795" s="14"/>
      <c r="AV795" s="14"/>
      <c r="AW795" s="14"/>
      <c r="AX795" s="14"/>
      <c r="AY795" s="14"/>
      <c r="AZ795" s="14"/>
      <c r="BA795" s="29"/>
      <c r="BB795" s="14"/>
      <c r="BC795" s="14"/>
      <c r="BD795" s="14"/>
      <c r="BE795" s="29"/>
      <c r="BF795" s="29"/>
      <c r="BG795" s="14"/>
      <c r="BH795" s="14"/>
      <c r="BI795" s="14"/>
      <c r="BJ795" s="29"/>
      <c r="BK795" s="14"/>
      <c r="BL795" s="14"/>
      <c r="BM795" s="14"/>
      <c r="BN795" s="14" t="s">
        <v>2231</v>
      </c>
      <c r="BO795" s="14" t="s">
        <v>2490</v>
      </c>
      <c r="BP795" s="14"/>
      <c r="BQ795" s="14"/>
      <c r="BR795" s="14"/>
      <c r="BS795" s="14"/>
      <c r="BT795" s="14"/>
      <c r="BU795" s="14">
        <v>2.9100000000000001E-2</v>
      </c>
      <c r="BV795" s="14"/>
      <c r="BW795" s="14"/>
      <c r="BX795" s="14"/>
      <c r="BY795" s="14"/>
      <c r="BZ795" s="14"/>
      <c r="CA795" s="1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t="s">
        <v>1619</v>
      </c>
      <c r="CX795" s="14" t="s">
        <v>1620</v>
      </c>
      <c r="CY795" s="14">
        <v>2023</v>
      </c>
      <c r="CZ795" s="36"/>
      <c r="DA795" s="14" t="s">
        <v>416</v>
      </c>
      <c r="DB795" s="14">
        <v>14</v>
      </c>
      <c r="DC795" s="14"/>
      <c r="DD795" s="14" t="s">
        <v>2147</v>
      </c>
      <c r="DE795" s="14" t="s">
        <v>1621</v>
      </c>
    </row>
    <row r="796" spans="1:109" s="13" customFormat="1" ht="20">
      <c r="A796" s="14" t="s">
        <v>1941</v>
      </c>
      <c r="B796" s="14" t="s">
        <v>1756</v>
      </c>
      <c r="C796" s="14" t="s">
        <v>553</v>
      </c>
      <c r="D796" s="14" t="s">
        <v>818</v>
      </c>
      <c r="E796" s="14" t="s">
        <v>702</v>
      </c>
      <c r="F796" s="14" t="s">
        <v>1039</v>
      </c>
      <c r="G796" s="14"/>
      <c r="H796" s="14" t="s">
        <v>712</v>
      </c>
      <c r="I796" s="14" t="s">
        <v>3022</v>
      </c>
      <c r="J796" s="14" t="s">
        <v>1973</v>
      </c>
      <c r="K796" s="14" t="s">
        <v>947</v>
      </c>
      <c r="L796" s="14" t="s">
        <v>1040</v>
      </c>
      <c r="M796" s="14">
        <v>71</v>
      </c>
      <c r="N796" s="14"/>
      <c r="O796" s="34"/>
      <c r="P796" s="14"/>
      <c r="Q796" s="14">
        <v>58</v>
      </c>
      <c r="R796" s="14">
        <v>9</v>
      </c>
      <c r="S796" s="14"/>
      <c r="T796" s="14"/>
      <c r="U796" s="14"/>
      <c r="V796" s="14">
        <v>47</v>
      </c>
      <c r="W796" s="14">
        <f t="shared" si="75"/>
        <v>0.6619718309859155</v>
      </c>
      <c r="X796" s="14">
        <v>40.35</v>
      </c>
      <c r="Y796" s="14">
        <v>4.859</v>
      </c>
      <c r="Z796" s="14"/>
      <c r="AA796" s="14"/>
      <c r="AB796" s="14"/>
      <c r="AC796" s="14">
        <v>54</v>
      </c>
      <c r="AD796" s="34">
        <f t="shared" si="76"/>
        <v>0.76056338028169013</v>
      </c>
      <c r="AE796" s="35">
        <v>13.92</v>
      </c>
      <c r="AF796" s="35">
        <v>7.86</v>
      </c>
      <c r="AG796" s="35"/>
      <c r="AH796" s="35"/>
      <c r="AI796" s="35"/>
      <c r="AJ796" s="35"/>
      <c r="AK796" s="35"/>
      <c r="AL796" s="35"/>
      <c r="AM796" s="35"/>
      <c r="AN796" s="35"/>
      <c r="AO796" s="35"/>
      <c r="AP796" s="35"/>
      <c r="AQ796" s="35"/>
      <c r="AR796" s="35"/>
      <c r="AS796" s="35"/>
      <c r="AT796" s="35"/>
      <c r="AU796" s="14"/>
      <c r="AV796" s="14"/>
      <c r="AW796" s="14"/>
      <c r="AX796" s="14"/>
      <c r="AY796" s="14"/>
      <c r="AZ796" s="14"/>
      <c r="BA796" s="29"/>
      <c r="BB796" s="14"/>
      <c r="BC796" s="14"/>
      <c r="BD796" s="14"/>
      <c r="BE796" s="29"/>
      <c r="BF796" s="29"/>
      <c r="BG796" s="14"/>
      <c r="BH796" s="14"/>
      <c r="BI796" s="14"/>
      <c r="BJ796" s="29"/>
      <c r="BK796" s="14"/>
      <c r="BL796" s="14"/>
      <c r="BM796" s="14"/>
      <c r="BN796" s="14" t="s">
        <v>2552</v>
      </c>
      <c r="BO796" s="14" t="s">
        <v>2490</v>
      </c>
      <c r="BP796" s="14"/>
      <c r="BQ796" s="14">
        <f>SQRT(0.1552)</f>
        <v>0.39395431207184417</v>
      </c>
      <c r="BR796" s="14"/>
      <c r="BS796" s="14"/>
      <c r="BT796" s="14"/>
      <c r="BU796" s="14">
        <v>6.9999999999999999E-4</v>
      </c>
      <c r="BV796" s="14"/>
      <c r="BW796" s="14"/>
      <c r="BX796" s="14"/>
      <c r="BY796" s="14"/>
      <c r="BZ796" s="14"/>
      <c r="CA796" s="14"/>
      <c r="CB796" s="14"/>
      <c r="CC796" s="14">
        <f>-SQRT(0.05744)</f>
        <v>-0.23966643486312386</v>
      </c>
      <c r="CD796" s="14"/>
      <c r="CE796" s="14"/>
      <c r="CF796" s="14"/>
      <c r="CG796" s="14">
        <v>4.1000000000000002E-2</v>
      </c>
      <c r="CH796" s="14"/>
      <c r="CI796" s="14"/>
      <c r="CJ796" s="14"/>
      <c r="CK796" s="14"/>
      <c r="CL796" s="14"/>
      <c r="CM796" s="14"/>
      <c r="CN796" s="14"/>
      <c r="CO796" s="14"/>
      <c r="CP796" s="14"/>
      <c r="CQ796" s="14"/>
      <c r="CR796" s="14"/>
      <c r="CS796" s="14"/>
      <c r="CT796" s="14"/>
      <c r="CU796" s="14"/>
      <c r="CV796" s="14" t="s">
        <v>3028</v>
      </c>
      <c r="CW796" s="14" t="s">
        <v>549</v>
      </c>
      <c r="CX796" s="14" t="s">
        <v>550</v>
      </c>
      <c r="CY796" s="14">
        <v>2023</v>
      </c>
      <c r="CZ796" s="36">
        <v>45595</v>
      </c>
      <c r="DA796" s="14" t="s">
        <v>551</v>
      </c>
      <c r="DB796" s="14">
        <v>13</v>
      </c>
      <c r="DC796" s="14">
        <v>11</v>
      </c>
      <c r="DD796" s="14"/>
      <c r="DE796" s="14" t="s">
        <v>552</v>
      </c>
    </row>
    <row r="797" spans="1:109" s="13" customFormat="1" ht="20">
      <c r="A797" s="14" t="s">
        <v>1941</v>
      </c>
      <c r="B797" s="14" t="s">
        <v>1756</v>
      </c>
      <c r="C797" s="14" t="s">
        <v>553</v>
      </c>
      <c r="D797" s="14" t="s">
        <v>818</v>
      </c>
      <c r="E797" s="14" t="s">
        <v>1042</v>
      </c>
      <c r="F797" s="14" t="s">
        <v>1039</v>
      </c>
      <c r="G797" s="14"/>
      <c r="H797" s="14" t="s">
        <v>712</v>
      </c>
      <c r="I797" s="14" t="s">
        <v>3022</v>
      </c>
      <c r="J797" s="14" t="s">
        <v>1978</v>
      </c>
      <c r="K797" s="14" t="s">
        <v>1041</v>
      </c>
      <c r="L797" s="14" t="s">
        <v>1040</v>
      </c>
      <c r="M797" s="14">
        <v>47</v>
      </c>
      <c r="N797" s="14"/>
      <c r="O797" s="34"/>
      <c r="P797" s="14"/>
      <c r="Q797" s="14">
        <v>58</v>
      </c>
      <c r="R797" s="14">
        <v>10</v>
      </c>
      <c r="S797" s="14"/>
      <c r="T797" s="14"/>
      <c r="U797" s="14"/>
      <c r="V797" s="14">
        <v>32</v>
      </c>
      <c r="W797" s="14">
        <f t="shared" si="75"/>
        <v>0.68085106382978722</v>
      </c>
      <c r="X797" s="14">
        <v>39.380000000000003</v>
      </c>
      <c r="Y797" s="14">
        <v>4.4649999999999999</v>
      </c>
      <c r="Z797" s="14"/>
      <c r="AA797" s="14"/>
      <c r="AB797" s="14"/>
      <c r="AC797" s="14">
        <v>34</v>
      </c>
      <c r="AD797" s="34">
        <f t="shared" si="76"/>
        <v>0.72340425531914898</v>
      </c>
      <c r="AE797" s="35">
        <v>10.15</v>
      </c>
      <c r="AF797" s="35">
        <v>5.5640000000000001</v>
      </c>
      <c r="AG797" s="35"/>
      <c r="AH797" s="35"/>
      <c r="AI797" s="35"/>
      <c r="AJ797" s="35"/>
      <c r="AK797" s="35"/>
      <c r="AL797" s="35"/>
      <c r="AM797" s="35"/>
      <c r="AN797" s="35"/>
      <c r="AO797" s="35"/>
      <c r="AP797" s="35"/>
      <c r="AQ797" s="35"/>
      <c r="AR797" s="35"/>
      <c r="AS797" s="35"/>
      <c r="AT797" s="35"/>
      <c r="AU797" s="14"/>
      <c r="AV797" s="14"/>
      <c r="AW797" s="14"/>
      <c r="AX797" s="14"/>
      <c r="AY797" s="14"/>
      <c r="AZ797" s="14"/>
      <c r="BA797" s="29"/>
      <c r="BB797" s="14"/>
      <c r="BC797" s="14"/>
      <c r="BD797" s="14"/>
      <c r="BE797" s="29"/>
      <c r="BF797" s="29"/>
      <c r="BG797" s="14"/>
      <c r="BH797" s="14"/>
      <c r="BI797" s="14"/>
      <c r="BJ797" s="29"/>
      <c r="BK797" s="14"/>
      <c r="BL797" s="14"/>
      <c r="BM797" s="14"/>
      <c r="BN797" s="14" t="s">
        <v>2552</v>
      </c>
      <c r="BO797" s="14" t="s">
        <v>2490</v>
      </c>
      <c r="BP797" s="14"/>
      <c r="BQ797" s="14">
        <v>0.36359999999999998</v>
      </c>
      <c r="BR797" s="14"/>
      <c r="BS797" s="14"/>
      <c r="BT797" s="14"/>
      <c r="BU797" s="14">
        <v>1.2E-2</v>
      </c>
      <c r="BV797" s="14"/>
      <c r="BW797" s="14"/>
      <c r="BX797" s="14"/>
      <c r="BY797" s="14"/>
      <c r="BZ797" s="14"/>
      <c r="CA797" s="14"/>
      <c r="CB797" s="14"/>
      <c r="CC797" s="14">
        <v>-0.376</v>
      </c>
      <c r="CD797" s="14"/>
      <c r="CE797" s="14"/>
      <c r="CF797" s="14"/>
      <c r="CG797" s="14">
        <v>9.1999999999999998E-3</v>
      </c>
      <c r="CH797" s="14"/>
      <c r="CI797" s="14"/>
      <c r="CJ797" s="14"/>
      <c r="CK797" s="14"/>
      <c r="CL797" s="14"/>
      <c r="CM797" s="14"/>
      <c r="CN797" s="14"/>
      <c r="CO797" s="14"/>
      <c r="CP797" s="14"/>
      <c r="CQ797" s="14"/>
      <c r="CR797" s="14"/>
      <c r="CS797" s="14"/>
      <c r="CT797" s="14"/>
      <c r="CU797" s="14"/>
      <c r="CV797" s="14" t="s">
        <v>3028</v>
      </c>
      <c r="CW797" s="14" t="s">
        <v>549</v>
      </c>
      <c r="CX797" s="14" t="s">
        <v>550</v>
      </c>
      <c r="CY797" s="14">
        <v>2023</v>
      </c>
      <c r="CZ797" s="36">
        <v>45595</v>
      </c>
      <c r="DA797" s="14" t="s">
        <v>551</v>
      </c>
      <c r="DB797" s="14">
        <v>13</v>
      </c>
      <c r="DC797" s="14">
        <v>11</v>
      </c>
      <c r="DD797" s="14"/>
      <c r="DE797" s="14" t="s">
        <v>552</v>
      </c>
    </row>
    <row r="798" spans="1:109" s="13" customFormat="1" ht="20">
      <c r="A798" s="14" t="s">
        <v>1942</v>
      </c>
      <c r="B798" s="14"/>
      <c r="C798" s="14" t="s">
        <v>1626</v>
      </c>
      <c r="D798" s="14" t="s">
        <v>818</v>
      </c>
      <c r="E798" s="14" t="s">
        <v>725</v>
      </c>
      <c r="F798" s="14" t="s">
        <v>3032</v>
      </c>
      <c r="G798" s="14"/>
      <c r="H798" s="14" t="s">
        <v>712</v>
      </c>
      <c r="I798" s="14" t="s">
        <v>3029</v>
      </c>
      <c r="J798" s="14" t="s">
        <v>3031</v>
      </c>
      <c r="K798" s="14" t="s">
        <v>3030</v>
      </c>
      <c r="L798" s="14"/>
      <c r="M798" s="14">
        <v>41</v>
      </c>
      <c r="N798" s="14">
        <v>0</v>
      </c>
      <c r="O798" s="34">
        <v>0</v>
      </c>
      <c r="P798" s="14"/>
      <c r="Q798" s="14">
        <v>53.3</v>
      </c>
      <c r="R798" s="14">
        <v>8.4</v>
      </c>
      <c r="S798" s="14"/>
      <c r="T798" s="14"/>
      <c r="U798" s="14"/>
      <c r="V798" s="14">
        <v>27</v>
      </c>
      <c r="W798" s="14">
        <f t="shared" si="75"/>
        <v>0.65853658536585369</v>
      </c>
      <c r="X798" s="14">
        <v>40.6</v>
      </c>
      <c r="Y798" s="14">
        <v>5.0999999999999996</v>
      </c>
      <c r="Z798" s="14"/>
      <c r="AA798" s="14"/>
      <c r="AB798" s="14"/>
      <c r="AC798" s="14">
        <v>30</v>
      </c>
      <c r="AD798" s="34">
        <f t="shared" si="76"/>
        <v>0.73170731707317072</v>
      </c>
      <c r="AE798" s="35"/>
      <c r="AF798" s="35"/>
      <c r="AG798" s="35"/>
      <c r="AH798" s="35"/>
      <c r="AI798" s="35"/>
      <c r="AJ798" s="35">
        <v>45</v>
      </c>
      <c r="AK798" s="35">
        <v>31</v>
      </c>
      <c r="AL798" s="35"/>
      <c r="AM798" s="35"/>
      <c r="AN798" s="35"/>
      <c r="AO798" s="35"/>
      <c r="AP798" s="35"/>
      <c r="AQ798" s="35"/>
      <c r="AR798" s="35"/>
      <c r="AS798" s="35"/>
      <c r="AT798" s="35"/>
      <c r="AU798" s="14"/>
      <c r="AV798" s="14"/>
      <c r="AW798" s="14"/>
      <c r="AX798" s="14"/>
      <c r="AY798" s="14"/>
      <c r="AZ798" s="14"/>
      <c r="BA798" s="29"/>
      <c r="BB798" s="14"/>
      <c r="BC798" s="14"/>
      <c r="BD798" s="14"/>
      <c r="BE798" s="29"/>
      <c r="BF798" s="29"/>
      <c r="BG798" s="14"/>
      <c r="BH798" s="14"/>
      <c r="BI798" s="14"/>
      <c r="BJ798" s="29"/>
      <c r="BK798" s="14"/>
      <c r="BL798" s="14"/>
      <c r="BM798" s="14"/>
      <c r="BN798" s="14" t="s">
        <v>2231</v>
      </c>
      <c r="BO798" s="14" t="s">
        <v>2490</v>
      </c>
      <c r="BP798" s="14"/>
      <c r="BQ798" s="14">
        <v>0.47899999999999998</v>
      </c>
      <c r="BR798" s="14"/>
      <c r="BS798" s="14"/>
      <c r="BT798" s="14"/>
      <c r="BU798" s="14">
        <v>2E-3</v>
      </c>
      <c r="BV798" s="14"/>
      <c r="BW798" s="14"/>
      <c r="BX798" s="14"/>
      <c r="BY798" s="14"/>
      <c r="BZ798" s="14"/>
      <c r="CA798" s="1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t="s">
        <v>1622</v>
      </c>
      <c r="CX798" s="14" t="s">
        <v>1623</v>
      </c>
      <c r="CY798" s="14">
        <v>2024</v>
      </c>
      <c r="CZ798" s="36" t="s">
        <v>330</v>
      </c>
      <c r="DA798" s="14" t="s">
        <v>13</v>
      </c>
      <c r="DB798" s="14">
        <v>271</v>
      </c>
      <c r="DC798" s="14">
        <v>5</v>
      </c>
      <c r="DD798" s="14" t="s">
        <v>1624</v>
      </c>
      <c r="DE798" s="14" t="s">
        <v>1625</v>
      </c>
    </row>
    <row r="799" spans="1:109" s="13" customFormat="1" ht="20">
      <c r="A799" s="14" t="s">
        <v>1942</v>
      </c>
      <c r="B799" s="14"/>
      <c r="C799" s="14" t="s">
        <v>1626</v>
      </c>
      <c r="D799" s="14" t="s">
        <v>818</v>
      </c>
      <c r="E799" s="14" t="s">
        <v>725</v>
      </c>
      <c r="F799" s="14" t="s">
        <v>3033</v>
      </c>
      <c r="G799" s="14"/>
      <c r="H799" s="14" t="s">
        <v>712</v>
      </c>
      <c r="I799" s="14" t="s">
        <v>3029</v>
      </c>
      <c r="J799" s="14" t="s">
        <v>3031</v>
      </c>
      <c r="K799" s="14" t="s">
        <v>3030</v>
      </c>
      <c r="L799" s="14"/>
      <c r="M799" s="14">
        <v>41</v>
      </c>
      <c r="N799" s="14">
        <v>0</v>
      </c>
      <c r="O799" s="34">
        <v>0</v>
      </c>
      <c r="P799" s="14"/>
      <c r="Q799" s="14">
        <v>53.3</v>
      </c>
      <c r="R799" s="14">
        <v>8.4</v>
      </c>
      <c r="S799" s="14"/>
      <c r="T799" s="14"/>
      <c r="U799" s="14"/>
      <c r="V799" s="14">
        <v>27</v>
      </c>
      <c r="W799" s="14">
        <f t="shared" si="75"/>
        <v>0.65853658536585369</v>
      </c>
      <c r="X799" s="14">
        <v>40.6</v>
      </c>
      <c r="Y799" s="14">
        <v>5.0999999999999996</v>
      </c>
      <c r="Z799" s="14"/>
      <c r="AA799" s="14"/>
      <c r="AB799" s="14"/>
      <c r="AC799" s="14">
        <v>30</v>
      </c>
      <c r="AD799" s="34">
        <f t="shared" si="76"/>
        <v>0.73170731707317072</v>
      </c>
      <c r="AE799" s="35"/>
      <c r="AF799" s="35"/>
      <c r="AG799" s="35"/>
      <c r="AH799" s="35"/>
      <c r="AI799" s="35"/>
      <c r="AJ799" s="35">
        <v>45</v>
      </c>
      <c r="AK799" s="35">
        <v>31</v>
      </c>
      <c r="AL799" s="35"/>
      <c r="AM799" s="35"/>
      <c r="AN799" s="35"/>
      <c r="AO799" s="35"/>
      <c r="AP799" s="35"/>
      <c r="AQ799" s="35"/>
      <c r="AR799" s="35"/>
      <c r="AS799" s="35"/>
      <c r="AT799" s="35"/>
      <c r="AU799" s="14"/>
      <c r="AV799" s="14"/>
      <c r="AW799" s="14"/>
      <c r="AX799" s="14"/>
      <c r="AY799" s="14"/>
      <c r="AZ799" s="14"/>
      <c r="BA799" s="29"/>
      <c r="BB799" s="14"/>
      <c r="BC799" s="14"/>
      <c r="BD799" s="14"/>
      <c r="BE799" s="29"/>
      <c r="BF799" s="29"/>
      <c r="BG799" s="14"/>
      <c r="BH799" s="14"/>
      <c r="BI799" s="14"/>
      <c r="BJ799" s="29"/>
      <c r="BK799" s="14"/>
      <c r="BL799" s="14"/>
      <c r="BM799" s="14"/>
      <c r="BN799" s="14" t="s">
        <v>2231</v>
      </c>
      <c r="BO799" s="14" t="s">
        <v>2490</v>
      </c>
      <c r="BP799" s="14"/>
      <c r="BQ799" s="14">
        <v>-0.47599999999999998</v>
      </c>
      <c r="BR799" s="14"/>
      <c r="BS799" s="14"/>
      <c r="BT799" s="14"/>
      <c r="BU799" s="14">
        <v>2E-3</v>
      </c>
      <c r="BV799" s="14"/>
      <c r="BW799" s="14"/>
      <c r="BX799" s="14"/>
      <c r="BY799" s="14"/>
      <c r="BZ799" s="14"/>
      <c r="CA799" s="1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t="s">
        <v>1622</v>
      </c>
      <c r="CX799" s="14" t="s">
        <v>1623</v>
      </c>
      <c r="CY799" s="14">
        <v>2024</v>
      </c>
      <c r="CZ799" s="36" t="s">
        <v>330</v>
      </c>
      <c r="DA799" s="14" t="s">
        <v>13</v>
      </c>
      <c r="DB799" s="14">
        <v>271</v>
      </c>
      <c r="DC799" s="14">
        <v>5</v>
      </c>
      <c r="DD799" s="14" t="s">
        <v>1624</v>
      </c>
      <c r="DE799" s="14" t="s">
        <v>1625</v>
      </c>
    </row>
    <row r="800" spans="1:109" s="13" customFormat="1" ht="20">
      <c r="A800" s="13" t="s">
        <v>3428</v>
      </c>
      <c r="C800" s="13" t="s">
        <v>3354</v>
      </c>
      <c r="D800" s="14" t="s">
        <v>2039</v>
      </c>
      <c r="E800" s="13" t="s">
        <v>674</v>
      </c>
      <c r="F800" s="13" t="s">
        <v>2721</v>
      </c>
      <c r="H800" s="14" t="s">
        <v>712</v>
      </c>
      <c r="I800" s="14" t="s">
        <v>3990</v>
      </c>
      <c r="J800" s="13" t="s">
        <v>3989</v>
      </c>
      <c r="K800" s="13" t="s">
        <v>3988</v>
      </c>
      <c r="L800" s="13" t="s">
        <v>639</v>
      </c>
      <c r="M800" s="13">
        <v>51</v>
      </c>
      <c r="N800" s="13">
        <v>0</v>
      </c>
      <c r="O800" s="15">
        <v>0</v>
      </c>
      <c r="Q800" s="13">
        <v>59.1</v>
      </c>
      <c r="R800" s="13">
        <v>8.6999999999999993</v>
      </c>
      <c r="V800" s="13">
        <v>27</v>
      </c>
      <c r="W800" s="2">
        <f t="shared" si="75"/>
        <v>0.52941176470588236</v>
      </c>
      <c r="Z800" s="13">
        <v>40</v>
      </c>
      <c r="AA800" s="13">
        <v>36</v>
      </c>
      <c r="AB800" s="13">
        <v>43</v>
      </c>
      <c r="AC800" s="13">
        <v>35</v>
      </c>
      <c r="AD800" s="13">
        <f t="shared" si="76"/>
        <v>0.68627450980392157</v>
      </c>
      <c r="AG800" s="13">
        <v>10</v>
      </c>
      <c r="AH800" s="13">
        <v>8</v>
      </c>
      <c r="AI800" s="13">
        <v>14</v>
      </c>
      <c r="BA800" s="16"/>
      <c r="BE800" s="16"/>
      <c r="BJ800" s="16"/>
      <c r="BN800" s="16" t="s">
        <v>2231</v>
      </c>
      <c r="BO800" s="13" t="s">
        <v>2490</v>
      </c>
      <c r="BQ800" s="13">
        <v>-0.22</v>
      </c>
      <c r="BU800" s="13">
        <v>0.1142</v>
      </c>
      <c r="CC800" s="13">
        <v>0.28999999999999998</v>
      </c>
      <c r="CG800" s="13">
        <v>3.8399999999999997E-2</v>
      </c>
      <c r="CW800" s="13" t="s">
        <v>3614</v>
      </c>
      <c r="CX800" s="13" t="s">
        <v>3615</v>
      </c>
      <c r="CY800" s="13">
        <v>2025</v>
      </c>
      <c r="CZ800" s="13" t="s">
        <v>73</v>
      </c>
      <c r="DA800" s="13" t="s">
        <v>1145</v>
      </c>
      <c r="DB800" s="13">
        <v>18</v>
      </c>
      <c r="DE800" s="13" t="s">
        <v>3283</v>
      </c>
    </row>
    <row r="801" spans="1:109" s="13" customFormat="1" ht="20">
      <c r="A801" s="13" t="s">
        <v>3428</v>
      </c>
      <c r="C801" s="13" t="s">
        <v>3354</v>
      </c>
      <c r="D801" s="14" t="s">
        <v>2039</v>
      </c>
      <c r="E801" s="13" t="s">
        <v>674</v>
      </c>
      <c r="F801" s="13" t="s">
        <v>3991</v>
      </c>
      <c r="H801" s="14" t="s">
        <v>712</v>
      </c>
      <c r="I801" s="14" t="s">
        <v>3990</v>
      </c>
      <c r="J801" s="13" t="s">
        <v>3989</v>
      </c>
      <c r="K801" s="13" t="s">
        <v>3988</v>
      </c>
      <c r="L801" s="13" t="s">
        <v>639</v>
      </c>
      <c r="M801" s="13">
        <v>51</v>
      </c>
      <c r="N801" s="13">
        <v>0</v>
      </c>
      <c r="O801" s="15">
        <v>0</v>
      </c>
      <c r="Q801" s="13">
        <v>59.1</v>
      </c>
      <c r="R801" s="13">
        <v>8.6999999999999993</v>
      </c>
      <c r="V801" s="13">
        <v>27</v>
      </c>
      <c r="W801" s="2">
        <f t="shared" si="75"/>
        <v>0.52941176470588236</v>
      </c>
      <c r="Z801" s="13">
        <v>40</v>
      </c>
      <c r="AA801" s="13">
        <v>36</v>
      </c>
      <c r="AB801" s="13">
        <v>43</v>
      </c>
      <c r="AC801" s="13">
        <v>35</v>
      </c>
      <c r="AD801" s="13">
        <f t="shared" si="76"/>
        <v>0.68627450980392157</v>
      </c>
      <c r="AG801" s="13">
        <v>10</v>
      </c>
      <c r="AH801" s="13">
        <v>8</v>
      </c>
      <c r="AI801" s="13">
        <v>14</v>
      </c>
      <c r="BA801" s="16"/>
      <c r="BE801" s="16"/>
      <c r="BJ801" s="16"/>
      <c r="BN801" s="16" t="s">
        <v>2231</v>
      </c>
      <c r="BO801" s="13" t="s">
        <v>2490</v>
      </c>
      <c r="BQ801" s="13">
        <v>-0.23</v>
      </c>
      <c r="BU801" s="13">
        <v>0.1021</v>
      </c>
      <c r="CC801" s="13">
        <v>0.28000000000000003</v>
      </c>
      <c r="CG801" s="13">
        <v>4.24E-2</v>
      </c>
      <c r="CW801" s="13" t="s">
        <v>3614</v>
      </c>
      <c r="CX801" s="13" t="s">
        <v>3615</v>
      </c>
      <c r="CY801" s="13">
        <v>2025</v>
      </c>
      <c r="CZ801" s="13" t="s">
        <v>73</v>
      </c>
      <c r="DA801" s="13" t="s">
        <v>1145</v>
      </c>
      <c r="DB801" s="13">
        <v>18</v>
      </c>
      <c r="DE801" s="13" t="s">
        <v>3283</v>
      </c>
    </row>
    <row r="802" spans="1:109" s="13" customFormat="1" ht="20">
      <c r="A802" s="13" t="s">
        <v>3428</v>
      </c>
      <c r="C802" s="13" t="s">
        <v>3354</v>
      </c>
      <c r="D802" s="14" t="s">
        <v>2039</v>
      </c>
      <c r="E802" s="13" t="s">
        <v>674</v>
      </c>
      <c r="F802" s="13" t="s">
        <v>2720</v>
      </c>
      <c r="H802" s="14" t="s">
        <v>712</v>
      </c>
      <c r="I802" s="14" t="s">
        <v>3990</v>
      </c>
      <c r="J802" s="13" t="s">
        <v>3989</v>
      </c>
      <c r="K802" s="13" t="s">
        <v>3988</v>
      </c>
      <c r="L802" s="13" t="s">
        <v>639</v>
      </c>
      <c r="M802" s="13">
        <v>51</v>
      </c>
      <c r="N802" s="13">
        <v>0</v>
      </c>
      <c r="O802" s="15">
        <v>0</v>
      </c>
      <c r="Q802" s="13">
        <v>59.1</v>
      </c>
      <c r="R802" s="13">
        <v>8.6999999999999993</v>
      </c>
      <c r="V802" s="13">
        <v>27</v>
      </c>
      <c r="W802" s="2">
        <f t="shared" si="75"/>
        <v>0.52941176470588236</v>
      </c>
      <c r="Z802" s="13">
        <v>40</v>
      </c>
      <c r="AA802" s="13">
        <v>36</v>
      </c>
      <c r="AB802" s="13">
        <v>43</v>
      </c>
      <c r="AC802" s="13">
        <v>35</v>
      </c>
      <c r="AD802" s="13">
        <f t="shared" si="76"/>
        <v>0.68627450980392157</v>
      </c>
      <c r="AG802" s="13">
        <v>10</v>
      </c>
      <c r="AH802" s="13">
        <v>8</v>
      </c>
      <c r="AI802" s="13">
        <v>14</v>
      </c>
      <c r="BA802" s="16"/>
      <c r="BE802" s="16"/>
      <c r="BJ802" s="16"/>
      <c r="BN802" s="16" t="s">
        <v>2231</v>
      </c>
      <c r="BO802" s="13" t="s">
        <v>2490</v>
      </c>
      <c r="BQ802" s="13">
        <v>-0.28999999999999998</v>
      </c>
      <c r="BU802" s="13">
        <v>4.1099999999999998E-2</v>
      </c>
      <c r="CC802" s="13">
        <v>0.28000000000000003</v>
      </c>
      <c r="CG802" s="13">
        <v>4.6100000000000002E-2</v>
      </c>
      <c r="CW802" s="13" t="s">
        <v>3614</v>
      </c>
      <c r="CX802" s="13" t="s">
        <v>3615</v>
      </c>
      <c r="CY802" s="13">
        <v>2025</v>
      </c>
      <c r="CZ802" s="13" t="s">
        <v>73</v>
      </c>
      <c r="DA802" s="13" t="s">
        <v>1145</v>
      </c>
      <c r="DB802" s="13">
        <v>18</v>
      </c>
      <c r="DE802" s="13" t="s">
        <v>3283</v>
      </c>
    </row>
    <row r="803" spans="1:109" s="13" customFormat="1" ht="20">
      <c r="A803" s="13" t="s">
        <v>3428</v>
      </c>
      <c r="C803" s="13" t="s">
        <v>3354</v>
      </c>
      <c r="D803" s="14" t="s">
        <v>2039</v>
      </c>
      <c r="E803" s="13" t="s">
        <v>674</v>
      </c>
      <c r="F803" s="13" t="s">
        <v>2724</v>
      </c>
      <c r="H803" s="14" t="s">
        <v>712</v>
      </c>
      <c r="I803" s="14" t="s">
        <v>3990</v>
      </c>
      <c r="J803" s="13" t="s">
        <v>3989</v>
      </c>
      <c r="K803" s="13" t="s">
        <v>3988</v>
      </c>
      <c r="L803" s="13" t="s">
        <v>639</v>
      </c>
      <c r="M803" s="13">
        <v>51</v>
      </c>
      <c r="N803" s="13">
        <v>0</v>
      </c>
      <c r="O803" s="15">
        <v>0</v>
      </c>
      <c r="Q803" s="13">
        <v>59.1</v>
      </c>
      <c r="R803" s="13">
        <v>8.6999999999999993</v>
      </c>
      <c r="V803" s="13">
        <v>27</v>
      </c>
      <c r="W803" s="2">
        <f t="shared" si="75"/>
        <v>0.52941176470588236</v>
      </c>
      <c r="Z803" s="13">
        <v>40</v>
      </c>
      <c r="AA803" s="13">
        <v>36</v>
      </c>
      <c r="AB803" s="13">
        <v>43</v>
      </c>
      <c r="AC803" s="13">
        <v>35</v>
      </c>
      <c r="AD803" s="13">
        <f t="shared" si="76"/>
        <v>0.68627450980392157</v>
      </c>
      <c r="AG803" s="13">
        <v>10</v>
      </c>
      <c r="AH803" s="13">
        <v>8</v>
      </c>
      <c r="AI803" s="13">
        <v>14</v>
      </c>
      <c r="BA803" s="16"/>
      <c r="BE803" s="16"/>
      <c r="BJ803" s="16"/>
      <c r="BN803" s="16" t="s">
        <v>2231</v>
      </c>
      <c r="BO803" s="13" t="s">
        <v>2490</v>
      </c>
      <c r="BQ803" s="13">
        <v>-0.16</v>
      </c>
      <c r="BU803" s="13">
        <v>0.2742</v>
      </c>
      <c r="CC803" s="13">
        <v>0.28000000000000003</v>
      </c>
      <c r="CG803" s="13">
        <v>4.5900000000000003E-2</v>
      </c>
      <c r="CW803" s="13" t="s">
        <v>3614</v>
      </c>
      <c r="CX803" s="13" t="s">
        <v>3615</v>
      </c>
      <c r="CY803" s="13">
        <v>2025</v>
      </c>
      <c r="CZ803" s="13" t="s">
        <v>73</v>
      </c>
      <c r="DA803" s="13" t="s">
        <v>1145</v>
      </c>
      <c r="DB803" s="13">
        <v>18</v>
      </c>
      <c r="DE803" s="13" t="s">
        <v>3283</v>
      </c>
    </row>
    <row r="804" spans="1:109" s="13" customFormat="1" ht="20">
      <c r="A804" s="14" t="s">
        <v>2029</v>
      </c>
      <c r="B804" s="14"/>
      <c r="C804" s="14" t="s">
        <v>2046</v>
      </c>
      <c r="D804" s="14" t="s">
        <v>2039</v>
      </c>
      <c r="E804" s="14" t="s">
        <v>672</v>
      </c>
      <c r="F804" s="14" t="s">
        <v>823</v>
      </c>
      <c r="G804" s="14"/>
      <c r="H804" s="14" t="s">
        <v>712</v>
      </c>
      <c r="I804" s="14" t="s">
        <v>3034</v>
      </c>
      <c r="J804" s="14" t="s">
        <v>585</v>
      </c>
      <c r="K804" s="14"/>
      <c r="L804" s="14" t="s">
        <v>639</v>
      </c>
      <c r="M804" s="14">
        <v>36</v>
      </c>
      <c r="N804" s="14"/>
      <c r="O804" s="34"/>
      <c r="P804" s="14"/>
      <c r="Q804" s="14">
        <v>57.1</v>
      </c>
      <c r="R804" s="14">
        <v>11.1</v>
      </c>
      <c r="S804" s="14"/>
      <c r="T804" s="14"/>
      <c r="U804" s="14"/>
      <c r="V804" s="14">
        <v>27</v>
      </c>
      <c r="W804" s="14">
        <f t="shared" si="75"/>
        <v>0.75</v>
      </c>
      <c r="X804" s="14"/>
      <c r="Y804" s="14"/>
      <c r="Z804" s="14"/>
      <c r="AA804" s="14"/>
      <c r="AB804" s="14"/>
      <c r="AC804" s="14"/>
      <c r="AD804" s="34"/>
      <c r="AE804" s="35">
        <v>14.4</v>
      </c>
      <c r="AF804" s="35">
        <v>12</v>
      </c>
      <c r="AG804" s="35"/>
      <c r="AH804" s="35"/>
      <c r="AI804" s="35"/>
      <c r="AJ804" s="35"/>
      <c r="AK804" s="35"/>
      <c r="AL804" s="35"/>
      <c r="AM804" s="35"/>
      <c r="AN804" s="35"/>
      <c r="AO804" s="35"/>
      <c r="AP804" s="35"/>
      <c r="AQ804" s="35"/>
      <c r="AR804" s="35"/>
      <c r="AS804" s="35"/>
      <c r="AT804" s="35"/>
      <c r="AU804" s="14"/>
      <c r="AV804" s="14"/>
      <c r="AW804" s="14"/>
      <c r="AX804" s="14"/>
      <c r="AY804" s="14"/>
      <c r="AZ804" s="14"/>
      <c r="BA804" s="29"/>
      <c r="BB804" s="14"/>
      <c r="BC804" s="14"/>
      <c r="BD804" s="14"/>
      <c r="BE804" s="29"/>
      <c r="BF804" s="29"/>
      <c r="BG804" s="14"/>
      <c r="BH804" s="14"/>
      <c r="BI804" s="14"/>
      <c r="BJ804" s="29"/>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t="s">
        <v>2052</v>
      </c>
      <c r="CX804" s="14" t="s">
        <v>2117</v>
      </c>
      <c r="CY804" s="14">
        <v>2020</v>
      </c>
      <c r="CZ804" s="36"/>
      <c r="DA804" s="14" t="s">
        <v>154</v>
      </c>
      <c r="DB804" s="14">
        <v>412</v>
      </c>
      <c r="DC804" s="14"/>
      <c r="DD804" s="14"/>
      <c r="DE804" s="14" t="s">
        <v>2118</v>
      </c>
    </row>
    <row r="805" spans="1:109" s="13" customFormat="1" ht="20">
      <c r="A805" s="14" t="s">
        <v>2029</v>
      </c>
      <c r="B805" s="14"/>
      <c r="C805" s="14" t="s">
        <v>2046</v>
      </c>
      <c r="D805" s="14" t="s">
        <v>2039</v>
      </c>
      <c r="E805" s="14" t="s">
        <v>672</v>
      </c>
      <c r="F805" s="14" t="s">
        <v>676</v>
      </c>
      <c r="G805" s="14"/>
      <c r="H805" s="14" t="s">
        <v>712</v>
      </c>
      <c r="I805" s="14" t="s">
        <v>3034</v>
      </c>
      <c r="J805" s="14" t="s">
        <v>585</v>
      </c>
      <c r="K805" s="14"/>
      <c r="L805" s="14" t="s">
        <v>639</v>
      </c>
      <c r="M805" s="14">
        <v>36</v>
      </c>
      <c r="N805" s="14"/>
      <c r="O805" s="34"/>
      <c r="P805" s="14"/>
      <c r="Q805" s="14">
        <v>57.1</v>
      </c>
      <c r="R805" s="14">
        <v>11.1</v>
      </c>
      <c r="S805" s="14"/>
      <c r="T805" s="14"/>
      <c r="U805" s="14"/>
      <c r="V805" s="14">
        <v>27</v>
      </c>
      <c r="W805" s="14">
        <f t="shared" si="75"/>
        <v>0.75</v>
      </c>
      <c r="X805" s="14"/>
      <c r="Y805" s="14"/>
      <c r="Z805" s="14"/>
      <c r="AA805" s="14"/>
      <c r="AB805" s="14"/>
      <c r="AC805" s="14"/>
      <c r="AD805" s="34"/>
      <c r="AE805" s="35">
        <v>14.4</v>
      </c>
      <c r="AF805" s="35">
        <v>12</v>
      </c>
      <c r="AG805" s="35"/>
      <c r="AH805" s="35"/>
      <c r="AI805" s="35"/>
      <c r="AJ805" s="35"/>
      <c r="AK805" s="35"/>
      <c r="AL805" s="35"/>
      <c r="AM805" s="35"/>
      <c r="AN805" s="35"/>
      <c r="AO805" s="35"/>
      <c r="AP805" s="35"/>
      <c r="AQ805" s="35"/>
      <c r="AR805" s="35"/>
      <c r="AS805" s="35"/>
      <c r="AT805" s="35"/>
      <c r="AU805" s="14"/>
      <c r="AV805" s="14"/>
      <c r="AW805" s="14"/>
      <c r="AX805" s="14"/>
      <c r="AY805" s="14"/>
      <c r="AZ805" s="14"/>
      <c r="BA805" s="29"/>
      <c r="BB805" s="14"/>
      <c r="BC805" s="14"/>
      <c r="BD805" s="14"/>
      <c r="BE805" s="29"/>
      <c r="BF805" s="29"/>
      <c r="BG805" s="14"/>
      <c r="BH805" s="14"/>
      <c r="BI805" s="14"/>
      <c r="BJ805" s="29"/>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t="s">
        <v>2052</v>
      </c>
      <c r="CX805" s="14" t="s">
        <v>2117</v>
      </c>
      <c r="CY805" s="14">
        <v>2020</v>
      </c>
      <c r="CZ805" s="36"/>
      <c r="DA805" s="14" t="s">
        <v>154</v>
      </c>
      <c r="DB805" s="14">
        <v>412</v>
      </c>
      <c r="DC805" s="14"/>
      <c r="DD805" s="14"/>
      <c r="DE805" s="14" t="s">
        <v>2118</v>
      </c>
    </row>
    <row r="806" spans="1:109" s="13" customFormat="1" ht="20">
      <c r="A806" s="14" t="s">
        <v>2029</v>
      </c>
      <c r="B806" s="14"/>
      <c r="C806" s="14" t="s">
        <v>2046</v>
      </c>
      <c r="D806" s="14" t="s">
        <v>2039</v>
      </c>
      <c r="E806" s="14" t="s">
        <v>672</v>
      </c>
      <c r="F806" s="14" t="s">
        <v>721</v>
      </c>
      <c r="G806" s="14"/>
      <c r="H806" s="14" t="s">
        <v>712</v>
      </c>
      <c r="I806" s="14" t="s">
        <v>3034</v>
      </c>
      <c r="J806" s="14" t="s">
        <v>585</v>
      </c>
      <c r="K806" s="14" t="s">
        <v>4153</v>
      </c>
      <c r="L806" s="14" t="s">
        <v>639</v>
      </c>
      <c r="M806" s="14">
        <v>36</v>
      </c>
      <c r="N806" s="14"/>
      <c r="O806" s="34"/>
      <c r="P806" s="14"/>
      <c r="Q806" s="14">
        <v>57.1</v>
      </c>
      <c r="R806" s="14">
        <v>11.1</v>
      </c>
      <c r="S806" s="14"/>
      <c r="T806" s="14"/>
      <c r="U806" s="14"/>
      <c r="V806" s="14">
        <v>27</v>
      </c>
      <c r="W806" s="14">
        <f t="shared" si="75"/>
        <v>0.75</v>
      </c>
      <c r="X806" s="14"/>
      <c r="Y806" s="14"/>
      <c r="Z806" s="14"/>
      <c r="AA806" s="14"/>
      <c r="AB806" s="14"/>
      <c r="AC806" s="14"/>
      <c r="AD806" s="34"/>
      <c r="AE806" s="35">
        <v>14.4</v>
      </c>
      <c r="AF806" s="35">
        <v>12</v>
      </c>
      <c r="AG806" s="35"/>
      <c r="AH806" s="35"/>
      <c r="AI806" s="35"/>
      <c r="AJ806" s="35"/>
      <c r="AK806" s="35"/>
      <c r="AL806" s="35"/>
      <c r="AM806" s="35"/>
      <c r="AN806" s="35"/>
      <c r="AO806" s="35"/>
      <c r="AP806" s="35"/>
      <c r="AQ806" s="35"/>
      <c r="AR806" s="35"/>
      <c r="AS806" s="35"/>
      <c r="AT806" s="35"/>
      <c r="AU806" s="14"/>
      <c r="AV806" s="14"/>
      <c r="AW806" s="14"/>
      <c r="AX806" s="14"/>
      <c r="AY806" s="14"/>
      <c r="AZ806" s="14"/>
      <c r="BA806" s="29"/>
      <c r="BB806" s="14"/>
      <c r="BC806" s="14"/>
      <c r="BD806" s="14"/>
      <c r="BE806" s="29"/>
      <c r="BF806" s="29"/>
      <c r="BG806" s="14"/>
      <c r="BH806" s="14"/>
      <c r="BI806" s="14"/>
      <c r="BJ806" s="29"/>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t="s">
        <v>2052</v>
      </c>
      <c r="CX806" s="14" t="s">
        <v>2117</v>
      </c>
      <c r="CY806" s="14">
        <v>2020</v>
      </c>
      <c r="CZ806" s="36"/>
      <c r="DA806" s="14" t="s">
        <v>154</v>
      </c>
      <c r="DB806" s="14">
        <v>412</v>
      </c>
      <c r="DC806" s="14"/>
      <c r="DD806" s="14"/>
      <c r="DE806" s="14" t="s">
        <v>2118</v>
      </c>
    </row>
    <row r="807" spans="1:109" s="13" customFormat="1" ht="20">
      <c r="A807" s="14" t="s">
        <v>2029</v>
      </c>
      <c r="B807" s="14"/>
      <c r="C807" s="14" t="s">
        <v>2046</v>
      </c>
      <c r="D807" s="14" t="s">
        <v>2039</v>
      </c>
      <c r="E807" s="14" t="s">
        <v>672</v>
      </c>
      <c r="F807" s="14" t="s">
        <v>2048</v>
      </c>
      <c r="G807" s="14"/>
      <c r="H807" s="14" t="s">
        <v>712</v>
      </c>
      <c r="I807" s="14" t="s">
        <v>3034</v>
      </c>
      <c r="J807" s="14" t="s">
        <v>585</v>
      </c>
      <c r="K807" s="14"/>
      <c r="L807" s="14"/>
      <c r="M807" s="14">
        <v>36</v>
      </c>
      <c r="N807" s="14"/>
      <c r="O807" s="34"/>
      <c r="P807" s="14"/>
      <c r="Q807" s="14">
        <v>57.1</v>
      </c>
      <c r="R807" s="14">
        <v>11.1</v>
      </c>
      <c r="S807" s="14"/>
      <c r="T807" s="14"/>
      <c r="U807" s="14"/>
      <c r="V807" s="14">
        <v>27</v>
      </c>
      <c r="W807" s="14">
        <f t="shared" si="75"/>
        <v>0.75</v>
      </c>
      <c r="X807" s="14"/>
      <c r="Y807" s="14"/>
      <c r="Z807" s="14"/>
      <c r="AA807" s="14"/>
      <c r="AB807" s="14"/>
      <c r="AC807" s="14"/>
      <c r="AD807" s="34"/>
      <c r="AE807" s="35">
        <v>14.4</v>
      </c>
      <c r="AF807" s="35">
        <v>12</v>
      </c>
      <c r="AG807" s="35"/>
      <c r="AH807" s="35"/>
      <c r="AI807" s="35"/>
      <c r="AJ807" s="35"/>
      <c r="AK807" s="35"/>
      <c r="AL807" s="35"/>
      <c r="AM807" s="35"/>
      <c r="AN807" s="35"/>
      <c r="AO807" s="35"/>
      <c r="AP807" s="35"/>
      <c r="AQ807" s="35"/>
      <c r="AR807" s="35"/>
      <c r="AS807" s="35"/>
      <c r="AT807" s="35"/>
      <c r="AU807" s="14"/>
      <c r="AV807" s="14"/>
      <c r="AW807" s="14"/>
      <c r="AX807" s="14"/>
      <c r="AY807" s="14"/>
      <c r="AZ807" s="14"/>
      <c r="BA807" s="29"/>
      <c r="BB807" s="14"/>
      <c r="BC807" s="14"/>
      <c r="BD807" s="14"/>
      <c r="BE807" s="29"/>
      <c r="BF807" s="29"/>
      <c r="BG807" s="14"/>
      <c r="BH807" s="14"/>
      <c r="BI807" s="14"/>
      <c r="BJ807" s="29"/>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t="s">
        <v>2052</v>
      </c>
      <c r="CX807" s="14" t="s">
        <v>2117</v>
      </c>
      <c r="CY807" s="14">
        <v>2020</v>
      </c>
      <c r="CZ807" s="36"/>
      <c r="DA807" s="14" t="s">
        <v>154</v>
      </c>
      <c r="DB807" s="14">
        <v>412</v>
      </c>
      <c r="DC807" s="14"/>
      <c r="DD807" s="14"/>
      <c r="DE807" s="14" t="s">
        <v>2118</v>
      </c>
    </row>
    <row r="808" spans="1:109" s="13" customFormat="1" ht="20">
      <c r="A808" s="14" t="s">
        <v>2029</v>
      </c>
      <c r="B808" s="14"/>
      <c r="C808" s="14" t="s">
        <v>2046</v>
      </c>
      <c r="D808" s="14" t="s">
        <v>2039</v>
      </c>
      <c r="E808" s="14" t="s">
        <v>672</v>
      </c>
      <c r="F808" s="14" t="s">
        <v>2049</v>
      </c>
      <c r="G808" s="14"/>
      <c r="H808" s="14" t="s">
        <v>712</v>
      </c>
      <c r="I808" s="14" t="s">
        <v>3034</v>
      </c>
      <c r="J808" s="14" t="s">
        <v>585</v>
      </c>
      <c r="K808" s="14" t="s">
        <v>4153</v>
      </c>
      <c r="L808" s="14"/>
      <c r="M808" s="14">
        <v>36</v>
      </c>
      <c r="N808" s="14"/>
      <c r="O808" s="34"/>
      <c r="P808" s="14"/>
      <c r="Q808" s="14">
        <v>57.1</v>
      </c>
      <c r="R808" s="14">
        <v>11.1</v>
      </c>
      <c r="S808" s="14"/>
      <c r="T808" s="14"/>
      <c r="U808" s="14"/>
      <c r="V808" s="14">
        <v>27</v>
      </c>
      <c r="W808" s="14">
        <f t="shared" si="75"/>
        <v>0.75</v>
      </c>
      <c r="X808" s="14"/>
      <c r="Y808" s="14"/>
      <c r="Z808" s="14"/>
      <c r="AA808" s="14"/>
      <c r="AB808" s="14"/>
      <c r="AC808" s="14"/>
      <c r="AD808" s="34"/>
      <c r="AE808" s="35">
        <v>14.4</v>
      </c>
      <c r="AF808" s="35">
        <v>12</v>
      </c>
      <c r="AG808" s="35"/>
      <c r="AH808" s="35"/>
      <c r="AI808" s="35"/>
      <c r="AJ808" s="35"/>
      <c r="AK808" s="35"/>
      <c r="AL808" s="35"/>
      <c r="AM808" s="35"/>
      <c r="AN808" s="35"/>
      <c r="AO808" s="35"/>
      <c r="AP808" s="35"/>
      <c r="AQ808" s="35"/>
      <c r="AR808" s="35"/>
      <c r="AS808" s="35"/>
      <c r="AT808" s="35"/>
      <c r="AU808" s="14"/>
      <c r="AV808" s="14"/>
      <c r="AW808" s="14"/>
      <c r="AX808" s="14"/>
      <c r="AY808" s="14"/>
      <c r="AZ808" s="14"/>
      <c r="BA808" s="29"/>
      <c r="BB808" s="14"/>
      <c r="BC808" s="14"/>
      <c r="BD808" s="14"/>
      <c r="BE808" s="29"/>
      <c r="BF808" s="29"/>
      <c r="BG808" s="14"/>
      <c r="BH808" s="14"/>
      <c r="BI808" s="14"/>
      <c r="BJ808" s="29"/>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t="s">
        <v>2052</v>
      </c>
      <c r="CX808" s="14" t="s">
        <v>2117</v>
      </c>
      <c r="CY808" s="14">
        <v>2020</v>
      </c>
      <c r="CZ808" s="36"/>
      <c r="DA808" s="14" t="s">
        <v>154</v>
      </c>
      <c r="DB808" s="14">
        <v>412</v>
      </c>
      <c r="DC808" s="14"/>
      <c r="DD808" s="14"/>
      <c r="DE808" s="14" t="s">
        <v>2118</v>
      </c>
    </row>
    <row r="809" spans="1:109" s="13" customFormat="1" ht="20">
      <c r="A809" s="14" t="s">
        <v>1943</v>
      </c>
      <c r="B809" s="14"/>
      <c r="C809" s="14" t="s">
        <v>1630</v>
      </c>
      <c r="D809" s="14" t="s">
        <v>2371</v>
      </c>
      <c r="E809" s="14" t="s">
        <v>674</v>
      </c>
      <c r="F809" s="14" t="s">
        <v>675</v>
      </c>
      <c r="G809" s="14"/>
      <c r="H809" s="14" t="s">
        <v>586</v>
      </c>
      <c r="I809" s="14" t="s">
        <v>3044</v>
      </c>
      <c r="J809" s="14" t="s">
        <v>652</v>
      </c>
      <c r="K809" s="14"/>
      <c r="L809" s="14" t="s">
        <v>639</v>
      </c>
      <c r="M809" s="14">
        <v>38</v>
      </c>
      <c r="N809" s="14"/>
      <c r="O809" s="34"/>
      <c r="P809" s="14"/>
      <c r="Q809" s="14"/>
      <c r="R809" s="14"/>
      <c r="S809" s="14">
        <v>66</v>
      </c>
      <c r="T809" s="14">
        <f>S809-11.2/2</f>
        <v>60.4</v>
      </c>
      <c r="U809" s="14">
        <f>T809+11.2</f>
        <v>71.599999999999994</v>
      </c>
      <c r="V809" s="14"/>
      <c r="W809" s="14">
        <v>0.5</v>
      </c>
      <c r="X809" s="14">
        <v>35.6</v>
      </c>
      <c r="Y809" s="14">
        <v>9.1</v>
      </c>
      <c r="Z809" s="14"/>
      <c r="AA809" s="14"/>
      <c r="AB809" s="14"/>
      <c r="AC809" s="14"/>
      <c r="AD809" s="34">
        <v>0.55200000000000005</v>
      </c>
      <c r="AE809" s="35">
        <v>16.5</v>
      </c>
      <c r="AF809" s="35">
        <v>14.8</v>
      </c>
      <c r="AG809" s="35"/>
      <c r="AH809" s="35"/>
      <c r="AI809" s="35"/>
      <c r="AJ809" s="35"/>
      <c r="AK809" s="35"/>
      <c r="AL809" s="35"/>
      <c r="AM809" s="35"/>
      <c r="AN809" s="35"/>
      <c r="AO809" s="35"/>
      <c r="AP809" s="35"/>
      <c r="AQ809" s="35">
        <v>15.1</v>
      </c>
      <c r="AR809" s="35">
        <f>AQ809-12.2/2</f>
        <v>9</v>
      </c>
      <c r="AS809" s="35">
        <f>AR809+12.2</f>
        <v>21.2</v>
      </c>
      <c r="AT809" s="35"/>
      <c r="AU809" s="14" t="s">
        <v>2799</v>
      </c>
      <c r="AV809" s="14" t="s">
        <v>2490</v>
      </c>
      <c r="AW809" s="14"/>
      <c r="AX809" s="14"/>
      <c r="AY809" s="14"/>
      <c r="AZ809" s="14"/>
      <c r="BA809" s="29"/>
      <c r="BB809" s="14"/>
      <c r="BC809" s="14"/>
      <c r="BD809" s="14"/>
      <c r="BE809" s="29" t="s">
        <v>3039</v>
      </c>
      <c r="BF809" s="29"/>
      <c r="BG809" s="14">
        <v>1.0009999999999999</v>
      </c>
      <c r="BH809" s="14">
        <v>1.0002</v>
      </c>
      <c r="BI809" s="14">
        <v>1.0003</v>
      </c>
      <c r="BJ809" s="29"/>
      <c r="BK809" s="14"/>
      <c r="BL809" s="14"/>
      <c r="BM809" s="14"/>
      <c r="BN809" s="14" t="s">
        <v>2231</v>
      </c>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t="s">
        <v>3050</v>
      </c>
      <c r="CK809" s="14"/>
      <c r="CL809" s="14"/>
      <c r="CM809" s="14"/>
      <c r="CN809" s="14"/>
      <c r="CO809" s="14"/>
      <c r="CP809" s="14"/>
      <c r="CQ809" s="14"/>
      <c r="CR809" s="14"/>
      <c r="CS809" s="14"/>
      <c r="CT809" s="14"/>
      <c r="CU809" s="14"/>
      <c r="CV809" s="14" t="s">
        <v>3037</v>
      </c>
      <c r="CW809" s="14" t="s">
        <v>1627</v>
      </c>
      <c r="CX809" s="14" t="s">
        <v>1628</v>
      </c>
      <c r="CY809" s="14">
        <v>2022</v>
      </c>
      <c r="CZ809" s="36">
        <v>45372</v>
      </c>
      <c r="DA809" s="14" t="s">
        <v>316</v>
      </c>
      <c r="DB809" s="14">
        <v>23</v>
      </c>
      <c r="DC809" s="14">
        <v>6</v>
      </c>
      <c r="DD809" s="14"/>
      <c r="DE809" s="14" t="s">
        <v>1629</v>
      </c>
    </row>
    <row r="810" spans="1:109" s="13" customFormat="1" ht="20">
      <c r="A810" s="14" t="s">
        <v>1943</v>
      </c>
      <c r="B810" s="14"/>
      <c r="C810" s="14" t="s">
        <v>1630</v>
      </c>
      <c r="D810" s="14" t="s">
        <v>2371</v>
      </c>
      <c r="E810" s="14" t="s">
        <v>674</v>
      </c>
      <c r="F810" s="14" t="s">
        <v>3036</v>
      </c>
      <c r="G810" s="14"/>
      <c r="H810" s="14" t="s">
        <v>586</v>
      </c>
      <c r="I810" s="14" t="s">
        <v>3044</v>
      </c>
      <c r="J810" s="14" t="s">
        <v>585</v>
      </c>
      <c r="K810" s="14" t="s">
        <v>3038</v>
      </c>
      <c r="L810" s="14" t="s">
        <v>641</v>
      </c>
      <c r="M810" s="14">
        <v>38</v>
      </c>
      <c r="N810" s="14"/>
      <c r="O810" s="34"/>
      <c r="P810" s="14"/>
      <c r="Q810" s="14"/>
      <c r="R810" s="14"/>
      <c r="S810" s="14">
        <v>66</v>
      </c>
      <c r="T810" s="14">
        <f>S810-11.2/2</f>
        <v>60.4</v>
      </c>
      <c r="U810" s="14">
        <f>T810+11.2</f>
        <v>71.599999999999994</v>
      </c>
      <c r="V810" s="14"/>
      <c r="W810" s="14">
        <v>0.5</v>
      </c>
      <c r="X810" s="14">
        <v>35.6</v>
      </c>
      <c r="Y810" s="14">
        <v>9.1</v>
      </c>
      <c r="Z810" s="14"/>
      <c r="AA810" s="14"/>
      <c r="AB810" s="14"/>
      <c r="AC810" s="14"/>
      <c r="AD810" s="34">
        <v>0.55200000000000005</v>
      </c>
      <c r="AE810" s="35">
        <v>16.5</v>
      </c>
      <c r="AF810" s="35">
        <v>14.8</v>
      </c>
      <c r="AG810" s="35"/>
      <c r="AH810" s="35"/>
      <c r="AI810" s="35"/>
      <c r="AJ810" s="35"/>
      <c r="AK810" s="35"/>
      <c r="AL810" s="35"/>
      <c r="AM810" s="35"/>
      <c r="AN810" s="35"/>
      <c r="AO810" s="35"/>
      <c r="AP810" s="35"/>
      <c r="AQ810" s="35">
        <v>15.1</v>
      </c>
      <c r="AR810" s="35">
        <f>AQ810-12.2/2</f>
        <v>9</v>
      </c>
      <c r="AS810" s="35">
        <f>AR810+12.2</f>
        <v>21.2</v>
      </c>
      <c r="AT810" s="35"/>
      <c r="AU810" s="14" t="s">
        <v>2799</v>
      </c>
      <c r="AV810" s="14" t="s">
        <v>2490</v>
      </c>
      <c r="AW810" s="14"/>
      <c r="AX810" s="14"/>
      <c r="AY810" s="14"/>
      <c r="AZ810" s="14"/>
      <c r="BA810" s="29"/>
      <c r="BB810" s="14"/>
      <c r="BC810" s="14"/>
      <c r="BD810" s="14"/>
      <c r="BE810" s="29"/>
      <c r="BF810" s="29"/>
      <c r="BG810" s="14"/>
      <c r="BH810" s="14"/>
      <c r="BI810" s="14"/>
      <c r="BJ810" s="29"/>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t="s">
        <v>3050</v>
      </c>
      <c r="CK810" s="14"/>
      <c r="CL810" s="14"/>
      <c r="CM810" s="14"/>
      <c r="CN810" s="14"/>
      <c r="CO810" s="14"/>
      <c r="CP810" s="14"/>
      <c r="CQ810" s="14"/>
      <c r="CR810" s="14"/>
      <c r="CS810" s="14"/>
      <c r="CT810" s="14"/>
      <c r="CU810" s="14"/>
      <c r="CV810" s="14" t="s">
        <v>3037</v>
      </c>
      <c r="CW810" s="14" t="s">
        <v>1627</v>
      </c>
      <c r="CX810" s="14" t="s">
        <v>1628</v>
      </c>
      <c r="CY810" s="14">
        <v>2022</v>
      </c>
      <c r="CZ810" s="36">
        <v>45372</v>
      </c>
      <c r="DA810" s="14" t="s">
        <v>316</v>
      </c>
      <c r="DB810" s="14">
        <v>23</v>
      </c>
      <c r="DC810" s="14">
        <v>6</v>
      </c>
      <c r="DD810" s="14"/>
      <c r="DE810" s="14" t="s">
        <v>1629</v>
      </c>
    </row>
    <row r="811" spans="1:109" s="13" customFormat="1" ht="20">
      <c r="A811" s="14" t="s">
        <v>1943</v>
      </c>
      <c r="B811" s="14"/>
      <c r="C811" s="14" t="s">
        <v>1630</v>
      </c>
      <c r="D811" s="14" t="s">
        <v>2371</v>
      </c>
      <c r="E811" s="14" t="s">
        <v>702</v>
      </c>
      <c r="F811" s="14" t="s">
        <v>3040</v>
      </c>
      <c r="G811" s="14"/>
      <c r="H811" s="14" t="s">
        <v>586</v>
      </c>
      <c r="I811" s="14" t="s">
        <v>3044</v>
      </c>
      <c r="J811" s="14" t="s">
        <v>2362</v>
      </c>
      <c r="K811" s="14"/>
      <c r="L811" s="14"/>
      <c r="M811" s="14">
        <v>38</v>
      </c>
      <c r="N811" s="14"/>
      <c r="O811" s="34"/>
      <c r="P811" s="14"/>
      <c r="Q811" s="14"/>
      <c r="R811" s="14"/>
      <c r="S811" s="14">
        <v>66</v>
      </c>
      <c r="T811" s="14">
        <f>S811-11.2/2</f>
        <v>60.4</v>
      </c>
      <c r="U811" s="14">
        <f>T811+11.2</f>
        <v>71.599999999999994</v>
      </c>
      <c r="V811" s="14"/>
      <c r="W811" s="14">
        <v>0.5</v>
      </c>
      <c r="X811" s="14">
        <v>35.6</v>
      </c>
      <c r="Y811" s="14">
        <v>9.1</v>
      </c>
      <c r="Z811" s="14"/>
      <c r="AA811" s="14"/>
      <c r="AB811" s="14"/>
      <c r="AC811" s="14"/>
      <c r="AD811" s="34">
        <v>0.55200000000000005</v>
      </c>
      <c r="AE811" s="35">
        <v>16.5</v>
      </c>
      <c r="AF811" s="35">
        <v>14.8</v>
      </c>
      <c r="AG811" s="35"/>
      <c r="AH811" s="35"/>
      <c r="AI811" s="35"/>
      <c r="AJ811" s="35"/>
      <c r="AK811" s="35"/>
      <c r="AL811" s="35"/>
      <c r="AM811" s="35"/>
      <c r="AN811" s="35"/>
      <c r="AO811" s="35"/>
      <c r="AP811" s="35"/>
      <c r="AQ811" s="35">
        <v>15.1</v>
      </c>
      <c r="AR811" s="35">
        <f>AQ811-12.2/2</f>
        <v>9</v>
      </c>
      <c r="AS811" s="35">
        <f>AR811+12.2</f>
        <v>21.2</v>
      </c>
      <c r="AT811" s="35"/>
      <c r="AU811" s="14" t="s">
        <v>2799</v>
      </c>
      <c r="AV811" s="14" t="s">
        <v>2490</v>
      </c>
      <c r="AW811" s="14"/>
      <c r="AX811" s="14"/>
      <c r="AY811" s="14"/>
      <c r="AZ811" s="14"/>
      <c r="BA811" s="29"/>
      <c r="BB811" s="14"/>
      <c r="BC811" s="14"/>
      <c r="BD811" s="14"/>
      <c r="BE811" s="29" t="s">
        <v>3041</v>
      </c>
      <c r="BF811" s="29"/>
      <c r="BG811" s="14">
        <v>1.05</v>
      </c>
      <c r="BH811" s="14">
        <v>1.01</v>
      </c>
      <c r="BI811" s="14">
        <v>1.1100000000000001</v>
      </c>
      <c r="BJ811" s="29"/>
      <c r="BK811" s="14"/>
      <c r="BL811" s="14"/>
      <c r="BM811" s="14"/>
      <c r="BN811" s="14" t="s">
        <v>2380</v>
      </c>
      <c r="BO811" s="14"/>
      <c r="BP811" s="14"/>
      <c r="BQ811" s="14">
        <v>0.432</v>
      </c>
      <c r="BR811" s="14"/>
      <c r="BS811" s="14"/>
      <c r="BT811" s="14"/>
      <c r="BU811" s="14">
        <v>6.4999999999999997E-3</v>
      </c>
      <c r="BV811" s="14"/>
      <c r="BW811" s="14"/>
      <c r="BX811" s="14"/>
      <c r="BY811" s="14"/>
      <c r="BZ811" s="14"/>
      <c r="CA811" s="14"/>
      <c r="CB811" s="14"/>
      <c r="CC811" s="14">
        <v>-8.7400000000000005E-2</v>
      </c>
      <c r="CD811" s="14"/>
      <c r="CE811" s="14"/>
      <c r="CF811" s="14"/>
      <c r="CG811" s="14">
        <v>0.60160000000000002</v>
      </c>
      <c r="CH811" s="14"/>
      <c r="CI811" s="14"/>
      <c r="CJ811" s="14" t="s">
        <v>3050</v>
      </c>
      <c r="CK811" s="14">
        <v>0.38190000000000002</v>
      </c>
      <c r="CL811" s="14"/>
      <c r="CM811" s="14"/>
      <c r="CN811" s="14">
        <v>1.7999999999999999E-2</v>
      </c>
      <c r="CO811" s="14"/>
      <c r="CP811" s="14"/>
      <c r="CQ811" s="14"/>
      <c r="CR811" s="14"/>
      <c r="CS811" s="14"/>
      <c r="CT811" s="14"/>
      <c r="CU811" s="14"/>
      <c r="CV811" s="14" t="s">
        <v>3037</v>
      </c>
      <c r="CW811" s="14" t="s">
        <v>1627</v>
      </c>
      <c r="CX811" s="14" t="s">
        <v>1628</v>
      </c>
      <c r="CY811" s="14">
        <v>2022</v>
      </c>
      <c r="CZ811" s="36">
        <v>45372</v>
      </c>
      <c r="DA811" s="14" t="s">
        <v>316</v>
      </c>
      <c r="DB811" s="14">
        <v>23</v>
      </c>
      <c r="DC811" s="14">
        <v>6</v>
      </c>
      <c r="DD811" s="14"/>
      <c r="DE811" s="14" t="s">
        <v>1629</v>
      </c>
    </row>
    <row r="812" spans="1:109" s="13" customFormat="1" ht="20">
      <c r="A812" s="14" t="s">
        <v>1944</v>
      </c>
      <c r="B812" s="14"/>
      <c r="C812" s="14" t="s">
        <v>1634</v>
      </c>
      <c r="D812" s="14" t="s">
        <v>818</v>
      </c>
      <c r="E812" s="14" t="s">
        <v>674</v>
      </c>
      <c r="F812" s="14" t="s">
        <v>675</v>
      </c>
      <c r="G812" s="14"/>
      <c r="H812" s="14" t="s">
        <v>586</v>
      </c>
      <c r="I812" s="14" t="s">
        <v>3045</v>
      </c>
      <c r="J812" s="14" t="s">
        <v>2362</v>
      </c>
      <c r="K812" s="14" t="s">
        <v>3046</v>
      </c>
      <c r="L812" s="14"/>
      <c r="M812" s="14">
        <v>61</v>
      </c>
      <c r="N812" s="14"/>
      <c r="O812" s="34"/>
      <c r="P812" s="14">
        <v>3</v>
      </c>
      <c r="Q812" s="14"/>
      <c r="R812" s="14"/>
      <c r="S812" s="14"/>
      <c r="T812" s="14"/>
      <c r="U812" s="14"/>
      <c r="V812" s="14"/>
      <c r="W812" s="14"/>
      <c r="X812" s="14"/>
      <c r="Y812" s="14"/>
      <c r="Z812" s="14"/>
      <c r="AA812" s="14"/>
      <c r="AB812" s="14"/>
      <c r="AC812" s="14"/>
      <c r="AD812" s="34"/>
      <c r="AE812" s="35"/>
      <c r="AF812" s="35"/>
      <c r="AG812" s="35"/>
      <c r="AH812" s="35"/>
      <c r="AI812" s="35"/>
      <c r="AJ812" s="35"/>
      <c r="AK812" s="35"/>
      <c r="AL812" s="35"/>
      <c r="AM812" s="35"/>
      <c r="AN812" s="35"/>
      <c r="AO812" s="35"/>
      <c r="AP812" s="35"/>
      <c r="AQ812" s="35"/>
      <c r="AR812" s="35"/>
      <c r="AS812" s="35"/>
      <c r="AT812" s="35"/>
      <c r="AU812" s="14" t="s">
        <v>2799</v>
      </c>
      <c r="AV812" s="14"/>
      <c r="AW812" s="14"/>
      <c r="AX812" s="14"/>
      <c r="AY812" s="14"/>
      <c r="AZ812" s="14"/>
      <c r="BA812" s="29"/>
      <c r="BB812" s="14"/>
      <c r="BC812" s="14"/>
      <c r="BD812" s="14"/>
      <c r="BE812" s="29" t="s">
        <v>3054</v>
      </c>
      <c r="BF812" s="29"/>
      <c r="BG812" s="14">
        <v>0.999</v>
      </c>
      <c r="BH812" s="14">
        <v>0.997</v>
      </c>
      <c r="BI812" s="14">
        <v>1.002</v>
      </c>
      <c r="BJ812" s="29"/>
      <c r="BK812" s="14"/>
      <c r="BL812" s="14"/>
      <c r="BM812" s="14"/>
      <c r="BN812" s="14" t="s">
        <v>2553</v>
      </c>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t="s">
        <v>3050</v>
      </c>
      <c r="CK812" s="14"/>
      <c r="CL812" s="14"/>
      <c r="CM812" s="14"/>
      <c r="CN812" s="14"/>
      <c r="CO812" s="14"/>
      <c r="CP812" s="14"/>
      <c r="CQ812" s="14"/>
      <c r="CR812" s="14"/>
      <c r="CS812" s="14"/>
      <c r="CT812" s="14"/>
      <c r="CU812" s="14"/>
      <c r="CV812" s="14"/>
      <c r="CW812" s="14" t="s">
        <v>1631</v>
      </c>
      <c r="CX812" s="14" t="s">
        <v>1632</v>
      </c>
      <c r="CY812" s="14">
        <v>2023</v>
      </c>
      <c r="CZ812" s="36" t="s">
        <v>73</v>
      </c>
      <c r="DA812" s="14" t="s">
        <v>141</v>
      </c>
      <c r="DB812" s="14">
        <v>10</v>
      </c>
      <c r="DC812" s="14">
        <v>1</v>
      </c>
      <c r="DD812" s="14"/>
      <c r="DE812" s="14" t="s">
        <v>1633</v>
      </c>
    </row>
    <row r="813" spans="1:109" s="13" customFormat="1" ht="20">
      <c r="A813" s="14" t="s">
        <v>1944</v>
      </c>
      <c r="B813" s="14"/>
      <c r="C813" s="14" t="s">
        <v>3047</v>
      </c>
      <c r="D813" s="14" t="s">
        <v>818</v>
      </c>
      <c r="E813" s="14" t="s">
        <v>702</v>
      </c>
      <c r="F813" s="14" t="s">
        <v>3052</v>
      </c>
      <c r="G813" s="14"/>
      <c r="H813" s="14" t="s">
        <v>586</v>
      </c>
      <c r="I813" s="14" t="s">
        <v>3045</v>
      </c>
      <c r="J813" s="14" t="s">
        <v>3051</v>
      </c>
      <c r="K813" s="14" t="s">
        <v>3046</v>
      </c>
      <c r="L813" s="14"/>
      <c r="M813" s="14">
        <v>21</v>
      </c>
      <c r="N813" s="14"/>
      <c r="O813" s="34"/>
      <c r="P813" s="14">
        <v>1</v>
      </c>
      <c r="Q813" s="14">
        <v>63</v>
      </c>
      <c r="R813" s="14">
        <v>12.8</v>
      </c>
      <c r="S813" s="14"/>
      <c r="T813" s="14"/>
      <c r="U813" s="14"/>
      <c r="V813" s="14"/>
      <c r="W813" s="14">
        <v>0.71499999999999997</v>
      </c>
      <c r="X813" s="14">
        <v>36</v>
      </c>
      <c r="Y813" s="14">
        <v>10.1</v>
      </c>
      <c r="Z813" s="14"/>
      <c r="AA813" s="14"/>
      <c r="AB813" s="14"/>
      <c r="AC813" s="14"/>
      <c r="AD813" s="34">
        <f>1-0.381</f>
        <v>0.61899999999999999</v>
      </c>
      <c r="AE813" s="35">
        <v>14.1</v>
      </c>
      <c r="AF813" s="35">
        <v>9.5</v>
      </c>
      <c r="AG813" s="35"/>
      <c r="AH813" s="35"/>
      <c r="AI813" s="35"/>
      <c r="AJ813" s="35"/>
      <c r="AK813" s="35"/>
      <c r="AL813" s="35">
        <v>35.4</v>
      </c>
      <c r="AM813" s="35">
        <f>AL813-15.1/2</f>
        <v>27.849999999999998</v>
      </c>
      <c r="AN813" s="35">
        <f>AM813+15.1</f>
        <v>42.949999999999996</v>
      </c>
      <c r="AO813" s="35"/>
      <c r="AP813" s="35"/>
      <c r="AQ813" s="35">
        <v>14.1</v>
      </c>
      <c r="AR813" s="35">
        <f>AQ813-7.5/2</f>
        <v>10.35</v>
      </c>
      <c r="AS813" s="35">
        <f>AR813+7.5/2</f>
        <v>14.1</v>
      </c>
      <c r="AT813" s="35"/>
      <c r="AU813" s="14" t="s">
        <v>2799</v>
      </c>
      <c r="AV813" s="14"/>
      <c r="AW813" s="14"/>
      <c r="AX813" s="14"/>
      <c r="AY813" s="14"/>
      <c r="AZ813" s="14"/>
      <c r="BA813" s="29"/>
      <c r="BB813" s="14"/>
      <c r="BC813" s="14"/>
      <c r="BD813" s="14"/>
      <c r="BE813" s="29" t="s">
        <v>3054</v>
      </c>
      <c r="BF813" s="29"/>
      <c r="BG813" s="14"/>
      <c r="BH813" s="14"/>
      <c r="BI813" s="14"/>
      <c r="BJ813" s="29"/>
      <c r="BK813" s="14"/>
      <c r="BL813" s="14"/>
      <c r="BM813" s="14"/>
      <c r="BN813" s="14" t="s">
        <v>2553</v>
      </c>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t="s">
        <v>3050</v>
      </c>
      <c r="CK813" s="14"/>
      <c r="CL813" s="14"/>
      <c r="CM813" s="14"/>
      <c r="CN813" s="14"/>
      <c r="CO813" s="14"/>
      <c r="CP813" s="14"/>
      <c r="CQ813" s="14"/>
      <c r="CR813" s="14"/>
      <c r="CS813" s="14"/>
      <c r="CT813" s="14"/>
      <c r="CU813" s="14"/>
      <c r="CV813" s="14"/>
      <c r="CW813" s="14" t="s">
        <v>1631</v>
      </c>
      <c r="CX813" s="14" t="s">
        <v>1632</v>
      </c>
      <c r="CY813" s="14">
        <v>2023</v>
      </c>
      <c r="CZ813" s="36" t="s">
        <v>73</v>
      </c>
      <c r="DA813" s="14" t="s">
        <v>141</v>
      </c>
      <c r="DB813" s="14">
        <v>10</v>
      </c>
      <c r="DC813" s="14">
        <v>1</v>
      </c>
      <c r="DD813" s="14"/>
      <c r="DE813" s="14" t="s">
        <v>1633</v>
      </c>
    </row>
    <row r="814" spans="1:109" s="13" customFormat="1" ht="20">
      <c r="A814" s="14" t="s">
        <v>1944</v>
      </c>
      <c r="B814" s="14"/>
      <c r="C814" s="14" t="s">
        <v>3047</v>
      </c>
      <c r="D814" s="14" t="s">
        <v>818</v>
      </c>
      <c r="E814" s="14" t="s">
        <v>702</v>
      </c>
      <c r="F814" s="14" t="s">
        <v>3058</v>
      </c>
      <c r="G814" s="14"/>
      <c r="H814" s="14" t="s">
        <v>586</v>
      </c>
      <c r="I814" s="14" t="s">
        <v>3045</v>
      </c>
      <c r="J814" s="14" t="s">
        <v>3051</v>
      </c>
      <c r="K814" s="14" t="s">
        <v>3046</v>
      </c>
      <c r="L814" s="14"/>
      <c r="M814" s="14">
        <v>21</v>
      </c>
      <c r="N814" s="14"/>
      <c r="O814" s="34"/>
      <c r="P814" s="14">
        <v>1</v>
      </c>
      <c r="Q814" s="14">
        <v>63</v>
      </c>
      <c r="R814" s="14">
        <v>12.8</v>
      </c>
      <c r="S814" s="14"/>
      <c r="T814" s="14"/>
      <c r="U814" s="14"/>
      <c r="V814" s="14"/>
      <c r="W814" s="14">
        <v>0.71499999999999997</v>
      </c>
      <c r="X814" s="14">
        <v>36</v>
      </c>
      <c r="Y814" s="14">
        <v>10.1</v>
      </c>
      <c r="Z814" s="14"/>
      <c r="AA814" s="14"/>
      <c r="AB814" s="14"/>
      <c r="AC814" s="14"/>
      <c r="AD814" s="34">
        <f>1-0.381</f>
        <v>0.61899999999999999</v>
      </c>
      <c r="AE814" s="35">
        <v>14.1</v>
      </c>
      <c r="AF814" s="35">
        <v>9.5</v>
      </c>
      <c r="AG814" s="35"/>
      <c r="AH814" s="35"/>
      <c r="AI814" s="35"/>
      <c r="AJ814" s="35"/>
      <c r="AK814" s="35"/>
      <c r="AL814" s="35">
        <v>35.4</v>
      </c>
      <c r="AM814" s="35">
        <f>AL814-15.1/2</f>
        <v>27.849999999999998</v>
      </c>
      <c r="AN814" s="35">
        <f>AM814+15.1</f>
        <v>42.949999999999996</v>
      </c>
      <c r="AO814" s="35"/>
      <c r="AP814" s="35"/>
      <c r="AQ814" s="35">
        <v>14.1</v>
      </c>
      <c r="AR814" s="35">
        <f>AQ814-7.5/2</f>
        <v>10.35</v>
      </c>
      <c r="AS814" s="35">
        <f>AR814+7.5/2</f>
        <v>14.1</v>
      </c>
      <c r="AT814" s="35"/>
      <c r="AU814" s="14" t="s">
        <v>2799</v>
      </c>
      <c r="AV814" s="14"/>
      <c r="AW814" s="14"/>
      <c r="AX814" s="14"/>
      <c r="AY814" s="14"/>
      <c r="AZ814" s="14"/>
      <c r="BA814" s="29"/>
      <c r="BB814" s="14"/>
      <c r="BC814" s="14"/>
      <c r="BD814" s="14"/>
      <c r="BE814" s="29" t="s">
        <v>3054</v>
      </c>
      <c r="BF814" s="29"/>
      <c r="BG814" s="14"/>
      <c r="BH814" s="14"/>
      <c r="BI814" s="14"/>
      <c r="BJ814" s="29"/>
      <c r="BK814" s="14"/>
      <c r="BL814" s="14"/>
      <c r="BM814" s="14"/>
      <c r="BN814" s="14" t="s">
        <v>2553</v>
      </c>
      <c r="BO814" s="14"/>
      <c r="BP814" s="14"/>
      <c r="BQ814" s="14"/>
      <c r="BR814" s="14"/>
      <c r="BS814" s="14"/>
      <c r="BT814" s="14"/>
      <c r="BU814" s="14"/>
      <c r="BV814" s="14"/>
      <c r="BW814" s="14"/>
      <c r="BX814" s="14"/>
      <c r="BY814" s="14"/>
      <c r="BZ814" s="14"/>
      <c r="CA814" s="14"/>
      <c r="CB814" s="14"/>
      <c r="CC814" s="14">
        <v>-0.72</v>
      </c>
      <c r="CD814" s="14"/>
      <c r="CE814" s="14"/>
      <c r="CF814" s="14"/>
      <c r="CG814" s="14" t="s">
        <v>760</v>
      </c>
      <c r="CH814" s="14"/>
      <c r="CI814" s="14"/>
      <c r="CJ814" s="14" t="s">
        <v>3050</v>
      </c>
      <c r="CK814" s="14"/>
      <c r="CL814" s="14"/>
      <c r="CM814" s="14"/>
      <c r="CN814" s="14"/>
      <c r="CO814" s="14"/>
      <c r="CP814" s="14"/>
      <c r="CQ814" s="14"/>
      <c r="CR814" s="14"/>
      <c r="CS814" s="14"/>
      <c r="CT814" s="14"/>
      <c r="CU814" s="14"/>
      <c r="CV814" s="14"/>
      <c r="CW814" s="14" t="s">
        <v>1631</v>
      </c>
      <c r="CX814" s="14" t="s">
        <v>1632</v>
      </c>
      <c r="CY814" s="14">
        <v>2023</v>
      </c>
      <c r="CZ814" s="36" t="s">
        <v>73</v>
      </c>
      <c r="DA814" s="14" t="s">
        <v>141</v>
      </c>
      <c r="DB814" s="14">
        <v>10</v>
      </c>
      <c r="DC814" s="14">
        <v>1</v>
      </c>
      <c r="DD814" s="14"/>
      <c r="DE814" s="14" t="s">
        <v>1633</v>
      </c>
    </row>
    <row r="815" spans="1:109" s="13" customFormat="1" ht="20">
      <c r="A815" s="14" t="s">
        <v>1944</v>
      </c>
      <c r="B815" s="14"/>
      <c r="C815" s="14" t="s">
        <v>3049</v>
      </c>
      <c r="D815" s="14" t="s">
        <v>818</v>
      </c>
      <c r="E815" s="14" t="s">
        <v>702</v>
      </c>
      <c r="F815" s="14" t="s">
        <v>3053</v>
      </c>
      <c r="G815" s="14"/>
      <c r="H815" s="14" t="s">
        <v>586</v>
      </c>
      <c r="I815" s="14" t="s">
        <v>3045</v>
      </c>
      <c r="J815" s="14" t="s">
        <v>2362</v>
      </c>
      <c r="K815" s="14" t="s">
        <v>3046</v>
      </c>
      <c r="L815" s="14"/>
      <c r="M815" s="14">
        <v>31</v>
      </c>
      <c r="N815" s="14"/>
      <c r="O815" s="34"/>
      <c r="P815" s="14">
        <v>1</v>
      </c>
      <c r="Q815" s="14">
        <v>64.7</v>
      </c>
      <c r="R815" s="14">
        <v>8.6999999999999993</v>
      </c>
      <c r="S815" s="14"/>
      <c r="T815" s="14"/>
      <c r="U815" s="14"/>
      <c r="V815" s="14"/>
      <c r="W815" s="14">
        <v>0.51600000000000001</v>
      </c>
      <c r="X815" s="14">
        <v>36.6</v>
      </c>
      <c r="Y815" s="14">
        <v>9.3000000000000007</v>
      </c>
      <c r="Z815" s="14"/>
      <c r="AA815" s="14"/>
      <c r="AB815" s="14"/>
      <c r="AC815" s="14"/>
      <c r="AD815" s="34">
        <f>1-0.516</f>
        <v>0.48399999999999999</v>
      </c>
      <c r="AE815" s="35">
        <v>15.8</v>
      </c>
      <c r="AF815" s="35">
        <v>11.8</v>
      </c>
      <c r="AG815" s="35"/>
      <c r="AH815" s="35"/>
      <c r="AI815" s="35"/>
      <c r="AJ815" s="35"/>
      <c r="AK815" s="35"/>
      <c r="AL815" s="35">
        <v>31.2</v>
      </c>
      <c r="AM815" s="35">
        <f>AL815-17.2/2</f>
        <v>22.6</v>
      </c>
      <c r="AN815" s="35">
        <f>AM815+17.2</f>
        <v>39.799999999999997</v>
      </c>
      <c r="AO815" s="35"/>
      <c r="AP815" s="35"/>
      <c r="AQ815" s="35">
        <v>15.7</v>
      </c>
      <c r="AR815" s="35">
        <f>AQ815-12.8/2</f>
        <v>9.2999999999999989</v>
      </c>
      <c r="AS815" s="35">
        <f>AR815+12.8</f>
        <v>22.1</v>
      </c>
      <c r="AT815" s="35"/>
      <c r="AU815" s="14" t="s">
        <v>2799</v>
      </c>
      <c r="AV815" s="14"/>
      <c r="AW815" s="14"/>
      <c r="AX815" s="14"/>
      <c r="AY815" s="14"/>
      <c r="AZ815" s="14"/>
      <c r="BA815" s="29"/>
      <c r="BB815" s="14"/>
      <c r="BC815" s="14"/>
      <c r="BD815" s="14"/>
      <c r="BE815" s="29" t="s">
        <v>3054</v>
      </c>
      <c r="BF815" s="29"/>
      <c r="BG815" s="14"/>
      <c r="BH815" s="14"/>
      <c r="BI815" s="14"/>
      <c r="BJ815" s="29"/>
      <c r="BK815" s="14"/>
      <c r="BL815" s="14"/>
      <c r="BM815" s="14"/>
      <c r="BN815" s="14" t="s">
        <v>2553</v>
      </c>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t="s">
        <v>3050</v>
      </c>
      <c r="CK815" s="14"/>
      <c r="CL815" s="14"/>
      <c r="CM815" s="14"/>
      <c r="CN815" s="14"/>
      <c r="CO815" s="14"/>
      <c r="CP815" s="14"/>
      <c r="CQ815" s="14"/>
      <c r="CR815" s="14"/>
      <c r="CS815" s="14"/>
      <c r="CT815" s="14"/>
      <c r="CU815" s="14"/>
      <c r="CV815" s="14"/>
      <c r="CW815" s="14" t="s">
        <v>1631</v>
      </c>
      <c r="CX815" s="14" t="s">
        <v>1632</v>
      </c>
      <c r="CY815" s="14">
        <v>2023</v>
      </c>
      <c r="CZ815" s="36" t="s">
        <v>73</v>
      </c>
      <c r="DA815" s="14" t="s">
        <v>141</v>
      </c>
      <c r="DB815" s="14">
        <v>10</v>
      </c>
      <c r="DC815" s="14">
        <v>1</v>
      </c>
      <c r="DD815" s="14"/>
      <c r="DE815" s="14" t="s">
        <v>1633</v>
      </c>
    </row>
    <row r="816" spans="1:109" s="13" customFormat="1" ht="20">
      <c r="A816" s="14" t="s">
        <v>1944</v>
      </c>
      <c r="B816" s="14"/>
      <c r="C816" s="14" t="s">
        <v>3048</v>
      </c>
      <c r="D816" s="14" t="s">
        <v>818</v>
      </c>
      <c r="E816" s="14" t="s">
        <v>702</v>
      </c>
      <c r="F816" s="14" t="s">
        <v>3055</v>
      </c>
      <c r="G816" s="14"/>
      <c r="H816" s="14" t="s">
        <v>586</v>
      </c>
      <c r="I816" s="14" t="s">
        <v>3045</v>
      </c>
      <c r="J816" s="14" t="s">
        <v>2362</v>
      </c>
      <c r="K816" s="14" t="s">
        <v>3046</v>
      </c>
      <c r="L816" s="14"/>
      <c r="M816" s="14">
        <v>40</v>
      </c>
      <c r="N816" s="14"/>
      <c r="O816" s="34"/>
      <c r="P816" s="14">
        <v>2</v>
      </c>
      <c r="Q816" s="14">
        <v>63.9</v>
      </c>
      <c r="R816" s="14">
        <v>11.4</v>
      </c>
      <c r="S816" s="14"/>
      <c r="T816" s="14"/>
      <c r="U816" s="14"/>
      <c r="V816" s="14"/>
      <c r="W816" s="14">
        <v>0.47499999999999998</v>
      </c>
      <c r="X816" s="14">
        <v>35</v>
      </c>
      <c r="Y816" s="14">
        <v>9.6</v>
      </c>
      <c r="Z816" s="14"/>
      <c r="AA816" s="14"/>
      <c r="AB816" s="14"/>
      <c r="AC816" s="14"/>
      <c r="AD816" s="34">
        <f>1-0.475</f>
        <v>0.52500000000000002</v>
      </c>
      <c r="AE816" s="35">
        <v>16.399999999999999</v>
      </c>
      <c r="AF816" s="35">
        <v>14.6</v>
      </c>
      <c r="AG816" s="35"/>
      <c r="AH816" s="35"/>
      <c r="AI816" s="35"/>
      <c r="AJ816" s="35"/>
      <c r="AK816" s="35"/>
      <c r="AL816" s="35">
        <v>31.8</v>
      </c>
      <c r="AM816" s="35">
        <f>AL816-21.1/2</f>
        <v>21.25</v>
      </c>
      <c r="AN816" s="35">
        <f>AM816+21.1</f>
        <v>42.35</v>
      </c>
      <c r="AO816" s="35"/>
      <c r="AP816" s="35"/>
      <c r="AQ816" s="35">
        <v>16.5</v>
      </c>
      <c r="AR816" s="35">
        <f>AQ816-14.6/2</f>
        <v>9.1999999999999993</v>
      </c>
      <c r="AS816" s="35">
        <f>AR816+14.6</f>
        <v>23.799999999999997</v>
      </c>
      <c r="AT816" s="35"/>
      <c r="AU816" s="14" t="s">
        <v>2799</v>
      </c>
      <c r="AV816" s="14"/>
      <c r="AW816" s="14"/>
      <c r="AX816" s="14"/>
      <c r="AY816" s="14"/>
      <c r="AZ816" s="14"/>
      <c r="BA816" s="29"/>
      <c r="BB816" s="14"/>
      <c r="BC816" s="14"/>
      <c r="BD816" s="14"/>
      <c r="BE816" s="29" t="s">
        <v>3054</v>
      </c>
      <c r="BF816" s="29"/>
      <c r="BG816" s="14">
        <v>0.997</v>
      </c>
      <c r="BH816" s="14">
        <v>0.95899999999999996</v>
      </c>
      <c r="BI816" s="14">
        <v>1.0369999999999999</v>
      </c>
      <c r="BJ816" s="29"/>
      <c r="BK816" s="14"/>
      <c r="BL816" s="14"/>
      <c r="BM816" s="14"/>
      <c r="BN816" s="14" t="s">
        <v>2553</v>
      </c>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t="s">
        <v>3050</v>
      </c>
      <c r="CK816" s="14"/>
      <c r="CL816" s="14"/>
      <c r="CM816" s="14"/>
      <c r="CN816" s="14"/>
      <c r="CO816" s="14"/>
      <c r="CP816" s="14"/>
      <c r="CQ816" s="14"/>
      <c r="CR816" s="14"/>
      <c r="CS816" s="14"/>
      <c r="CT816" s="14"/>
      <c r="CU816" s="14"/>
      <c r="CV816" s="14"/>
      <c r="CW816" s="14" t="s">
        <v>1631</v>
      </c>
      <c r="CX816" s="14" t="s">
        <v>1632</v>
      </c>
      <c r="CY816" s="14">
        <v>2023</v>
      </c>
      <c r="CZ816" s="36" t="s">
        <v>73</v>
      </c>
      <c r="DA816" s="14" t="s">
        <v>141</v>
      </c>
      <c r="DB816" s="14">
        <v>10</v>
      </c>
      <c r="DC816" s="14">
        <v>1</v>
      </c>
      <c r="DD816" s="14"/>
      <c r="DE816" s="14" t="s">
        <v>1633</v>
      </c>
    </row>
    <row r="817" spans="1:109" s="13" customFormat="1" ht="20">
      <c r="A817" s="14" t="s">
        <v>1944</v>
      </c>
      <c r="B817" s="14"/>
      <c r="C817" s="14" t="s">
        <v>3048</v>
      </c>
      <c r="D817" s="14" t="s">
        <v>818</v>
      </c>
      <c r="E817" s="14" t="s">
        <v>702</v>
      </c>
      <c r="F817" s="14" t="s">
        <v>3056</v>
      </c>
      <c r="G817" s="14"/>
      <c r="H817" s="14" t="s">
        <v>586</v>
      </c>
      <c r="I817" s="14" t="s">
        <v>3045</v>
      </c>
      <c r="J817" s="14" t="s">
        <v>2362</v>
      </c>
      <c r="K817" s="14" t="s">
        <v>3046</v>
      </c>
      <c r="L817" s="14"/>
      <c r="M817" s="14">
        <v>40</v>
      </c>
      <c r="N817" s="14"/>
      <c r="O817" s="34"/>
      <c r="P817" s="14">
        <v>2</v>
      </c>
      <c r="Q817" s="14">
        <v>63.9</v>
      </c>
      <c r="R817" s="14">
        <v>11.4</v>
      </c>
      <c r="S817" s="14"/>
      <c r="T817" s="14"/>
      <c r="U817" s="14"/>
      <c r="V817" s="14"/>
      <c r="W817" s="14">
        <v>0.47499999999999998</v>
      </c>
      <c r="X817" s="14">
        <v>35</v>
      </c>
      <c r="Y817" s="14">
        <v>9.6</v>
      </c>
      <c r="Z817" s="14"/>
      <c r="AA817" s="14"/>
      <c r="AB817" s="14"/>
      <c r="AC817" s="14"/>
      <c r="AD817" s="34">
        <f>1-0.475</f>
        <v>0.52500000000000002</v>
      </c>
      <c r="AE817" s="35">
        <v>16.399999999999999</v>
      </c>
      <c r="AF817" s="35">
        <v>14.6</v>
      </c>
      <c r="AG817" s="35"/>
      <c r="AH817" s="35"/>
      <c r="AI817" s="35"/>
      <c r="AJ817" s="35"/>
      <c r="AK817" s="35"/>
      <c r="AL817" s="35">
        <v>31.8</v>
      </c>
      <c r="AM817" s="35">
        <f>AL817-21.1/2</f>
        <v>21.25</v>
      </c>
      <c r="AN817" s="35">
        <f>AM817+21.1</f>
        <v>42.35</v>
      </c>
      <c r="AO817" s="35"/>
      <c r="AP817" s="35"/>
      <c r="AQ817" s="35">
        <v>16.5</v>
      </c>
      <c r="AR817" s="35">
        <f>AQ817-14.6/2</f>
        <v>9.1999999999999993</v>
      </c>
      <c r="AS817" s="35">
        <f>AR817+14.6</f>
        <v>23.799999999999997</v>
      </c>
      <c r="AT817" s="35"/>
      <c r="AU817" s="14" t="s">
        <v>2799</v>
      </c>
      <c r="AV817" s="14"/>
      <c r="AW817" s="14"/>
      <c r="AX817" s="14"/>
      <c r="AY817" s="14"/>
      <c r="AZ817" s="14"/>
      <c r="BA817" s="29"/>
      <c r="BB817" s="14"/>
      <c r="BC817" s="14"/>
      <c r="BD817" s="14"/>
      <c r="BE817" s="29" t="s">
        <v>3054</v>
      </c>
      <c r="BF817" s="29"/>
      <c r="BG817" s="14">
        <v>1.1140000000000001</v>
      </c>
      <c r="BH817" s="14">
        <v>0.90900000000000003</v>
      </c>
      <c r="BI817" s="14">
        <v>1.3640000000000001</v>
      </c>
      <c r="BJ817" s="29"/>
      <c r="BK817" s="14"/>
      <c r="BL817" s="14"/>
      <c r="BM817" s="14"/>
      <c r="BN817" s="14" t="s">
        <v>2553</v>
      </c>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t="s">
        <v>3050</v>
      </c>
      <c r="CK817" s="14"/>
      <c r="CL817" s="14"/>
      <c r="CM817" s="14"/>
      <c r="CN817" s="14"/>
      <c r="CO817" s="14"/>
      <c r="CP817" s="14"/>
      <c r="CQ817" s="14"/>
      <c r="CR817" s="14"/>
      <c r="CS817" s="14"/>
      <c r="CT817" s="14"/>
      <c r="CU817" s="14"/>
      <c r="CV817" s="14"/>
      <c r="CW817" s="14" t="s">
        <v>1631</v>
      </c>
      <c r="CX817" s="14" t="s">
        <v>1632</v>
      </c>
      <c r="CY817" s="14">
        <v>2023</v>
      </c>
      <c r="CZ817" s="36" t="s">
        <v>73</v>
      </c>
      <c r="DA817" s="14" t="s">
        <v>141</v>
      </c>
      <c r="DB817" s="14">
        <v>10</v>
      </c>
      <c r="DC817" s="14">
        <v>1</v>
      </c>
      <c r="DD817" s="14"/>
      <c r="DE817" s="14" t="s">
        <v>1633</v>
      </c>
    </row>
    <row r="818" spans="1:109" s="13" customFormat="1" ht="20">
      <c r="A818" s="14" t="s">
        <v>1944</v>
      </c>
      <c r="B818" s="14"/>
      <c r="C818" s="14" t="s">
        <v>3048</v>
      </c>
      <c r="D818" s="14" t="s">
        <v>818</v>
      </c>
      <c r="E818" s="14" t="s">
        <v>702</v>
      </c>
      <c r="F818" s="14" t="s">
        <v>3057</v>
      </c>
      <c r="G818" s="14"/>
      <c r="H818" s="14" t="s">
        <v>586</v>
      </c>
      <c r="I818" s="14" t="s">
        <v>3045</v>
      </c>
      <c r="J818" s="14" t="s">
        <v>2362</v>
      </c>
      <c r="K818" s="14" t="s">
        <v>3046</v>
      </c>
      <c r="L818" s="14"/>
      <c r="M818" s="14">
        <v>40</v>
      </c>
      <c r="N818" s="14"/>
      <c r="O818" s="34"/>
      <c r="P818" s="14">
        <v>2</v>
      </c>
      <c r="Q818" s="14">
        <v>63.9</v>
      </c>
      <c r="R818" s="14">
        <v>11.4</v>
      </c>
      <c r="S818" s="14"/>
      <c r="T818" s="14"/>
      <c r="U818" s="14"/>
      <c r="V818" s="14"/>
      <c r="W818" s="14">
        <v>0.47499999999999998</v>
      </c>
      <c r="X818" s="14">
        <v>35</v>
      </c>
      <c r="Y818" s="14">
        <v>9.6</v>
      </c>
      <c r="Z818" s="14"/>
      <c r="AA818" s="14"/>
      <c r="AB818" s="14"/>
      <c r="AC818" s="14"/>
      <c r="AD818" s="34">
        <f>1-0.475</f>
        <v>0.52500000000000002</v>
      </c>
      <c r="AE818" s="35">
        <v>16.399999999999999</v>
      </c>
      <c r="AF818" s="35">
        <v>14.6</v>
      </c>
      <c r="AG818" s="35"/>
      <c r="AH818" s="35"/>
      <c r="AI818" s="35"/>
      <c r="AJ818" s="35"/>
      <c r="AK818" s="35"/>
      <c r="AL818" s="35">
        <v>31.8</v>
      </c>
      <c r="AM818" s="35">
        <f>AL818-21.1/2</f>
        <v>21.25</v>
      </c>
      <c r="AN818" s="35">
        <f>AM818+21.1</f>
        <v>42.35</v>
      </c>
      <c r="AO818" s="35"/>
      <c r="AP818" s="35"/>
      <c r="AQ818" s="35">
        <v>16.5</v>
      </c>
      <c r="AR818" s="35">
        <f>AQ818-14.6/2</f>
        <v>9.1999999999999993</v>
      </c>
      <c r="AS818" s="35">
        <f>AR818+14.6</f>
        <v>23.799999999999997</v>
      </c>
      <c r="AT818" s="35"/>
      <c r="AU818" s="14" t="s">
        <v>2799</v>
      </c>
      <c r="AV818" s="14"/>
      <c r="AW818" s="14"/>
      <c r="AX818" s="14"/>
      <c r="AY818" s="14"/>
      <c r="AZ818" s="14"/>
      <c r="BA818" s="29"/>
      <c r="BB818" s="14"/>
      <c r="BC818" s="14"/>
      <c r="BD818" s="14"/>
      <c r="BE818" s="29" t="s">
        <v>3054</v>
      </c>
      <c r="BF818" s="29"/>
      <c r="BG818" s="14">
        <v>1.0940000000000001</v>
      </c>
      <c r="BH818" s="14">
        <v>1.026</v>
      </c>
      <c r="BI818" s="14">
        <v>1.167</v>
      </c>
      <c r="BJ818" s="29"/>
      <c r="BK818" s="14"/>
      <c r="BL818" s="14"/>
      <c r="BM818" s="14"/>
      <c r="BN818" s="14" t="s">
        <v>2553</v>
      </c>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t="s">
        <v>3050</v>
      </c>
      <c r="CK818" s="14"/>
      <c r="CL818" s="14"/>
      <c r="CM818" s="14"/>
      <c r="CN818" s="14"/>
      <c r="CO818" s="14"/>
      <c r="CP818" s="14"/>
      <c r="CQ818" s="14"/>
      <c r="CR818" s="14"/>
      <c r="CS818" s="14"/>
      <c r="CT818" s="14"/>
      <c r="CU818" s="14"/>
      <c r="CV818" s="14"/>
      <c r="CW818" s="14" t="s">
        <v>1631</v>
      </c>
      <c r="CX818" s="14" t="s">
        <v>1632</v>
      </c>
      <c r="CY818" s="14">
        <v>2023</v>
      </c>
      <c r="CZ818" s="36" t="s">
        <v>73</v>
      </c>
      <c r="DA818" s="14" t="s">
        <v>141</v>
      </c>
      <c r="DB818" s="14">
        <v>10</v>
      </c>
      <c r="DC818" s="14">
        <v>1</v>
      </c>
      <c r="DD818" s="14"/>
      <c r="DE818" s="14" t="s">
        <v>1633</v>
      </c>
    </row>
    <row r="819" spans="1:109" s="13" customFormat="1" ht="20">
      <c r="A819" s="13" t="s">
        <v>3429</v>
      </c>
      <c r="C819" s="13" t="s">
        <v>3355</v>
      </c>
      <c r="D819" s="14" t="s">
        <v>830</v>
      </c>
      <c r="E819" s="13" t="s">
        <v>674</v>
      </c>
      <c r="F819" s="13" t="s">
        <v>3996</v>
      </c>
      <c r="H819" s="14" t="s">
        <v>3994</v>
      </c>
      <c r="I819" s="14" t="s">
        <v>3992</v>
      </c>
      <c r="J819" s="13" t="s">
        <v>3865</v>
      </c>
      <c r="K819" s="13" t="s">
        <v>3998</v>
      </c>
      <c r="M819" s="13">
        <v>20</v>
      </c>
      <c r="O819" s="15"/>
      <c r="Q819" s="13">
        <v>61.5</v>
      </c>
      <c r="R819" s="13">
        <v>10.199999999999999</v>
      </c>
      <c r="V819" s="13">
        <v>13</v>
      </c>
      <c r="W819" s="2">
        <f t="shared" ref="W819:W830" si="77">V819/M819</f>
        <v>0.65</v>
      </c>
      <c r="X819" s="13">
        <v>40.700000000000003</v>
      </c>
      <c r="Y819" s="13">
        <v>4</v>
      </c>
      <c r="AC819" s="13">
        <v>12</v>
      </c>
      <c r="AD819" s="13">
        <f t="shared" ref="AD819:AD830" si="78">AC819/M819</f>
        <v>0.6</v>
      </c>
      <c r="AG819" s="13">
        <v>13.9</v>
      </c>
      <c r="AH819" s="13">
        <v>0</v>
      </c>
      <c r="AI819" s="13">
        <f>AG819+29.7/2</f>
        <v>28.75</v>
      </c>
      <c r="AL819" s="13">
        <v>51.35</v>
      </c>
      <c r="AM819" s="13">
        <f>AL819-58.7/2</f>
        <v>22</v>
      </c>
      <c r="AN819" s="13">
        <f>AL819+58.7/2</f>
        <v>80.7</v>
      </c>
      <c r="BA819" s="16"/>
      <c r="BE819" s="16" t="s">
        <v>3995</v>
      </c>
      <c r="BJ819" s="16"/>
      <c r="BN819" s="16"/>
      <c r="CW819" s="13" t="s">
        <v>3616</v>
      </c>
      <c r="CX819" s="13" t="s">
        <v>3617</v>
      </c>
      <c r="CY819" s="13">
        <v>2025</v>
      </c>
      <c r="DA819" s="13" t="s">
        <v>135</v>
      </c>
      <c r="DB819" s="13">
        <v>7</v>
      </c>
      <c r="DC819" s="13">
        <v>1</v>
      </c>
      <c r="DD819" s="13" t="s">
        <v>3618</v>
      </c>
      <c r="DE819" s="13" t="s">
        <v>3284</v>
      </c>
    </row>
    <row r="820" spans="1:109" s="13" customFormat="1" ht="20">
      <c r="A820" s="13" t="s">
        <v>3429</v>
      </c>
      <c r="C820" s="13" t="s">
        <v>3355</v>
      </c>
      <c r="D820" s="14" t="s">
        <v>830</v>
      </c>
      <c r="E820" s="13" t="s">
        <v>674</v>
      </c>
      <c r="F820" s="13" t="s">
        <v>3997</v>
      </c>
      <c r="H820" s="14" t="s">
        <v>3994</v>
      </c>
      <c r="I820" s="14" t="s">
        <v>3992</v>
      </c>
      <c r="J820" s="13" t="s">
        <v>3865</v>
      </c>
      <c r="K820" s="13" t="s">
        <v>3998</v>
      </c>
      <c r="M820" s="13">
        <v>20</v>
      </c>
      <c r="O820" s="15"/>
      <c r="Q820" s="13">
        <v>61.5</v>
      </c>
      <c r="R820" s="13">
        <v>10.199999999999999</v>
      </c>
      <c r="V820" s="13">
        <v>13</v>
      </c>
      <c r="W820" s="2">
        <f t="shared" si="77"/>
        <v>0.65</v>
      </c>
      <c r="X820" s="13">
        <v>40.700000000000003</v>
      </c>
      <c r="Y820" s="13">
        <v>4</v>
      </c>
      <c r="AC820" s="13">
        <v>12</v>
      </c>
      <c r="AD820" s="13">
        <f t="shared" si="78"/>
        <v>0.6</v>
      </c>
      <c r="AG820" s="13">
        <v>13.9</v>
      </c>
      <c r="AH820" s="13">
        <v>0</v>
      </c>
      <c r="AI820" s="13">
        <f>AG820+29.7/2</f>
        <v>28.75</v>
      </c>
      <c r="AL820" s="13">
        <v>51.35</v>
      </c>
      <c r="AM820" s="13">
        <f>AL820-58.7/2</f>
        <v>22</v>
      </c>
      <c r="AN820" s="13">
        <f>AL820+58.7/2</f>
        <v>80.7</v>
      </c>
      <c r="BA820" s="16"/>
      <c r="BE820" s="16" t="s">
        <v>3995</v>
      </c>
      <c r="BJ820" s="16"/>
      <c r="BN820" s="16"/>
      <c r="CW820" s="13" t="s">
        <v>3616</v>
      </c>
      <c r="CX820" s="13" t="s">
        <v>3617</v>
      </c>
      <c r="CY820" s="13">
        <v>2025</v>
      </c>
      <c r="DA820" s="13" t="s">
        <v>135</v>
      </c>
      <c r="DB820" s="13">
        <v>7</v>
      </c>
      <c r="DC820" s="13">
        <v>1</v>
      </c>
      <c r="DD820" s="13" t="s">
        <v>3618</v>
      </c>
      <c r="DE820" s="13" t="s">
        <v>3284</v>
      </c>
    </row>
    <row r="821" spans="1:109" s="13" customFormat="1" ht="20">
      <c r="A821" s="13" t="s">
        <v>3429</v>
      </c>
      <c r="C821" s="13" t="s">
        <v>3355</v>
      </c>
      <c r="D821" s="14" t="s">
        <v>830</v>
      </c>
      <c r="E821" s="13" t="s">
        <v>702</v>
      </c>
      <c r="F821" s="13" t="s">
        <v>4002</v>
      </c>
      <c r="H821" s="14" t="s">
        <v>3994</v>
      </c>
      <c r="I821" s="14" t="s">
        <v>3992</v>
      </c>
      <c r="J821" s="13" t="s">
        <v>2362</v>
      </c>
      <c r="K821" s="13" t="s">
        <v>3999</v>
      </c>
      <c r="M821" s="13">
        <v>40</v>
      </c>
      <c r="O821" s="15"/>
      <c r="Q821" s="13">
        <v>63.9</v>
      </c>
      <c r="R821" s="13">
        <v>11.4</v>
      </c>
      <c r="V821" s="13">
        <f>M821*0.475</f>
        <v>19</v>
      </c>
      <c r="W821" s="2">
        <f t="shared" si="77"/>
        <v>0.47499999999999998</v>
      </c>
      <c r="X821" s="13">
        <v>35</v>
      </c>
      <c r="Y821" s="13">
        <v>9.6</v>
      </c>
      <c r="AC821" s="13">
        <v>21</v>
      </c>
      <c r="AD821" s="13">
        <f t="shared" si="78"/>
        <v>0.52500000000000002</v>
      </c>
      <c r="AG821" s="13">
        <v>16.5</v>
      </c>
      <c r="AH821" s="13">
        <f>AG821-14.6/2</f>
        <v>9.1999999999999993</v>
      </c>
      <c r="AI821" s="13">
        <f>AG821+14.6/2</f>
        <v>23.8</v>
      </c>
      <c r="AL821" s="13">
        <v>31.8</v>
      </c>
      <c r="AM821" s="13">
        <f>AL821-2.1/2</f>
        <v>30.75</v>
      </c>
      <c r="AN821" s="13">
        <f>AL821+21.1/2</f>
        <v>42.35</v>
      </c>
      <c r="AU821" s="13" t="s">
        <v>2447</v>
      </c>
      <c r="AV821" s="13" t="s">
        <v>2656</v>
      </c>
      <c r="BA821" s="16"/>
      <c r="BE821" s="16" t="s">
        <v>3995</v>
      </c>
      <c r="BG821" s="13">
        <v>0.44400000000000001</v>
      </c>
      <c r="BH821" s="13">
        <v>0.245</v>
      </c>
      <c r="BI821" s="13">
        <v>0.80600000000000005</v>
      </c>
      <c r="BJ821" s="16"/>
      <c r="BN821" s="16"/>
      <c r="CW821" s="13" t="s">
        <v>3616</v>
      </c>
      <c r="CX821" s="13" t="s">
        <v>3617</v>
      </c>
      <c r="CY821" s="13">
        <v>2025</v>
      </c>
      <c r="DA821" s="13" t="s">
        <v>135</v>
      </c>
      <c r="DB821" s="13">
        <v>7</v>
      </c>
      <c r="DC821" s="13">
        <v>1</v>
      </c>
      <c r="DD821" s="13" t="s">
        <v>3618</v>
      </c>
      <c r="DE821" s="13" t="s">
        <v>3284</v>
      </c>
    </row>
    <row r="822" spans="1:109" s="13" customFormat="1" ht="20">
      <c r="A822" s="13" t="s">
        <v>3429</v>
      </c>
      <c r="C822" s="13" t="s">
        <v>3355</v>
      </c>
      <c r="D822" s="14" t="s">
        <v>830</v>
      </c>
      <c r="E822" s="13" t="s">
        <v>702</v>
      </c>
      <c r="F822" s="13" t="s">
        <v>4000</v>
      </c>
      <c r="H822" s="14" t="s">
        <v>3994</v>
      </c>
      <c r="I822" s="14" t="s">
        <v>3992</v>
      </c>
      <c r="J822" s="13" t="s">
        <v>2362</v>
      </c>
      <c r="K822" s="13" t="s">
        <v>3999</v>
      </c>
      <c r="M822" s="13">
        <v>40</v>
      </c>
      <c r="O822" s="15"/>
      <c r="Q822" s="13">
        <v>63.9</v>
      </c>
      <c r="R822" s="13">
        <v>11.4</v>
      </c>
      <c r="V822" s="13">
        <f>M822*0.475</f>
        <v>19</v>
      </c>
      <c r="W822" s="2">
        <f t="shared" si="77"/>
        <v>0.47499999999999998</v>
      </c>
      <c r="X822" s="13">
        <v>35</v>
      </c>
      <c r="Y822" s="13">
        <v>9.6</v>
      </c>
      <c r="AC822" s="13">
        <v>21</v>
      </c>
      <c r="AD822" s="13">
        <f t="shared" si="78"/>
        <v>0.52500000000000002</v>
      </c>
      <c r="AG822" s="13">
        <v>16.5</v>
      </c>
      <c r="AH822" s="13">
        <f>AG822-14.6/2</f>
        <v>9.1999999999999993</v>
      </c>
      <c r="AI822" s="13">
        <f>AG822+14.6/2</f>
        <v>23.8</v>
      </c>
      <c r="AL822" s="13">
        <v>31.8</v>
      </c>
      <c r="AM822" s="13">
        <f>AL822-2.1/2</f>
        <v>30.75</v>
      </c>
      <c r="AN822" s="13">
        <f>AL822+21.1/2</f>
        <v>42.35</v>
      </c>
      <c r="AU822" s="13" t="s">
        <v>2447</v>
      </c>
      <c r="AV822" s="13" t="s">
        <v>2656</v>
      </c>
      <c r="BA822" s="16"/>
      <c r="BE822" s="16" t="s">
        <v>3995</v>
      </c>
      <c r="BG822" s="13">
        <v>0.441</v>
      </c>
      <c r="BH822" s="13">
        <v>0.13100000000000001</v>
      </c>
      <c r="BI822" s="13">
        <v>1.48</v>
      </c>
      <c r="BJ822" s="16"/>
      <c r="BN822" s="16"/>
      <c r="CW822" s="13" t="s">
        <v>3616</v>
      </c>
      <c r="CX822" s="13" t="s">
        <v>3617</v>
      </c>
      <c r="CY822" s="13">
        <v>2025</v>
      </c>
      <c r="DA822" s="13" t="s">
        <v>135</v>
      </c>
      <c r="DB822" s="13">
        <v>7</v>
      </c>
      <c r="DC822" s="13">
        <v>1</v>
      </c>
      <c r="DD822" s="13" t="s">
        <v>3618</v>
      </c>
      <c r="DE822" s="13" t="s">
        <v>3284</v>
      </c>
    </row>
    <row r="823" spans="1:109" s="13" customFormat="1" ht="20">
      <c r="A823" s="13" t="s">
        <v>3429</v>
      </c>
      <c r="C823" s="13" t="s">
        <v>3355</v>
      </c>
      <c r="D823" s="14" t="s">
        <v>830</v>
      </c>
      <c r="E823" s="13" t="s">
        <v>702</v>
      </c>
      <c r="F823" s="13" t="s">
        <v>4001</v>
      </c>
      <c r="H823" s="14" t="s">
        <v>3994</v>
      </c>
      <c r="I823" s="14" t="s">
        <v>3992</v>
      </c>
      <c r="J823" s="13" t="s">
        <v>2362</v>
      </c>
      <c r="K823" s="13" t="s">
        <v>3999</v>
      </c>
      <c r="M823" s="13">
        <v>40</v>
      </c>
      <c r="O823" s="15"/>
      <c r="Q823" s="13">
        <v>63.9</v>
      </c>
      <c r="R823" s="13">
        <v>11.4</v>
      </c>
      <c r="V823" s="13">
        <f>M823*0.475</f>
        <v>19</v>
      </c>
      <c r="W823" s="2">
        <f t="shared" si="77"/>
        <v>0.47499999999999998</v>
      </c>
      <c r="X823" s="13">
        <v>35</v>
      </c>
      <c r="Y823" s="13">
        <v>9.6</v>
      </c>
      <c r="AC823" s="13">
        <v>21</v>
      </c>
      <c r="AD823" s="13">
        <f t="shared" si="78"/>
        <v>0.52500000000000002</v>
      </c>
      <c r="AG823" s="13">
        <v>16.5</v>
      </c>
      <c r="AH823" s="13">
        <f>AG823-14.6/2</f>
        <v>9.1999999999999993</v>
      </c>
      <c r="AI823" s="13">
        <f>AG823+14.6/2</f>
        <v>23.8</v>
      </c>
      <c r="AL823" s="13">
        <v>31.8</v>
      </c>
      <c r="AM823" s="13">
        <f>AL823-2.1/2</f>
        <v>30.75</v>
      </c>
      <c r="AN823" s="13">
        <f>AL823+21.1/2</f>
        <v>42.35</v>
      </c>
      <c r="AU823" s="13" t="s">
        <v>2447</v>
      </c>
      <c r="AV823" s="13" t="s">
        <v>2656</v>
      </c>
      <c r="BA823" s="16"/>
      <c r="BE823" s="16" t="s">
        <v>3995</v>
      </c>
      <c r="BG823" s="13">
        <v>0.49</v>
      </c>
      <c r="BH823" s="13">
        <v>0.246</v>
      </c>
      <c r="BI823" s="13">
        <v>0.97599999999999998</v>
      </c>
      <c r="BJ823" s="16"/>
      <c r="BN823" s="16"/>
      <c r="CW823" s="13" t="s">
        <v>3616</v>
      </c>
      <c r="CX823" s="13" t="s">
        <v>3617</v>
      </c>
      <c r="CY823" s="13">
        <v>2025</v>
      </c>
      <c r="DA823" s="13" t="s">
        <v>135</v>
      </c>
      <c r="DB823" s="13">
        <v>7</v>
      </c>
      <c r="DC823" s="13">
        <v>1</v>
      </c>
      <c r="DD823" s="13" t="s">
        <v>3618</v>
      </c>
      <c r="DE823" s="13" t="s">
        <v>3284</v>
      </c>
    </row>
    <row r="824" spans="1:109" s="13" customFormat="1" ht="20">
      <c r="A824" s="14" t="s">
        <v>1945</v>
      </c>
      <c r="B824" s="14" t="s">
        <v>1757</v>
      </c>
      <c r="C824" s="14" t="s">
        <v>558</v>
      </c>
      <c r="D824" s="14" t="s">
        <v>1015</v>
      </c>
      <c r="E824" s="14" t="s">
        <v>674</v>
      </c>
      <c r="F824" s="14" t="s">
        <v>686</v>
      </c>
      <c r="G824" s="14"/>
      <c r="H824" s="14" t="s">
        <v>703</v>
      </c>
      <c r="I824" s="14" t="s">
        <v>3059</v>
      </c>
      <c r="J824" s="14" t="s">
        <v>585</v>
      </c>
      <c r="K824" s="14"/>
      <c r="L824" s="14" t="s">
        <v>639</v>
      </c>
      <c r="M824" s="14">
        <v>128</v>
      </c>
      <c r="N824" s="14">
        <v>0</v>
      </c>
      <c r="O824" s="34">
        <v>0</v>
      </c>
      <c r="P824" s="14">
        <v>0</v>
      </c>
      <c r="Q824" s="14"/>
      <c r="R824" s="14"/>
      <c r="S824" s="14">
        <v>64</v>
      </c>
      <c r="T824" s="14">
        <v>58</v>
      </c>
      <c r="U824" s="14">
        <v>70.2</v>
      </c>
      <c r="V824" s="14">
        <v>76</v>
      </c>
      <c r="W824" s="14">
        <f t="shared" si="77"/>
        <v>0.59375</v>
      </c>
      <c r="X824" s="14"/>
      <c r="Y824" s="14"/>
      <c r="Z824" s="14">
        <v>34</v>
      </c>
      <c r="AA824" s="14">
        <v>26.8</v>
      </c>
      <c r="AB824" s="14">
        <v>40</v>
      </c>
      <c r="AC824" s="14">
        <v>90</v>
      </c>
      <c r="AD824" s="34">
        <f t="shared" si="78"/>
        <v>0.703125</v>
      </c>
      <c r="AE824" s="35"/>
      <c r="AF824" s="35"/>
      <c r="AG824" s="35">
        <v>22</v>
      </c>
      <c r="AH824" s="35">
        <v>15</v>
      </c>
      <c r="AI824" s="35">
        <v>33</v>
      </c>
      <c r="AJ824" s="35"/>
      <c r="AK824" s="35"/>
      <c r="AL824" s="35"/>
      <c r="AM824" s="35"/>
      <c r="AN824" s="35"/>
      <c r="AO824" s="35"/>
      <c r="AP824" s="35"/>
      <c r="AQ824" s="35"/>
      <c r="AR824" s="35"/>
      <c r="AS824" s="35"/>
      <c r="AT824" s="35"/>
      <c r="AU824" s="14"/>
      <c r="AV824" s="14"/>
      <c r="AW824" s="14"/>
      <c r="AX824" s="14"/>
      <c r="AY824" s="14"/>
      <c r="AZ824" s="14"/>
      <c r="BA824" s="29"/>
      <c r="BB824" s="14"/>
      <c r="BC824" s="14"/>
      <c r="BD824" s="14"/>
      <c r="BE824" s="29"/>
      <c r="BF824" s="29"/>
      <c r="BG824" s="14"/>
      <c r="BH824" s="14"/>
      <c r="BI824" s="14"/>
      <c r="BJ824" s="29"/>
      <c r="BK824" s="14"/>
      <c r="BL824" s="14"/>
      <c r="BM824" s="14"/>
      <c r="BN824" s="14" t="s">
        <v>2231</v>
      </c>
      <c r="BO824" s="14" t="s">
        <v>2490</v>
      </c>
      <c r="BP824" s="14"/>
      <c r="BQ824" s="14">
        <v>0.19</v>
      </c>
      <c r="BR824" s="14"/>
      <c r="BS824" s="14"/>
      <c r="BT824" s="14"/>
      <c r="BU824" s="14">
        <v>3.1E-2</v>
      </c>
      <c r="BV824" s="14"/>
      <c r="BW824" s="14"/>
      <c r="BX824" s="14"/>
      <c r="BY824" s="14"/>
      <c r="BZ824" s="14"/>
      <c r="CA824" s="14"/>
      <c r="CB824" s="14"/>
      <c r="CC824" s="14">
        <v>-0.13</v>
      </c>
      <c r="CD824" s="14"/>
      <c r="CE824" s="14"/>
      <c r="CF824" s="14"/>
      <c r="CG824" s="14">
        <v>0.15</v>
      </c>
      <c r="CH824" s="14"/>
      <c r="CI824" s="14"/>
      <c r="CJ824" s="14"/>
      <c r="CK824" s="14"/>
      <c r="CL824" s="14"/>
      <c r="CM824" s="14"/>
      <c r="CN824" s="14"/>
      <c r="CO824" s="14"/>
      <c r="CP824" s="14"/>
      <c r="CQ824" s="14"/>
      <c r="CR824" s="14"/>
      <c r="CS824" s="14"/>
      <c r="CT824" s="14"/>
      <c r="CU824" s="14"/>
      <c r="CV824" s="14"/>
      <c r="CW824" s="14" t="s">
        <v>554</v>
      </c>
      <c r="CX824" s="14" t="s">
        <v>555</v>
      </c>
      <c r="CY824" s="14">
        <v>2022</v>
      </c>
      <c r="CZ824" s="36" t="s">
        <v>53</v>
      </c>
      <c r="DA824" s="14" t="s">
        <v>189</v>
      </c>
      <c r="DB824" s="14">
        <v>26</v>
      </c>
      <c r="DC824" s="14">
        <v>13</v>
      </c>
      <c r="DD824" s="14" t="s">
        <v>556</v>
      </c>
      <c r="DE824" s="14" t="s">
        <v>557</v>
      </c>
    </row>
    <row r="825" spans="1:109" s="13" customFormat="1" ht="20">
      <c r="A825" s="13" t="s">
        <v>3430</v>
      </c>
      <c r="C825" s="13" t="s">
        <v>3356</v>
      </c>
      <c r="D825" s="14" t="s">
        <v>820</v>
      </c>
      <c r="E825" s="13" t="s">
        <v>673</v>
      </c>
      <c r="F825" s="13" t="s">
        <v>4005</v>
      </c>
      <c r="H825" s="14" t="s">
        <v>726</v>
      </c>
      <c r="I825" s="14" t="s">
        <v>4003</v>
      </c>
      <c r="J825" s="13" t="s">
        <v>3831</v>
      </c>
      <c r="K825" s="13" t="s">
        <v>4004</v>
      </c>
      <c r="M825" s="13">
        <v>27</v>
      </c>
      <c r="O825" s="15"/>
      <c r="Q825" s="13">
        <v>57.8</v>
      </c>
      <c r="R825" s="13">
        <v>10.5</v>
      </c>
      <c r="V825" s="13">
        <v>20</v>
      </c>
      <c r="W825" s="2">
        <f t="shared" si="77"/>
        <v>0.7407407407407407</v>
      </c>
      <c r="X825" s="13">
        <v>38.19</v>
      </c>
      <c r="Y825" s="13">
        <v>5.8</v>
      </c>
      <c r="AC825" s="13">
        <v>20</v>
      </c>
      <c r="AD825" s="13">
        <f t="shared" si="78"/>
        <v>0.7407407407407407</v>
      </c>
      <c r="AE825" s="13">
        <v>8.5</v>
      </c>
      <c r="AF825" s="13">
        <v>1.6</v>
      </c>
      <c r="BA825" s="16"/>
      <c r="BE825" s="16"/>
      <c r="BJ825" s="16"/>
      <c r="BN825" s="16" t="s">
        <v>2552</v>
      </c>
      <c r="CC825" s="13">
        <v>0.13</v>
      </c>
      <c r="CG825" s="13">
        <v>0.51</v>
      </c>
      <c r="CW825" s="13" t="s">
        <v>3619</v>
      </c>
      <c r="CX825" s="13" t="s">
        <v>3620</v>
      </c>
      <c r="CY825" s="13">
        <v>2024</v>
      </c>
      <c r="CZ825" s="13" t="s">
        <v>1189</v>
      </c>
      <c r="DA825" s="13" t="s">
        <v>3621</v>
      </c>
      <c r="DB825" s="13">
        <v>15</v>
      </c>
      <c r="DC825" s="13">
        <v>4</v>
      </c>
      <c r="DD825" s="13" t="s">
        <v>3622</v>
      </c>
      <c r="DE825" s="13" t="s">
        <v>3285</v>
      </c>
    </row>
    <row r="826" spans="1:109" s="13" customFormat="1" ht="20">
      <c r="A826" s="13" t="s">
        <v>3430</v>
      </c>
      <c r="C826" s="13" t="s">
        <v>3356</v>
      </c>
      <c r="D826" s="14" t="s">
        <v>820</v>
      </c>
      <c r="E826" s="13" t="s">
        <v>673</v>
      </c>
      <c r="F826" s="13" t="s">
        <v>2337</v>
      </c>
      <c r="H826" s="14" t="s">
        <v>726</v>
      </c>
      <c r="I826" s="14" t="s">
        <v>4003</v>
      </c>
      <c r="J826" s="13" t="s">
        <v>3831</v>
      </c>
      <c r="K826" s="13" t="s">
        <v>4004</v>
      </c>
      <c r="M826" s="13">
        <v>27</v>
      </c>
      <c r="O826" s="15"/>
      <c r="Q826" s="13">
        <v>57.8</v>
      </c>
      <c r="R826" s="13">
        <v>10.5</v>
      </c>
      <c r="V826" s="13">
        <v>20</v>
      </c>
      <c r="W826" s="2">
        <f t="shared" si="77"/>
        <v>0.7407407407407407</v>
      </c>
      <c r="X826" s="13">
        <v>38.19</v>
      </c>
      <c r="Y826" s="13">
        <v>5.8</v>
      </c>
      <c r="AC826" s="13">
        <v>20</v>
      </c>
      <c r="AD826" s="13">
        <f t="shared" si="78"/>
        <v>0.7407407407407407</v>
      </c>
      <c r="AE826" s="13">
        <v>8.5</v>
      </c>
      <c r="AF826" s="13">
        <v>1.6</v>
      </c>
      <c r="BA826" s="16"/>
      <c r="BE826" s="16"/>
      <c r="BJ826" s="16"/>
      <c r="BN826" s="16" t="s">
        <v>2552</v>
      </c>
      <c r="CC826" s="13">
        <v>0.09</v>
      </c>
      <c r="CG826" s="13">
        <v>0.63</v>
      </c>
      <c r="CW826" s="13" t="s">
        <v>3619</v>
      </c>
      <c r="CX826" s="13" t="s">
        <v>3620</v>
      </c>
      <c r="CY826" s="13">
        <v>2024</v>
      </c>
      <c r="CZ826" s="13" t="s">
        <v>1189</v>
      </c>
      <c r="DA826" s="13" t="s">
        <v>3621</v>
      </c>
      <c r="DB826" s="13">
        <v>15</v>
      </c>
      <c r="DC826" s="13">
        <v>4</v>
      </c>
      <c r="DD826" s="13" t="s">
        <v>3622</v>
      </c>
      <c r="DE826" s="13" t="s">
        <v>3285</v>
      </c>
    </row>
    <row r="827" spans="1:109" s="13" customFormat="1" ht="20">
      <c r="A827" s="13" t="s">
        <v>3430</v>
      </c>
      <c r="C827" s="13" t="s">
        <v>3356</v>
      </c>
      <c r="D827" s="14" t="s">
        <v>820</v>
      </c>
      <c r="E827" s="13" t="s">
        <v>673</v>
      </c>
      <c r="F827" s="13" t="s">
        <v>2378</v>
      </c>
      <c r="H827" s="14" t="s">
        <v>726</v>
      </c>
      <c r="I827" s="14" t="s">
        <v>4003</v>
      </c>
      <c r="J827" s="13" t="s">
        <v>3831</v>
      </c>
      <c r="K827" s="13" t="s">
        <v>4004</v>
      </c>
      <c r="M827" s="13">
        <v>27</v>
      </c>
      <c r="O827" s="15"/>
      <c r="Q827" s="13">
        <v>57.8</v>
      </c>
      <c r="R827" s="13">
        <v>10.5</v>
      </c>
      <c r="V827" s="13">
        <v>20</v>
      </c>
      <c r="W827" s="2">
        <f t="shared" si="77"/>
        <v>0.7407407407407407</v>
      </c>
      <c r="X827" s="13">
        <v>38.19</v>
      </c>
      <c r="Y827" s="13">
        <v>5.8</v>
      </c>
      <c r="AC827" s="13">
        <v>20</v>
      </c>
      <c r="AD827" s="13">
        <f t="shared" si="78"/>
        <v>0.7407407407407407</v>
      </c>
      <c r="AE827" s="13">
        <v>8.5</v>
      </c>
      <c r="AF827" s="13">
        <v>1.6</v>
      </c>
      <c r="BA827" s="16"/>
      <c r="BE827" s="16"/>
      <c r="BJ827" s="16"/>
      <c r="BN827" s="16" t="s">
        <v>2552</v>
      </c>
      <c r="CC827" s="13">
        <v>0.09</v>
      </c>
      <c r="CG827" s="13">
        <v>0.62</v>
      </c>
      <c r="CW827" s="13" t="s">
        <v>3619</v>
      </c>
      <c r="CX827" s="13" t="s">
        <v>3620</v>
      </c>
      <c r="CY827" s="13">
        <v>2024</v>
      </c>
      <c r="CZ827" s="13" t="s">
        <v>1189</v>
      </c>
      <c r="DA827" s="13" t="s">
        <v>3621</v>
      </c>
      <c r="DB827" s="13">
        <v>15</v>
      </c>
      <c r="DC827" s="13">
        <v>4</v>
      </c>
      <c r="DD827" s="13" t="s">
        <v>3622</v>
      </c>
      <c r="DE827" s="13" t="s">
        <v>3285</v>
      </c>
    </row>
    <row r="828" spans="1:109" s="13" customFormat="1" ht="20">
      <c r="A828" s="13" t="s">
        <v>3430</v>
      </c>
      <c r="C828" s="13" t="s">
        <v>3356</v>
      </c>
      <c r="D828" s="14" t="s">
        <v>820</v>
      </c>
      <c r="E828" s="13" t="s">
        <v>673</v>
      </c>
      <c r="F828" s="13" t="s">
        <v>2198</v>
      </c>
      <c r="H828" s="14" t="s">
        <v>726</v>
      </c>
      <c r="I828" s="14" t="s">
        <v>4003</v>
      </c>
      <c r="J828" s="13" t="s">
        <v>3831</v>
      </c>
      <c r="K828" s="13" t="s">
        <v>4004</v>
      </c>
      <c r="M828" s="13">
        <v>27</v>
      </c>
      <c r="O828" s="15"/>
      <c r="Q828" s="13">
        <v>57.8</v>
      </c>
      <c r="R828" s="13">
        <v>10.5</v>
      </c>
      <c r="V828" s="13">
        <v>20</v>
      </c>
      <c r="W828" s="2">
        <f t="shared" si="77"/>
        <v>0.7407407407407407</v>
      </c>
      <c r="X828" s="13">
        <v>38.19</v>
      </c>
      <c r="Y828" s="13">
        <v>5.8</v>
      </c>
      <c r="AC828" s="13">
        <v>20</v>
      </c>
      <c r="AD828" s="13">
        <f t="shared" si="78"/>
        <v>0.7407407407407407</v>
      </c>
      <c r="AE828" s="13">
        <v>8.5</v>
      </c>
      <c r="AF828" s="13">
        <v>1.6</v>
      </c>
      <c r="BA828" s="16"/>
      <c r="BE828" s="16"/>
      <c r="BJ828" s="16"/>
      <c r="BN828" s="16" t="s">
        <v>2552</v>
      </c>
      <c r="CC828" s="13">
        <v>0.15</v>
      </c>
      <c r="CG828" s="13">
        <v>0.45</v>
      </c>
      <c r="CW828" s="13" t="s">
        <v>3619</v>
      </c>
      <c r="CX828" s="13" t="s">
        <v>3620</v>
      </c>
      <c r="CY828" s="13">
        <v>2024</v>
      </c>
      <c r="CZ828" s="13" t="s">
        <v>1189</v>
      </c>
      <c r="DA828" s="13" t="s">
        <v>3621</v>
      </c>
      <c r="DB828" s="13">
        <v>15</v>
      </c>
      <c r="DC828" s="13">
        <v>4</v>
      </c>
      <c r="DD828" s="13" t="s">
        <v>3622</v>
      </c>
      <c r="DE828" s="13" t="s">
        <v>3285</v>
      </c>
    </row>
    <row r="829" spans="1:109" s="13" customFormat="1" ht="20">
      <c r="A829" s="14" t="s">
        <v>1948</v>
      </c>
      <c r="B829" s="14"/>
      <c r="C829" s="14" t="s">
        <v>1648</v>
      </c>
      <c r="D829" s="14" t="s">
        <v>898</v>
      </c>
      <c r="E829" s="14" t="s">
        <v>674</v>
      </c>
      <c r="F829" s="14" t="s">
        <v>2377</v>
      </c>
      <c r="G829" s="14"/>
      <c r="H829" s="14" t="s">
        <v>712</v>
      </c>
      <c r="I829" s="14" t="s">
        <v>3068</v>
      </c>
      <c r="J829" s="14" t="s">
        <v>1979</v>
      </c>
      <c r="K829" s="14" t="s">
        <v>3069</v>
      </c>
      <c r="L829" s="14" t="s">
        <v>3000</v>
      </c>
      <c r="M829" s="14">
        <v>138</v>
      </c>
      <c r="N829" s="14">
        <v>0</v>
      </c>
      <c r="O829" s="34">
        <v>0</v>
      </c>
      <c r="P829" s="14">
        <v>2</v>
      </c>
      <c r="Q829" s="14"/>
      <c r="R829" s="14"/>
      <c r="S829" s="14"/>
      <c r="T829" s="14"/>
      <c r="U829" s="14"/>
      <c r="V829" s="14">
        <v>92</v>
      </c>
      <c r="W829" s="14">
        <f t="shared" si="77"/>
        <v>0.66666666666666663</v>
      </c>
      <c r="X829" s="14"/>
      <c r="Y829" s="14"/>
      <c r="Z829" s="14"/>
      <c r="AA829" s="14"/>
      <c r="AB829" s="14"/>
      <c r="AC829" s="14">
        <v>115</v>
      </c>
      <c r="AD829" s="34">
        <f t="shared" si="78"/>
        <v>0.83333333333333337</v>
      </c>
      <c r="AE829" s="35"/>
      <c r="AF829" s="35"/>
      <c r="AG829" s="35"/>
      <c r="AH829" s="35"/>
      <c r="AI829" s="35"/>
      <c r="AJ829" s="35"/>
      <c r="AK829" s="35"/>
      <c r="AL829" s="35"/>
      <c r="AM829" s="35"/>
      <c r="AN829" s="35"/>
      <c r="AO829" s="35"/>
      <c r="AP829" s="35"/>
      <c r="AQ829" s="35"/>
      <c r="AR829" s="35"/>
      <c r="AS829" s="35"/>
      <c r="AT829" s="35"/>
      <c r="AU829" s="14" t="s">
        <v>2449</v>
      </c>
      <c r="AV829" s="14"/>
      <c r="AW829" s="14"/>
      <c r="AX829" s="14"/>
      <c r="AY829" s="14"/>
      <c r="AZ829" s="14"/>
      <c r="BA829" s="29"/>
      <c r="BB829" s="14"/>
      <c r="BC829" s="14"/>
      <c r="BD829" s="14"/>
      <c r="BE829" s="29"/>
      <c r="BF829" s="29"/>
      <c r="BG829" s="14"/>
      <c r="BH829" s="14"/>
      <c r="BI829" s="14"/>
      <c r="BJ829" s="29"/>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c r="CM829" s="14"/>
      <c r="CN829" s="14"/>
      <c r="CO829" s="14"/>
      <c r="CP829" s="14"/>
      <c r="CQ829" s="14"/>
      <c r="CR829" s="14"/>
      <c r="CS829" s="14"/>
      <c r="CT829" s="14"/>
      <c r="CU829" s="14"/>
      <c r="CV829" s="14" t="s">
        <v>3070</v>
      </c>
      <c r="CW829" s="14" t="s">
        <v>1644</v>
      </c>
      <c r="CX829" s="14" t="s">
        <v>1645</v>
      </c>
      <c r="CY829" s="14">
        <v>2019</v>
      </c>
      <c r="CZ829" s="36" t="s">
        <v>119</v>
      </c>
      <c r="DA829" s="14" t="s">
        <v>1646</v>
      </c>
      <c r="DB829" s="14">
        <v>12</v>
      </c>
      <c r="DC829" s="14">
        <v>8</v>
      </c>
      <c r="DD829" s="14"/>
      <c r="DE829" s="14" t="s">
        <v>1647</v>
      </c>
    </row>
    <row r="830" spans="1:109" s="13" customFormat="1" ht="20">
      <c r="A830" s="14" t="s">
        <v>1947</v>
      </c>
      <c r="B830" s="14"/>
      <c r="C830" s="14" t="s">
        <v>562</v>
      </c>
      <c r="D830" s="14" t="s">
        <v>2454</v>
      </c>
      <c r="E830" s="14" t="s">
        <v>725</v>
      </c>
      <c r="F830" s="14" t="s">
        <v>3062</v>
      </c>
      <c r="G830" s="14"/>
      <c r="H830" s="14" t="s">
        <v>3066</v>
      </c>
      <c r="I830" s="14" t="s">
        <v>3067</v>
      </c>
      <c r="J830" s="14" t="s">
        <v>3064</v>
      </c>
      <c r="K830" s="14" t="s">
        <v>3063</v>
      </c>
      <c r="L830" s="14"/>
      <c r="M830" s="14">
        <v>249</v>
      </c>
      <c r="N830" s="14">
        <v>49</v>
      </c>
      <c r="O830" s="34"/>
      <c r="P830" s="14"/>
      <c r="Q830" s="14"/>
      <c r="R830" s="14"/>
      <c r="S830" s="14">
        <v>59</v>
      </c>
      <c r="T830" s="14"/>
      <c r="U830" s="14"/>
      <c r="V830" s="14">
        <v>148</v>
      </c>
      <c r="W830" s="14">
        <f t="shared" si="77"/>
        <v>0.59437751004016059</v>
      </c>
      <c r="X830" s="14"/>
      <c r="Y830" s="14"/>
      <c r="Z830" s="14"/>
      <c r="AA830" s="14"/>
      <c r="AB830" s="14"/>
      <c r="AC830" s="14">
        <v>172</v>
      </c>
      <c r="AD830" s="34">
        <f t="shared" si="78"/>
        <v>0.69076305220883538</v>
      </c>
      <c r="AE830" s="35"/>
      <c r="AF830" s="35"/>
      <c r="AG830" s="35"/>
      <c r="AH830" s="35"/>
      <c r="AI830" s="35"/>
      <c r="AJ830" s="35"/>
      <c r="AK830" s="35"/>
      <c r="AL830" s="35"/>
      <c r="AM830" s="35"/>
      <c r="AN830" s="35"/>
      <c r="AO830" s="35"/>
      <c r="AP830" s="35"/>
      <c r="AQ830" s="35"/>
      <c r="AR830" s="35"/>
      <c r="AS830" s="35"/>
      <c r="AT830" s="35"/>
      <c r="AU830" s="14" t="s">
        <v>2447</v>
      </c>
      <c r="AV830" s="14"/>
      <c r="AW830" s="14"/>
      <c r="AX830" s="14"/>
      <c r="AY830" s="14"/>
      <c r="AZ830" s="14"/>
      <c r="BA830" s="29"/>
      <c r="BB830" s="14"/>
      <c r="BC830" s="14"/>
      <c r="BD830" s="14"/>
      <c r="BE830" s="29" t="s">
        <v>3065</v>
      </c>
      <c r="BF830" s="29">
        <v>123</v>
      </c>
      <c r="BG830" s="14">
        <v>2.0699999999999998</v>
      </c>
      <c r="BH830" s="14">
        <v>1.58</v>
      </c>
      <c r="BI830" s="14">
        <v>2.72</v>
      </c>
      <c r="BJ830" s="29"/>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t="s">
        <v>1639</v>
      </c>
      <c r="CX830" s="14" t="s">
        <v>1640</v>
      </c>
      <c r="CY830" s="14">
        <v>2020</v>
      </c>
      <c r="CZ830" s="36"/>
      <c r="DA830" s="14" t="s">
        <v>1641</v>
      </c>
      <c r="DB830" s="14">
        <v>139</v>
      </c>
      <c r="DC830" s="14">
        <v>5</v>
      </c>
      <c r="DD830" s="14" t="s">
        <v>1642</v>
      </c>
      <c r="DE830" s="14" t="s">
        <v>1643</v>
      </c>
    </row>
    <row r="831" spans="1:109" s="13" customFormat="1" ht="20">
      <c r="A831" s="13" t="s">
        <v>1768</v>
      </c>
      <c r="B831" s="13" t="s">
        <v>1768</v>
      </c>
      <c r="C831" s="13" t="s">
        <v>3653</v>
      </c>
      <c r="D831" s="13" t="s">
        <v>898</v>
      </c>
      <c r="E831" s="13" t="s">
        <v>674</v>
      </c>
      <c r="F831" s="13" t="s">
        <v>1046</v>
      </c>
      <c r="G831" s="14"/>
      <c r="H831" s="13" t="s">
        <v>712</v>
      </c>
      <c r="I831" s="13" t="s">
        <v>3652</v>
      </c>
      <c r="J831" s="13" t="s">
        <v>1979</v>
      </c>
      <c r="K831" s="13" t="s">
        <v>1045</v>
      </c>
      <c r="L831" s="14"/>
      <c r="M831" s="13">
        <v>60</v>
      </c>
      <c r="O831" s="15"/>
      <c r="Q831" s="13">
        <v>52.9</v>
      </c>
      <c r="R831" s="13">
        <v>10.5</v>
      </c>
      <c r="V831" s="14"/>
      <c r="W831" s="14"/>
      <c r="X831" s="14"/>
      <c r="Y831" s="14"/>
      <c r="Z831" s="14"/>
      <c r="AA831" s="14"/>
      <c r="AB831" s="14"/>
      <c r="AC831" s="14"/>
      <c r="AD831" s="34"/>
      <c r="AE831" s="35"/>
      <c r="AF831" s="35"/>
      <c r="AG831" s="35"/>
      <c r="AH831" s="35"/>
      <c r="AI831" s="35"/>
      <c r="AJ831" s="35"/>
      <c r="AK831" s="35"/>
      <c r="AL831" s="35"/>
      <c r="AM831" s="35"/>
      <c r="AN831" s="35"/>
      <c r="AO831" s="35"/>
      <c r="AP831" s="35"/>
      <c r="AQ831" s="35"/>
      <c r="AR831" s="35"/>
      <c r="AS831" s="35"/>
      <c r="AT831" s="35"/>
      <c r="AU831" s="14"/>
      <c r="AV831" s="14"/>
      <c r="AW831" s="14"/>
      <c r="AX831" s="14"/>
      <c r="AY831" s="14"/>
      <c r="AZ831" s="14"/>
      <c r="BA831" s="29"/>
      <c r="BB831" s="14"/>
      <c r="BC831" s="14"/>
      <c r="BD831" s="14"/>
      <c r="BE831" s="29"/>
      <c r="BF831" s="29"/>
      <c r="BG831" s="14"/>
      <c r="BH831" s="14"/>
      <c r="BI831" s="14"/>
      <c r="BJ831" s="29"/>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3" t="s">
        <v>563</v>
      </c>
      <c r="CX831" s="13" t="s">
        <v>559</v>
      </c>
      <c r="CY831" s="13">
        <v>2020</v>
      </c>
      <c r="CZ831" s="13" t="s">
        <v>32</v>
      </c>
      <c r="DA831" s="13" t="s">
        <v>26</v>
      </c>
      <c r="DB831" s="13">
        <v>7</v>
      </c>
      <c r="DC831" s="13">
        <v>10</v>
      </c>
      <c r="DD831" s="13" t="s">
        <v>560</v>
      </c>
      <c r="DE831" s="13" t="s">
        <v>561</v>
      </c>
    </row>
    <row r="832" spans="1:109" s="13" customFormat="1" ht="20">
      <c r="A832" s="13" t="s">
        <v>1768</v>
      </c>
      <c r="B832" s="13" t="s">
        <v>1768</v>
      </c>
      <c r="C832" s="13" t="s">
        <v>3653</v>
      </c>
      <c r="D832" s="13" t="s">
        <v>898</v>
      </c>
      <c r="E832" s="13" t="s">
        <v>674</v>
      </c>
      <c r="F832" s="13" t="s">
        <v>1047</v>
      </c>
      <c r="G832" s="14"/>
      <c r="H832" s="13" t="s">
        <v>712</v>
      </c>
      <c r="I832" s="13" t="s">
        <v>3652</v>
      </c>
      <c r="J832" s="13" t="s">
        <v>1979</v>
      </c>
      <c r="K832" s="13" t="s">
        <v>1045</v>
      </c>
      <c r="L832" s="14"/>
      <c r="M832" s="13">
        <v>60</v>
      </c>
      <c r="O832" s="15"/>
      <c r="Q832" s="13">
        <v>52.9</v>
      </c>
      <c r="R832" s="13">
        <v>10.5</v>
      </c>
      <c r="V832" s="14"/>
      <c r="W832" s="14"/>
      <c r="X832" s="14"/>
      <c r="Y832" s="14"/>
      <c r="Z832" s="14"/>
      <c r="AA832" s="14"/>
      <c r="AB832" s="14"/>
      <c r="AC832" s="14"/>
      <c r="AD832" s="34"/>
      <c r="AE832" s="35"/>
      <c r="AF832" s="35"/>
      <c r="AG832" s="35"/>
      <c r="AH832" s="35"/>
      <c r="AI832" s="35"/>
      <c r="AJ832" s="35"/>
      <c r="AK832" s="35"/>
      <c r="AL832" s="35"/>
      <c r="AM832" s="35"/>
      <c r="AN832" s="35"/>
      <c r="AO832" s="35"/>
      <c r="AP832" s="35"/>
      <c r="AQ832" s="35"/>
      <c r="AR832" s="35"/>
      <c r="AS832" s="35"/>
      <c r="AT832" s="35"/>
      <c r="AU832" s="14"/>
      <c r="AV832" s="14"/>
      <c r="AW832" s="14"/>
      <c r="AX832" s="14"/>
      <c r="AY832" s="14"/>
      <c r="AZ832" s="14"/>
      <c r="BA832" s="29"/>
      <c r="BB832" s="14"/>
      <c r="BC832" s="14"/>
      <c r="BD832" s="14"/>
      <c r="BE832" s="29"/>
      <c r="BF832" s="29"/>
      <c r="BG832" s="14"/>
      <c r="BH832" s="14"/>
      <c r="BI832" s="14"/>
      <c r="BJ832" s="29"/>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3" t="s">
        <v>563</v>
      </c>
      <c r="CX832" s="13" t="s">
        <v>559</v>
      </c>
      <c r="CY832" s="13">
        <v>2020</v>
      </c>
      <c r="CZ832" s="13" t="s">
        <v>32</v>
      </c>
      <c r="DA832" s="13" t="s">
        <v>26</v>
      </c>
      <c r="DB832" s="13">
        <v>7</v>
      </c>
      <c r="DC832" s="13">
        <v>10</v>
      </c>
      <c r="DD832" s="13" t="s">
        <v>560</v>
      </c>
      <c r="DE832" s="13" t="s">
        <v>561</v>
      </c>
    </row>
    <row r="833" spans="1:109" s="13" customFormat="1" ht="20">
      <c r="A833" s="13" t="s">
        <v>1768</v>
      </c>
      <c r="B833" s="13" t="s">
        <v>1768</v>
      </c>
      <c r="C833" s="13" t="s">
        <v>3654</v>
      </c>
      <c r="D833" s="13" t="s">
        <v>898</v>
      </c>
      <c r="E833" s="13" t="s">
        <v>674</v>
      </c>
      <c r="F833" s="13" t="s">
        <v>1046</v>
      </c>
      <c r="G833" s="14"/>
      <c r="H833" s="13" t="s">
        <v>712</v>
      </c>
      <c r="I833" s="13" t="s">
        <v>3652</v>
      </c>
      <c r="J833" s="13" t="s">
        <v>1979</v>
      </c>
      <c r="K833" s="13" t="s">
        <v>1045</v>
      </c>
      <c r="L833" s="14"/>
      <c r="M833" s="13">
        <v>61</v>
      </c>
      <c r="O833" s="15"/>
      <c r="Q833" s="13">
        <v>57.2</v>
      </c>
      <c r="R833" s="13">
        <v>10.8</v>
      </c>
      <c r="V833" s="14"/>
      <c r="W833" s="14"/>
      <c r="X833" s="14"/>
      <c r="Y833" s="14"/>
      <c r="Z833" s="14"/>
      <c r="AA833" s="14"/>
      <c r="AB833" s="14"/>
      <c r="AC833" s="14"/>
      <c r="AD833" s="34"/>
      <c r="AE833" s="35"/>
      <c r="AF833" s="35"/>
      <c r="AG833" s="35"/>
      <c r="AH833" s="35"/>
      <c r="AI833" s="35"/>
      <c r="AJ833" s="35"/>
      <c r="AK833" s="35"/>
      <c r="AL833" s="35"/>
      <c r="AM833" s="35"/>
      <c r="AN833" s="35"/>
      <c r="AO833" s="35"/>
      <c r="AP833" s="35"/>
      <c r="AQ833" s="35"/>
      <c r="AR833" s="35"/>
      <c r="AS833" s="35"/>
      <c r="AT833" s="35"/>
      <c r="AU833" s="14"/>
      <c r="AV833" s="14"/>
      <c r="AW833" s="14"/>
      <c r="AX833" s="14"/>
      <c r="AY833" s="14"/>
      <c r="AZ833" s="14"/>
      <c r="BA833" s="29"/>
      <c r="BB833" s="14"/>
      <c r="BC833" s="14"/>
      <c r="BD833" s="14"/>
      <c r="BE833" s="29"/>
      <c r="BF833" s="29"/>
      <c r="BG833" s="14"/>
      <c r="BH833" s="14"/>
      <c r="BI833" s="14"/>
      <c r="BJ833" s="29"/>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3" t="s">
        <v>563</v>
      </c>
      <c r="CX833" s="13" t="s">
        <v>559</v>
      </c>
      <c r="CY833" s="13">
        <v>2020</v>
      </c>
      <c r="CZ833" s="13" t="s">
        <v>32</v>
      </c>
      <c r="DA833" s="13" t="s">
        <v>26</v>
      </c>
      <c r="DB833" s="13">
        <v>7</v>
      </c>
      <c r="DC833" s="13">
        <v>10</v>
      </c>
      <c r="DD833" s="13" t="s">
        <v>560</v>
      </c>
      <c r="DE833" s="13" t="s">
        <v>561</v>
      </c>
    </row>
    <row r="834" spans="1:109" s="13" customFormat="1" ht="20">
      <c r="A834" s="13" t="s">
        <v>1768</v>
      </c>
      <c r="B834" s="13" t="s">
        <v>1768</v>
      </c>
      <c r="C834" s="13" t="s">
        <v>3654</v>
      </c>
      <c r="D834" s="13" t="s">
        <v>898</v>
      </c>
      <c r="E834" s="13" t="s">
        <v>674</v>
      </c>
      <c r="F834" s="13" t="s">
        <v>1047</v>
      </c>
      <c r="G834" s="14"/>
      <c r="H834" s="13" t="s">
        <v>712</v>
      </c>
      <c r="I834" s="13" t="s">
        <v>3652</v>
      </c>
      <c r="J834" s="13" t="s">
        <v>1979</v>
      </c>
      <c r="K834" s="13" t="s">
        <v>1045</v>
      </c>
      <c r="L834" s="14"/>
      <c r="M834" s="13">
        <v>61</v>
      </c>
      <c r="O834" s="15"/>
      <c r="Q834" s="13">
        <v>57.2</v>
      </c>
      <c r="R834" s="13">
        <v>10.8</v>
      </c>
      <c r="V834" s="14"/>
      <c r="W834" s="14"/>
      <c r="X834" s="14"/>
      <c r="Y834" s="14"/>
      <c r="Z834" s="14"/>
      <c r="AA834" s="14"/>
      <c r="AB834" s="14"/>
      <c r="AC834" s="14"/>
      <c r="AD834" s="34"/>
      <c r="AE834" s="35"/>
      <c r="AF834" s="35"/>
      <c r="AG834" s="35"/>
      <c r="AH834" s="35"/>
      <c r="AI834" s="35"/>
      <c r="AJ834" s="35"/>
      <c r="AK834" s="35"/>
      <c r="AL834" s="35"/>
      <c r="AM834" s="35"/>
      <c r="AN834" s="35"/>
      <c r="AO834" s="35"/>
      <c r="AP834" s="35"/>
      <c r="AQ834" s="35"/>
      <c r="AR834" s="35"/>
      <c r="AS834" s="35"/>
      <c r="AT834" s="35"/>
      <c r="AU834" s="14"/>
      <c r="AV834" s="14"/>
      <c r="AW834" s="14"/>
      <c r="AX834" s="14"/>
      <c r="AY834" s="14"/>
      <c r="AZ834" s="14"/>
      <c r="BA834" s="29"/>
      <c r="BB834" s="14"/>
      <c r="BC834" s="14"/>
      <c r="BD834" s="14"/>
      <c r="BE834" s="29"/>
      <c r="BF834" s="29"/>
      <c r="BG834" s="14"/>
      <c r="BH834" s="14"/>
      <c r="BI834" s="14"/>
      <c r="BJ834" s="29"/>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3" t="s">
        <v>563</v>
      </c>
      <c r="CX834" s="13" t="s">
        <v>559</v>
      </c>
      <c r="CY834" s="13">
        <v>2020</v>
      </c>
      <c r="CZ834" s="13" t="s">
        <v>32</v>
      </c>
      <c r="DA834" s="13" t="s">
        <v>26</v>
      </c>
      <c r="DB834" s="13">
        <v>7</v>
      </c>
      <c r="DC834" s="13">
        <v>10</v>
      </c>
      <c r="DD834" s="13" t="s">
        <v>560</v>
      </c>
      <c r="DE834" s="13" t="s">
        <v>561</v>
      </c>
    </row>
    <row r="835" spans="1:109" s="13" customFormat="1" ht="20">
      <c r="A835" s="13" t="s">
        <v>1768</v>
      </c>
      <c r="B835" s="13" t="s">
        <v>1768</v>
      </c>
      <c r="C835" s="13" t="s">
        <v>3655</v>
      </c>
      <c r="D835" s="13" t="s">
        <v>898</v>
      </c>
      <c r="E835" s="13" t="s">
        <v>674</v>
      </c>
      <c r="F835" s="13" t="s">
        <v>1046</v>
      </c>
      <c r="G835" s="14"/>
      <c r="H835" s="13" t="s">
        <v>712</v>
      </c>
      <c r="I835" s="13" t="s">
        <v>3652</v>
      </c>
      <c r="J835" s="13" t="s">
        <v>1979</v>
      </c>
      <c r="K835" s="13" t="s">
        <v>1045</v>
      </c>
      <c r="L835" s="14"/>
      <c r="M835" s="13">
        <v>61</v>
      </c>
      <c r="O835" s="15"/>
      <c r="Q835" s="13">
        <v>52.4</v>
      </c>
      <c r="R835" s="13">
        <v>10.199999999999999</v>
      </c>
      <c r="V835" s="14"/>
      <c r="W835" s="14"/>
      <c r="X835" s="14"/>
      <c r="Y835" s="14"/>
      <c r="Z835" s="14"/>
      <c r="AA835" s="14"/>
      <c r="AB835" s="14"/>
      <c r="AC835" s="14"/>
      <c r="AD835" s="34"/>
      <c r="AE835" s="35"/>
      <c r="AF835" s="35"/>
      <c r="AG835" s="35"/>
      <c r="AH835" s="35"/>
      <c r="AI835" s="35"/>
      <c r="AJ835" s="35"/>
      <c r="AK835" s="35"/>
      <c r="AL835" s="35"/>
      <c r="AM835" s="35"/>
      <c r="AN835" s="35"/>
      <c r="AO835" s="35"/>
      <c r="AP835" s="35"/>
      <c r="AQ835" s="35"/>
      <c r="AR835" s="35"/>
      <c r="AS835" s="35"/>
      <c r="AT835" s="35"/>
      <c r="AU835" s="14"/>
      <c r="AV835" s="14"/>
      <c r="AW835" s="14"/>
      <c r="AX835" s="14"/>
      <c r="AY835" s="14"/>
      <c r="AZ835" s="14"/>
      <c r="BA835" s="29"/>
      <c r="BB835" s="14"/>
      <c r="BC835" s="14"/>
      <c r="BD835" s="14"/>
      <c r="BE835" s="29"/>
      <c r="BF835" s="29"/>
      <c r="BG835" s="14"/>
      <c r="BH835" s="14"/>
      <c r="BI835" s="14"/>
      <c r="BJ835" s="29"/>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3" t="s">
        <v>563</v>
      </c>
      <c r="CX835" s="13" t="s">
        <v>559</v>
      </c>
      <c r="CY835" s="13">
        <v>2020</v>
      </c>
      <c r="CZ835" s="13" t="s">
        <v>32</v>
      </c>
      <c r="DA835" s="13" t="s">
        <v>26</v>
      </c>
      <c r="DB835" s="13">
        <v>7</v>
      </c>
      <c r="DC835" s="13">
        <v>10</v>
      </c>
      <c r="DD835" s="13" t="s">
        <v>560</v>
      </c>
      <c r="DE835" s="13" t="s">
        <v>561</v>
      </c>
    </row>
    <row r="836" spans="1:109" s="13" customFormat="1" ht="20">
      <c r="A836" s="13" t="s">
        <v>1768</v>
      </c>
      <c r="B836" s="13" t="s">
        <v>1768</v>
      </c>
      <c r="C836" s="13" t="s">
        <v>3655</v>
      </c>
      <c r="D836" s="13" t="s">
        <v>898</v>
      </c>
      <c r="E836" s="13" t="s">
        <v>674</v>
      </c>
      <c r="F836" s="13" t="s">
        <v>1047</v>
      </c>
      <c r="G836" s="14"/>
      <c r="H836" s="13" t="s">
        <v>712</v>
      </c>
      <c r="I836" s="13" t="s">
        <v>3652</v>
      </c>
      <c r="J836" s="13" t="s">
        <v>1979</v>
      </c>
      <c r="K836" s="13" t="s">
        <v>1045</v>
      </c>
      <c r="L836" s="14"/>
      <c r="M836" s="13">
        <v>61</v>
      </c>
      <c r="O836" s="15"/>
      <c r="Q836" s="13">
        <v>52.4</v>
      </c>
      <c r="R836" s="13">
        <v>10.199999999999999</v>
      </c>
      <c r="V836" s="14"/>
      <c r="W836" s="14"/>
      <c r="X836" s="14"/>
      <c r="Y836" s="14"/>
      <c r="Z836" s="14"/>
      <c r="AA836" s="14"/>
      <c r="AB836" s="14"/>
      <c r="AC836" s="14"/>
      <c r="AD836" s="34"/>
      <c r="AE836" s="35"/>
      <c r="AF836" s="35"/>
      <c r="AG836" s="35"/>
      <c r="AH836" s="35"/>
      <c r="AI836" s="35"/>
      <c r="AJ836" s="35"/>
      <c r="AK836" s="35"/>
      <c r="AL836" s="35"/>
      <c r="AM836" s="35"/>
      <c r="AN836" s="35"/>
      <c r="AO836" s="35"/>
      <c r="AP836" s="35"/>
      <c r="AQ836" s="35"/>
      <c r="AR836" s="35"/>
      <c r="AS836" s="35"/>
      <c r="AT836" s="35"/>
      <c r="AU836" s="14"/>
      <c r="AV836" s="14"/>
      <c r="AW836" s="14"/>
      <c r="AX836" s="14"/>
      <c r="AY836" s="14"/>
      <c r="AZ836" s="14"/>
      <c r="BA836" s="29"/>
      <c r="BB836" s="14"/>
      <c r="BC836" s="14"/>
      <c r="BD836" s="14"/>
      <c r="BE836" s="29"/>
      <c r="BF836" s="29"/>
      <c r="BG836" s="14"/>
      <c r="BH836" s="14"/>
      <c r="BI836" s="14"/>
      <c r="BJ836" s="29"/>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3" t="s">
        <v>563</v>
      </c>
      <c r="CX836" s="13" t="s">
        <v>559</v>
      </c>
      <c r="CY836" s="13">
        <v>2020</v>
      </c>
      <c r="CZ836" s="13" t="s">
        <v>32</v>
      </c>
      <c r="DA836" s="13" t="s">
        <v>26</v>
      </c>
      <c r="DB836" s="13">
        <v>7</v>
      </c>
      <c r="DC836" s="13">
        <v>10</v>
      </c>
      <c r="DD836" s="13" t="s">
        <v>560</v>
      </c>
      <c r="DE836" s="13" t="s">
        <v>561</v>
      </c>
    </row>
    <row r="837" spans="1:109" s="13" customFormat="1" ht="20">
      <c r="A837" s="14" t="s">
        <v>1946</v>
      </c>
      <c r="B837" s="14"/>
      <c r="C837" s="14" t="s">
        <v>1638</v>
      </c>
      <c r="D837" s="14" t="s">
        <v>898</v>
      </c>
      <c r="E837" s="14" t="s">
        <v>673</v>
      </c>
      <c r="F837" s="14" t="s">
        <v>675</v>
      </c>
      <c r="G837" s="14"/>
      <c r="H837" s="14" t="s">
        <v>712</v>
      </c>
      <c r="I837" s="14" t="s">
        <v>2998</v>
      </c>
      <c r="J837" s="14" t="s">
        <v>652</v>
      </c>
      <c r="K837" s="14" t="s">
        <v>3060</v>
      </c>
      <c r="L837" s="14" t="s">
        <v>639</v>
      </c>
      <c r="M837" s="14">
        <v>103</v>
      </c>
      <c r="N837" s="14"/>
      <c r="O837" s="34"/>
      <c r="P837" s="14"/>
      <c r="Q837" s="14"/>
      <c r="R837" s="14"/>
      <c r="S837" s="14">
        <v>55</v>
      </c>
      <c r="T837" s="14">
        <v>48</v>
      </c>
      <c r="U837" s="14">
        <v>64</v>
      </c>
      <c r="V837" s="14">
        <v>65</v>
      </c>
      <c r="W837" s="14">
        <f t="shared" ref="W837:W844" si="79">V837/M837</f>
        <v>0.6310679611650486</v>
      </c>
      <c r="X837" s="14"/>
      <c r="Y837" s="14"/>
      <c r="Z837" s="14"/>
      <c r="AA837" s="14"/>
      <c r="AB837" s="14"/>
      <c r="AC837" s="14"/>
      <c r="AD837" s="34"/>
      <c r="AE837" s="35"/>
      <c r="AF837" s="35"/>
      <c r="AG837" s="35"/>
      <c r="AH837" s="35"/>
      <c r="AI837" s="35"/>
      <c r="AJ837" s="35"/>
      <c r="AK837" s="35"/>
      <c r="AL837" s="35"/>
      <c r="AM837" s="35"/>
      <c r="AN837" s="35"/>
      <c r="AO837" s="35"/>
      <c r="AP837" s="35"/>
      <c r="AQ837" s="35"/>
      <c r="AR837" s="35"/>
      <c r="AS837" s="35"/>
      <c r="AT837" s="35"/>
      <c r="AU837" s="14"/>
      <c r="AV837" s="14"/>
      <c r="AW837" s="14"/>
      <c r="AX837" s="14"/>
      <c r="AY837" s="14"/>
      <c r="AZ837" s="14"/>
      <c r="BA837" s="29"/>
      <c r="BB837" s="14"/>
      <c r="BC837" s="14"/>
      <c r="BD837" s="14"/>
      <c r="BE837" s="29"/>
      <c r="BF837" s="29"/>
      <c r="BG837" s="14"/>
      <c r="BH837" s="14"/>
      <c r="BI837" s="14"/>
      <c r="BJ837" s="29"/>
      <c r="BK837" s="14"/>
      <c r="BL837" s="14"/>
      <c r="BM837" s="14"/>
      <c r="BN837" s="14" t="s">
        <v>2231</v>
      </c>
      <c r="BO837" s="14" t="s">
        <v>2500</v>
      </c>
      <c r="BP837" s="14"/>
      <c r="BQ837" s="14">
        <v>0.46600000000000003</v>
      </c>
      <c r="BR837" s="14"/>
      <c r="BS837" s="14"/>
      <c r="BT837" s="14"/>
      <c r="BU837" s="14" t="s">
        <v>701</v>
      </c>
      <c r="BV837" s="14"/>
      <c r="BW837" s="14"/>
      <c r="BX837" s="14"/>
      <c r="BY837" s="14"/>
      <c r="BZ837" s="14"/>
      <c r="CA837" s="14"/>
      <c r="CB837" s="14"/>
      <c r="CC837" s="14"/>
      <c r="CD837" s="14"/>
      <c r="CE837" s="14"/>
      <c r="CF837" s="14"/>
      <c r="CG837" s="14"/>
      <c r="CH837" s="14"/>
      <c r="CI837" s="14"/>
      <c r="CJ837" s="14"/>
      <c r="CK837" s="14"/>
      <c r="CL837" s="14"/>
      <c r="CM837" s="14"/>
      <c r="CN837" s="14"/>
      <c r="CO837" s="14"/>
      <c r="CP837" s="14"/>
      <c r="CQ837" s="14"/>
      <c r="CR837" s="14"/>
      <c r="CS837" s="14"/>
      <c r="CT837" s="14"/>
      <c r="CU837" s="14"/>
      <c r="CV837" s="14" t="s">
        <v>3061</v>
      </c>
      <c r="CW837" s="14" t="s">
        <v>1635</v>
      </c>
      <c r="CX837" s="14" t="s">
        <v>1636</v>
      </c>
      <c r="CY837" s="14">
        <v>2022</v>
      </c>
      <c r="CZ837" s="36" t="s">
        <v>253</v>
      </c>
      <c r="DA837" s="14" t="s">
        <v>1215</v>
      </c>
      <c r="DB837" s="14">
        <v>13</v>
      </c>
      <c r="DC837" s="14"/>
      <c r="DD837" s="14"/>
      <c r="DE837" s="14" t="s">
        <v>1637</v>
      </c>
    </row>
    <row r="838" spans="1:109" s="13" customFormat="1" ht="20">
      <c r="A838" s="14" t="s">
        <v>1949</v>
      </c>
      <c r="B838" s="14"/>
      <c r="C838" s="14" t="s">
        <v>1652</v>
      </c>
      <c r="D838" s="14" t="s">
        <v>898</v>
      </c>
      <c r="E838" s="14" t="s">
        <v>672</v>
      </c>
      <c r="F838" s="14" t="s">
        <v>578</v>
      </c>
      <c r="G838" s="14"/>
      <c r="H838" s="14" t="s">
        <v>712</v>
      </c>
      <c r="I838" s="14" t="s">
        <v>2875</v>
      </c>
      <c r="J838" s="14" t="s">
        <v>3072</v>
      </c>
      <c r="K838" s="14"/>
      <c r="L838" s="14" t="s">
        <v>2512</v>
      </c>
      <c r="M838" s="14">
        <v>323</v>
      </c>
      <c r="N838" s="14"/>
      <c r="O838" s="34"/>
      <c r="P838" s="14"/>
      <c r="Q838" s="14">
        <v>52.3</v>
      </c>
      <c r="R838" s="14">
        <v>10.199999999999999</v>
      </c>
      <c r="S838" s="14"/>
      <c r="T838" s="14"/>
      <c r="U838" s="14"/>
      <c r="V838" s="27">
        <v>185</v>
      </c>
      <c r="W838" s="14">
        <f t="shared" si="79"/>
        <v>0.5727554179566563</v>
      </c>
      <c r="X838" s="14"/>
      <c r="Y838" s="14"/>
      <c r="Z838" s="14"/>
      <c r="AA838" s="14"/>
      <c r="AB838" s="14"/>
      <c r="AC838" s="14">
        <v>275</v>
      </c>
      <c r="AD838" s="34">
        <f t="shared" ref="AD838:AD844" si="80">AC838/M838</f>
        <v>0.85139318885448911</v>
      </c>
      <c r="AE838" s="35"/>
      <c r="AF838" s="35"/>
      <c r="AG838" s="35">
        <v>12</v>
      </c>
      <c r="AH838" s="35">
        <v>7</v>
      </c>
      <c r="AI838" s="35">
        <v>19</v>
      </c>
      <c r="AJ838" s="35"/>
      <c r="AK838" s="35"/>
      <c r="AL838" s="35"/>
      <c r="AM838" s="35"/>
      <c r="AN838" s="35"/>
      <c r="AO838" s="35"/>
      <c r="AP838" s="35"/>
      <c r="AQ838" s="35"/>
      <c r="AR838" s="35"/>
      <c r="AS838" s="35"/>
      <c r="AT838" s="35"/>
      <c r="AU838" s="14" t="s">
        <v>2449</v>
      </c>
      <c r="AV838" s="14"/>
      <c r="AW838" s="14"/>
      <c r="AX838" s="14"/>
      <c r="AY838" s="14"/>
      <c r="AZ838" s="14"/>
      <c r="BA838" s="29"/>
      <c r="BB838" s="14"/>
      <c r="BC838" s="14"/>
      <c r="BD838" s="14"/>
      <c r="BE838" s="29"/>
      <c r="BF838" s="29"/>
      <c r="BG838" s="14"/>
      <c r="BH838" s="14"/>
      <c r="BI838" s="14"/>
      <c r="BJ838" s="29"/>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t="s">
        <v>1649</v>
      </c>
      <c r="CX838" s="14" t="s">
        <v>1650</v>
      </c>
      <c r="CY838" s="14">
        <v>2020</v>
      </c>
      <c r="CZ838" s="36">
        <v>45488</v>
      </c>
      <c r="DA838" s="14" t="s">
        <v>1132</v>
      </c>
      <c r="DB838" s="14">
        <v>414</v>
      </c>
      <c r="DC838" s="14"/>
      <c r="DD838" s="14" t="s">
        <v>2141</v>
      </c>
      <c r="DE838" s="14" t="s">
        <v>1651</v>
      </c>
    </row>
    <row r="839" spans="1:109" s="13" customFormat="1" ht="20">
      <c r="A839" s="14" t="s">
        <v>1949</v>
      </c>
      <c r="B839" s="14"/>
      <c r="C839" s="14" t="s">
        <v>1652</v>
      </c>
      <c r="D839" s="14" t="s">
        <v>898</v>
      </c>
      <c r="E839" s="14" t="s">
        <v>672</v>
      </c>
      <c r="F839" s="14" t="s">
        <v>2957</v>
      </c>
      <c r="G839" s="14"/>
      <c r="H839" s="14" t="s">
        <v>712</v>
      </c>
      <c r="I839" s="14" t="s">
        <v>2875</v>
      </c>
      <c r="J839" s="14" t="s">
        <v>3071</v>
      </c>
      <c r="K839" s="14" t="s">
        <v>3071</v>
      </c>
      <c r="L839" s="14" t="s">
        <v>2455</v>
      </c>
      <c r="M839" s="14">
        <v>305</v>
      </c>
      <c r="N839" s="14"/>
      <c r="O839" s="34"/>
      <c r="P839" s="14"/>
      <c r="Q839" s="14">
        <v>52.4</v>
      </c>
      <c r="R839" s="14">
        <v>10.3</v>
      </c>
      <c r="S839" s="14"/>
      <c r="T839" s="14"/>
      <c r="U839" s="14"/>
      <c r="V839" s="27">
        <v>171</v>
      </c>
      <c r="W839" s="14">
        <f t="shared" si="79"/>
        <v>0.56065573770491806</v>
      </c>
      <c r="X839" s="14"/>
      <c r="Y839" s="14"/>
      <c r="Z839" s="14"/>
      <c r="AA839" s="14"/>
      <c r="AB839" s="14"/>
      <c r="AC839" s="14">
        <v>258</v>
      </c>
      <c r="AD839" s="34">
        <f t="shared" si="80"/>
        <v>0.84590163934426232</v>
      </c>
      <c r="AE839" s="35"/>
      <c r="AF839" s="35"/>
      <c r="AG839" s="35">
        <v>12</v>
      </c>
      <c r="AH839" s="35">
        <v>7</v>
      </c>
      <c r="AI839" s="35">
        <v>18</v>
      </c>
      <c r="AJ839" s="35"/>
      <c r="AK839" s="35"/>
      <c r="AL839" s="35"/>
      <c r="AM839" s="35"/>
      <c r="AN839" s="35"/>
      <c r="AO839" s="35"/>
      <c r="AP839" s="35"/>
      <c r="AQ839" s="35"/>
      <c r="AR839" s="35"/>
      <c r="AS839" s="35"/>
      <c r="AT839" s="35"/>
      <c r="AU839" s="14" t="s">
        <v>2449</v>
      </c>
      <c r="AV839" s="14"/>
      <c r="AW839" s="14"/>
      <c r="AX839" s="14"/>
      <c r="AY839" s="14"/>
      <c r="AZ839" s="14"/>
      <c r="BA839" s="29"/>
      <c r="BB839" s="14"/>
      <c r="BC839" s="14"/>
      <c r="BD839" s="14"/>
      <c r="BE839" s="29"/>
      <c r="BF839" s="29"/>
      <c r="BG839" s="14"/>
      <c r="BH839" s="14"/>
      <c r="BI839" s="14"/>
      <c r="BJ839" s="29"/>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t="s">
        <v>1649</v>
      </c>
      <c r="CX839" s="14" t="s">
        <v>1650</v>
      </c>
      <c r="CY839" s="14">
        <v>2020</v>
      </c>
      <c r="CZ839" s="36">
        <v>45488</v>
      </c>
      <c r="DA839" s="14" t="s">
        <v>1132</v>
      </c>
      <c r="DB839" s="14">
        <v>414</v>
      </c>
      <c r="DC839" s="14"/>
      <c r="DD839" s="14" t="s">
        <v>2141</v>
      </c>
      <c r="DE839" s="14" t="s">
        <v>1651</v>
      </c>
    </row>
    <row r="840" spans="1:109" s="13" customFormat="1" ht="20">
      <c r="A840" s="14" t="s">
        <v>1949</v>
      </c>
      <c r="B840" s="14"/>
      <c r="C840" s="14" t="s">
        <v>1652</v>
      </c>
      <c r="D840" s="14" t="s">
        <v>898</v>
      </c>
      <c r="E840" s="14" t="s">
        <v>672</v>
      </c>
      <c r="F840" s="14" t="s">
        <v>2954</v>
      </c>
      <c r="G840" s="14"/>
      <c r="H840" s="14" t="s">
        <v>712</v>
      </c>
      <c r="I840" s="14" t="s">
        <v>2875</v>
      </c>
      <c r="J840" s="14" t="s">
        <v>3071</v>
      </c>
      <c r="K840" s="14" t="s">
        <v>3071</v>
      </c>
      <c r="L840" s="14" t="s">
        <v>2455</v>
      </c>
      <c r="M840" s="14">
        <v>306</v>
      </c>
      <c r="N840" s="14"/>
      <c r="O840" s="34"/>
      <c r="P840" s="14"/>
      <c r="Q840" s="14">
        <v>52.4</v>
      </c>
      <c r="R840" s="14">
        <v>10.3</v>
      </c>
      <c r="S840" s="14"/>
      <c r="T840" s="14"/>
      <c r="U840" s="14"/>
      <c r="V840" s="27">
        <v>172</v>
      </c>
      <c r="W840" s="14">
        <f t="shared" si="79"/>
        <v>0.56209150326797386</v>
      </c>
      <c r="X840" s="14"/>
      <c r="Y840" s="14"/>
      <c r="Z840" s="14"/>
      <c r="AA840" s="14"/>
      <c r="AB840" s="14"/>
      <c r="AC840" s="14">
        <v>259</v>
      </c>
      <c r="AD840" s="34">
        <f t="shared" si="80"/>
        <v>0.84640522875816993</v>
      </c>
      <c r="AE840" s="35"/>
      <c r="AF840" s="35"/>
      <c r="AG840" s="35">
        <v>12</v>
      </c>
      <c r="AH840" s="35">
        <v>7</v>
      </c>
      <c r="AI840" s="35">
        <v>18</v>
      </c>
      <c r="AJ840" s="35"/>
      <c r="AK840" s="35"/>
      <c r="AL840" s="35"/>
      <c r="AM840" s="35"/>
      <c r="AN840" s="35"/>
      <c r="AO840" s="35"/>
      <c r="AP840" s="35"/>
      <c r="AQ840" s="35"/>
      <c r="AR840" s="35"/>
      <c r="AS840" s="35"/>
      <c r="AT840" s="35"/>
      <c r="AU840" s="14" t="s">
        <v>2449</v>
      </c>
      <c r="AV840" s="14"/>
      <c r="AW840" s="14"/>
      <c r="AX840" s="14"/>
      <c r="AY840" s="14"/>
      <c r="AZ840" s="14"/>
      <c r="BA840" s="29"/>
      <c r="BB840" s="14"/>
      <c r="BC840" s="14"/>
      <c r="BD840" s="14"/>
      <c r="BE840" s="29"/>
      <c r="BF840" s="29"/>
      <c r="BG840" s="14"/>
      <c r="BH840" s="14"/>
      <c r="BI840" s="14"/>
      <c r="BJ840" s="29"/>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t="s">
        <v>1649</v>
      </c>
      <c r="CX840" s="14" t="s">
        <v>1650</v>
      </c>
      <c r="CY840" s="14">
        <v>2020</v>
      </c>
      <c r="CZ840" s="36">
        <v>45488</v>
      </c>
      <c r="DA840" s="14" t="s">
        <v>1132</v>
      </c>
      <c r="DB840" s="14">
        <v>414</v>
      </c>
      <c r="DC840" s="14"/>
      <c r="DD840" s="14" t="s">
        <v>2141</v>
      </c>
      <c r="DE840" s="14" t="s">
        <v>1651</v>
      </c>
    </row>
    <row r="841" spans="1:109" s="13" customFormat="1" ht="20">
      <c r="A841" s="14" t="s">
        <v>1949</v>
      </c>
      <c r="B841" s="14"/>
      <c r="C841" s="14" t="s">
        <v>1652</v>
      </c>
      <c r="D841" s="14" t="s">
        <v>898</v>
      </c>
      <c r="E841" s="14" t="s">
        <v>672</v>
      </c>
      <c r="F841" s="14" t="s">
        <v>2958</v>
      </c>
      <c r="G841" s="14"/>
      <c r="H841" s="14" t="s">
        <v>712</v>
      </c>
      <c r="I841" s="14" t="s">
        <v>2875</v>
      </c>
      <c r="J841" s="14" t="s">
        <v>3071</v>
      </c>
      <c r="K841" s="14" t="s">
        <v>3071</v>
      </c>
      <c r="L841" s="14" t="s">
        <v>2455</v>
      </c>
      <c r="M841" s="14">
        <v>255</v>
      </c>
      <c r="N841" s="14"/>
      <c r="O841" s="34"/>
      <c r="P841" s="14"/>
      <c r="Q841" s="14">
        <v>52.3</v>
      </c>
      <c r="R841" s="14">
        <v>10.6</v>
      </c>
      <c r="S841" s="14"/>
      <c r="T841" s="14"/>
      <c r="U841" s="14"/>
      <c r="V841" s="27">
        <v>141</v>
      </c>
      <c r="W841" s="14">
        <f t="shared" si="79"/>
        <v>0.55294117647058827</v>
      </c>
      <c r="X841" s="14"/>
      <c r="Y841" s="14"/>
      <c r="Z841" s="14"/>
      <c r="AA841" s="14"/>
      <c r="AB841" s="14"/>
      <c r="AC841" s="14">
        <v>221</v>
      </c>
      <c r="AD841" s="34">
        <f t="shared" si="80"/>
        <v>0.8666666666666667</v>
      </c>
      <c r="AE841" s="35"/>
      <c r="AF841" s="35"/>
      <c r="AG841" s="35">
        <v>12</v>
      </c>
      <c r="AH841" s="35">
        <v>7</v>
      </c>
      <c r="AI841" s="35">
        <v>17</v>
      </c>
      <c r="AJ841" s="35"/>
      <c r="AK841" s="35"/>
      <c r="AL841" s="35"/>
      <c r="AM841" s="35"/>
      <c r="AN841" s="35"/>
      <c r="AO841" s="35"/>
      <c r="AP841" s="35"/>
      <c r="AQ841" s="35"/>
      <c r="AR841" s="35"/>
      <c r="AS841" s="35"/>
      <c r="AT841" s="35"/>
      <c r="AU841" s="14" t="s">
        <v>2449</v>
      </c>
      <c r="AV841" s="14"/>
      <c r="AW841" s="14"/>
      <c r="AX841" s="14"/>
      <c r="AY841" s="14"/>
      <c r="AZ841" s="14"/>
      <c r="BA841" s="29"/>
      <c r="BB841" s="14"/>
      <c r="BC841" s="14"/>
      <c r="BD841" s="14"/>
      <c r="BE841" s="29"/>
      <c r="BF841" s="29"/>
      <c r="BG841" s="14"/>
      <c r="BH841" s="14"/>
      <c r="BI841" s="14"/>
      <c r="BJ841" s="29"/>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t="s">
        <v>1649</v>
      </c>
      <c r="CX841" s="14" t="s">
        <v>1650</v>
      </c>
      <c r="CY841" s="14">
        <v>2020</v>
      </c>
      <c r="CZ841" s="36">
        <v>45488</v>
      </c>
      <c r="DA841" s="14" t="s">
        <v>1132</v>
      </c>
      <c r="DB841" s="14">
        <v>414</v>
      </c>
      <c r="DC841" s="14"/>
      <c r="DD841" s="14" t="s">
        <v>2141</v>
      </c>
      <c r="DE841" s="14" t="s">
        <v>1651</v>
      </c>
    </row>
    <row r="842" spans="1:109" s="13" customFormat="1" ht="20">
      <c r="A842" s="14" t="s">
        <v>1949</v>
      </c>
      <c r="B842" s="14"/>
      <c r="C842" s="14" t="s">
        <v>1652</v>
      </c>
      <c r="D842" s="14" t="s">
        <v>898</v>
      </c>
      <c r="E842" s="14" t="s">
        <v>673</v>
      </c>
      <c r="F842" s="14" t="s">
        <v>2957</v>
      </c>
      <c r="G842" s="14"/>
      <c r="H842" s="14" t="s">
        <v>712</v>
      </c>
      <c r="I842" s="14" t="s">
        <v>2875</v>
      </c>
      <c r="J842" s="14" t="s">
        <v>3071</v>
      </c>
      <c r="K842" s="14" t="s">
        <v>3071</v>
      </c>
      <c r="L842" s="14" t="s">
        <v>2455</v>
      </c>
      <c r="M842" s="14">
        <v>69</v>
      </c>
      <c r="N842" s="14"/>
      <c r="O842" s="34"/>
      <c r="P842" s="14"/>
      <c r="Q842" s="14">
        <v>53.2</v>
      </c>
      <c r="R842" s="14">
        <v>9.8000000000000007</v>
      </c>
      <c r="S842" s="14"/>
      <c r="T842" s="14"/>
      <c r="U842" s="14"/>
      <c r="V842" s="27">
        <v>42</v>
      </c>
      <c r="W842" s="14">
        <f t="shared" si="79"/>
        <v>0.60869565217391308</v>
      </c>
      <c r="X842" s="14"/>
      <c r="Y842" s="14"/>
      <c r="Z842" s="14"/>
      <c r="AA842" s="14"/>
      <c r="AB842" s="14"/>
      <c r="AC842" s="14">
        <v>60</v>
      </c>
      <c r="AD842" s="34">
        <f t="shared" si="80"/>
        <v>0.86956521739130432</v>
      </c>
      <c r="AE842" s="35"/>
      <c r="AF842" s="35"/>
      <c r="AG842" s="35">
        <v>13</v>
      </c>
      <c r="AH842" s="35">
        <v>8</v>
      </c>
      <c r="AI842" s="35">
        <v>21</v>
      </c>
      <c r="AJ842" s="35"/>
      <c r="AK842" s="35"/>
      <c r="AL842" s="35"/>
      <c r="AM842" s="35"/>
      <c r="AN842" s="35"/>
      <c r="AO842" s="35"/>
      <c r="AP842" s="35"/>
      <c r="AQ842" s="35"/>
      <c r="AR842" s="35"/>
      <c r="AS842" s="35"/>
      <c r="AT842" s="35"/>
      <c r="AU842" s="14" t="s">
        <v>2449</v>
      </c>
      <c r="AV842" s="14"/>
      <c r="AW842" s="14"/>
      <c r="AX842" s="14"/>
      <c r="AY842" s="14"/>
      <c r="AZ842" s="14"/>
      <c r="BA842" s="29"/>
      <c r="BB842" s="14"/>
      <c r="BC842" s="14"/>
      <c r="BD842" s="14"/>
      <c r="BE842" s="29"/>
      <c r="BF842" s="29"/>
      <c r="BG842" s="14"/>
      <c r="BH842" s="14"/>
      <c r="BI842" s="14"/>
      <c r="BJ842" s="29"/>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t="s">
        <v>1649</v>
      </c>
      <c r="CX842" s="14" t="s">
        <v>1650</v>
      </c>
      <c r="CY842" s="14">
        <v>2020</v>
      </c>
      <c r="CZ842" s="36">
        <v>45488</v>
      </c>
      <c r="DA842" s="14" t="s">
        <v>1132</v>
      </c>
      <c r="DB842" s="14">
        <v>414</v>
      </c>
      <c r="DC842" s="14"/>
      <c r="DD842" s="14" t="s">
        <v>2141</v>
      </c>
      <c r="DE842" s="14" t="s">
        <v>1651</v>
      </c>
    </row>
    <row r="843" spans="1:109" s="13" customFormat="1" ht="20">
      <c r="A843" s="14" t="s">
        <v>1949</v>
      </c>
      <c r="B843" s="14"/>
      <c r="C843" s="14" t="s">
        <v>1652</v>
      </c>
      <c r="D843" s="14" t="s">
        <v>898</v>
      </c>
      <c r="E843" s="14" t="s">
        <v>673</v>
      </c>
      <c r="F843" s="14" t="s">
        <v>2954</v>
      </c>
      <c r="G843" s="14"/>
      <c r="H843" s="14" t="s">
        <v>712</v>
      </c>
      <c r="I843" s="14" t="s">
        <v>2875</v>
      </c>
      <c r="J843" s="14" t="s">
        <v>3071</v>
      </c>
      <c r="K843" s="14" t="s">
        <v>3071</v>
      </c>
      <c r="L843" s="14" t="s">
        <v>2455</v>
      </c>
      <c r="M843" s="14">
        <v>69</v>
      </c>
      <c r="N843" s="14"/>
      <c r="O843" s="34"/>
      <c r="P843" s="14"/>
      <c r="Q843" s="14">
        <v>53.2</v>
      </c>
      <c r="R843" s="14">
        <v>9.8000000000000007</v>
      </c>
      <c r="S843" s="14"/>
      <c r="T843" s="14"/>
      <c r="U843" s="14"/>
      <c r="V843" s="27">
        <v>42</v>
      </c>
      <c r="W843" s="14">
        <f t="shared" si="79"/>
        <v>0.60869565217391308</v>
      </c>
      <c r="X843" s="14"/>
      <c r="Y843" s="14"/>
      <c r="Z843" s="14"/>
      <c r="AA843" s="14"/>
      <c r="AB843" s="14"/>
      <c r="AC843" s="14">
        <v>60</v>
      </c>
      <c r="AD843" s="34">
        <f t="shared" si="80"/>
        <v>0.86956521739130432</v>
      </c>
      <c r="AE843" s="35"/>
      <c r="AF843" s="35"/>
      <c r="AG843" s="35">
        <v>13</v>
      </c>
      <c r="AH843" s="35">
        <v>8</v>
      </c>
      <c r="AI843" s="35">
        <v>21</v>
      </c>
      <c r="AJ843" s="35"/>
      <c r="AK843" s="35"/>
      <c r="AL843" s="35"/>
      <c r="AM843" s="35"/>
      <c r="AN843" s="35"/>
      <c r="AO843" s="35"/>
      <c r="AP843" s="35"/>
      <c r="AQ843" s="35"/>
      <c r="AR843" s="35"/>
      <c r="AS843" s="35"/>
      <c r="AT843" s="35"/>
      <c r="AU843" s="14" t="s">
        <v>2449</v>
      </c>
      <c r="AV843" s="14"/>
      <c r="AW843" s="14"/>
      <c r="AX843" s="14"/>
      <c r="AY843" s="14"/>
      <c r="AZ843" s="14"/>
      <c r="BA843" s="29"/>
      <c r="BB843" s="14"/>
      <c r="BC843" s="14"/>
      <c r="BD843" s="14"/>
      <c r="BE843" s="29"/>
      <c r="BF843" s="29"/>
      <c r="BG843" s="14"/>
      <c r="BH843" s="14"/>
      <c r="BI843" s="14"/>
      <c r="BJ843" s="29"/>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t="s">
        <v>1649</v>
      </c>
      <c r="CX843" s="14" t="s">
        <v>1650</v>
      </c>
      <c r="CY843" s="14">
        <v>2020</v>
      </c>
      <c r="CZ843" s="36">
        <v>45488</v>
      </c>
      <c r="DA843" s="14" t="s">
        <v>1132</v>
      </c>
      <c r="DB843" s="14">
        <v>414</v>
      </c>
      <c r="DC843" s="14"/>
      <c r="DD843" s="14" t="s">
        <v>2141</v>
      </c>
      <c r="DE843" s="14" t="s">
        <v>1651</v>
      </c>
    </row>
    <row r="844" spans="1:109" s="13" customFormat="1" ht="20">
      <c r="A844" s="14" t="s">
        <v>1949</v>
      </c>
      <c r="B844" s="14"/>
      <c r="C844" s="14" t="s">
        <v>1652</v>
      </c>
      <c r="D844" s="14" t="s">
        <v>898</v>
      </c>
      <c r="E844" s="14" t="s">
        <v>673</v>
      </c>
      <c r="F844" s="14" t="s">
        <v>2958</v>
      </c>
      <c r="G844" s="14"/>
      <c r="H844" s="14" t="s">
        <v>712</v>
      </c>
      <c r="I844" s="14" t="s">
        <v>2875</v>
      </c>
      <c r="J844" s="14" t="s">
        <v>3071</v>
      </c>
      <c r="K844" s="14" t="s">
        <v>3071</v>
      </c>
      <c r="L844" s="14" t="s">
        <v>2455</v>
      </c>
      <c r="M844" s="14">
        <v>68</v>
      </c>
      <c r="N844" s="14"/>
      <c r="O844" s="34"/>
      <c r="P844" s="14"/>
      <c r="Q844" s="14">
        <v>53</v>
      </c>
      <c r="R844" s="14">
        <v>9.6999999999999993</v>
      </c>
      <c r="S844" s="14"/>
      <c r="T844" s="14"/>
      <c r="U844" s="14"/>
      <c r="V844" s="27">
        <v>42</v>
      </c>
      <c r="W844" s="14">
        <f t="shared" si="79"/>
        <v>0.61764705882352944</v>
      </c>
      <c r="X844" s="14"/>
      <c r="Y844" s="14"/>
      <c r="Z844" s="14"/>
      <c r="AA844" s="14"/>
      <c r="AB844" s="14"/>
      <c r="AC844" s="14">
        <v>59</v>
      </c>
      <c r="AD844" s="34">
        <f t="shared" si="80"/>
        <v>0.86764705882352944</v>
      </c>
      <c r="AE844" s="35"/>
      <c r="AF844" s="35"/>
      <c r="AG844" s="35">
        <v>13</v>
      </c>
      <c r="AH844" s="35">
        <v>8</v>
      </c>
      <c r="AI844" s="35">
        <v>20</v>
      </c>
      <c r="AJ844" s="35"/>
      <c r="AK844" s="35"/>
      <c r="AL844" s="35"/>
      <c r="AM844" s="35"/>
      <c r="AN844" s="35"/>
      <c r="AO844" s="35"/>
      <c r="AP844" s="35"/>
      <c r="AQ844" s="35"/>
      <c r="AR844" s="35"/>
      <c r="AS844" s="35"/>
      <c r="AT844" s="35"/>
      <c r="AU844" s="14" t="s">
        <v>2449</v>
      </c>
      <c r="AV844" s="14"/>
      <c r="AW844" s="14"/>
      <c r="AX844" s="14"/>
      <c r="AY844" s="14"/>
      <c r="AZ844" s="14"/>
      <c r="BA844" s="29"/>
      <c r="BB844" s="14"/>
      <c r="BC844" s="14"/>
      <c r="BD844" s="14"/>
      <c r="BE844" s="29"/>
      <c r="BF844" s="29"/>
      <c r="BG844" s="14"/>
      <c r="BH844" s="14"/>
      <c r="BI844" s="14"/>
      <c r="BJ844" s="29"/>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t="s">
        <v>1649</v>
      </c>
      <c r="CX844" s="14" t="s">
        <v>1650</v>
      </c>
      <c r="CY844" s="14">
        <v>2020</v>
      </c>
      <c r="CZ844" s="36">
        <v>45488</v>
      </c>
      <c r="DA844" s="14" t="s">
        <v>1132</v>
      </c>
      <c r="DB844" s="14">
        <v>414</v>
      </c>
      <c r="DC844" s="14"/>
      <c r="DD844" s="14" t="s">
        <v>2141</v>
      </c>
      <c r="DE844" s="14" t="s">
        <v>1651</v>
      </c>
    </row>
    <row r="845" spans="1:109" s="13" customFormat="1" ht="20">
      <c r="A845" s="14" t="s">
        <v>1951</v>
      </c>
      <c r="B845" s="14"/>
      <c r="C845" s="14" t="s">
        <v>1656</v>
      </c>
      <c r="D845" s="14" t="s">
        <v>4179</v>
      </c>
      <c r="E845" s="29" t="s">
        <v>725</v>
      </c>
      <c r="F845" s="29" t="s">
        <v>675</v>
      </c>
      <c r="G845" s="14"/>
      <c r="H845" s="14"/>
      <c r="I845" s="14"/>
      <c r="J845" s="14"/>
      <c r="K845" s="14"/>
      <c r="L845" s="14"/>
      <c r="M845" s="14"/>
      <c r="N845" s="14"/>
      <c r="O845" s="34"/>
      <c r="P845" s="14"/>
      <c r="Q845" s="14"/>
      <c r="R845" s="14"/>
      <c r="S845" s="14"/>
      <c r="T845" s="14"/>
      <c r="U845" s="14"/>
      <c r="V845" s="14"/>
      <c r="W845" s="14"/>
      <c r="X845" s="14"/>
      <c r="Y845" s="14"/>
      <c r="Z845" s="14"/>
      <c r="AA845" s="14"/>
      <c r="AB845" s="14"/>
      <c r="AC845" s="14"/>
      <c r="AD845" s="34"/>
      <c r="AE845" s="35"/>
      <c r="AF845" s="35"/>
      <c r="AG845" s="35"/>
      <c r="AH845" s="35"/>
      <c r="AI845" s="35"/>
      <c r="AJ845" s="35"/>
      <c r="AK845" s="35"/>
      <c r="AL845" s="35"/>
      <c r="AM845" s="35"/>
      <c r="AN845" s="35"/>
      <c r="AO845" s="35"/>
      <c r="AP845" s="35"/>
      <c r="AQ845" s="35"/>
      <c r="AR845" s="35"/>
      <c r="AS845" s="35"/>
      <c r="AT845" s="35"/>
      <c r="AU845" s="14"/>
      <c r="AV845" s="14"/>
      <c r="AW845" s="14"/>
      <c r="AX845" s="14"/>
      <c r="AY845" s="14"/>
      <c r="AZ845" s="14"/>
      <c r="BA845" s="29"/>
      <c r="BB845" s="14"/>
      <c r="BC845" s="14"/>
      <c r="BD845" s="14"/>
      <c r="BE845" s="29"/>
      <c r="BF845" s="29"/>
      <c r="BG845" s="14"/>
      <c r="BH845" s="14"/>
      <c r="BI845" s="14"/>
      <c r="BJ845" s="29"/>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t="s">
        <v>1653</v>
      </c>
      <c r="CX845" s="14" t="s">
        <v>1654</v>
      </c>
      <c r="CY845" s="14">
        <v>2021</v>
      </c>
      <c r="CZ845" s="36"/>
      <c r="DA845" s="14" t="s">
        <v>416</v>
      </c>
      <c r="DB845" s="14">
        <v>12</v>
      </c>
      <c r="DC845" s="14"/>
      <c r="DD845" s="14" t="s">
        <v>2140</v>
      </c>
      <c r="DE845" s="14" t="s">
        <v>1655</v>
      </c>
    </row>
    <row r="846" spans="1:109" s="13" customFormat="1" ht="20">
      <c r="A846" s="14" t="s">
        <v>1951</v>
      </c>
      <c r="B846" s="14"/>
      <c r="C846" s="14" t="s">
        <v>1656</v>
      </c>
      <c r="D846" s="14" t="s">
        <v>4179</v>
      </c>
      <c r="E846" s="29" t="s">
        <v>725</v>
      </c>
      <c r="F846" s="29" t="s">
        <v>686</v>
      </c>
      <c r="G846" s="14"/>
      <c r="H846" s="14"/>
      <c r="I846" s="14"/>
      <c r="J846" s="14"/>
      <c r="K846" s="14"/>
      <c r="L846" s="14"/>
      <c r="M846" s="14"/>
      <c r="N846" s="14"/>
      <c r="O846" s="34"/>
      <c r="P846" s="14"/>
      <c r="Q846" s="14"/>
      <c r="R846" s="14"/>
      <c r="S846" s="14"/>
      <c r="T846" s="14"/>
      <c r="U846" s="14"/>
      <c r="V846" s="14"/>
      <c r="W846" s="14"/>
      <c r="X846" s="14"/>
      <c r="Y846" s="14"/>
      <c r="Z846" s="14"/>
      <c r="AA846" s="14"/>
      <c r="AB846" s="14"/>
      <c r="AC846" s="14"/>
      <c r="AD846" s="34"/>
      <c r="AE846" s="35"/>
      <c r="AF846" s="35"/>
      <c r="AG846" s="35"/>
      <c r="AH846" s="35"/>
      <c r="AI846" s="35"/>
      <c r="AJ846" s="35"/>
      <c r="AK846" s="35"/>
      <c r="AL846" s="35"/>
      <c r="AM846" s="35"/>
      <c r="AN846" s="35"/>
      <c r="AO846" s="35"/>
      <c r="AP846" s="35"/>
      <c r="AQ846" s="35"/>
      <c r="AR846" s="35"/>
      <c r="AS846" s="35"/>
      <c r="AT846" s="35"/>
      <c r="AU846" s="14"/>
      <c r="AV846" s="14"/>
      <c r="AW846" s="14"/>
      <c r="AX846" s="14"/>
      <c r="AY846" s="14"/>
      <c r="AZ846" s="14"/>
      <c r="BA846" s="29"/>
      <c r="BB846" s="14"/>
      <c r="BC846" s="14"/>
      <c r="BD846" s="14"/>
      <c r="BE846" s="29"/>
      <c r="BF846" s="29"/>
      <c r="BG846" s="14"/>
      <c r="BH846" s="14"/>
      <c r="BI846" s="14"/>
      <c r="BJ846" s="29"/>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t="s">
        <v>1653</v>
      </c>
      <c r="CX846" s="14" t="s">
        <v>1654</v>
      </c>
      <c r="CY846" s="14">
        <v>2021</v>
      </c>
      <c r="CZ846" s="36"/>
      <c r="DA846" s="14" t="s">
        <v>416</v>
      </c>
      <c r="DB846" s="14">
        <v>12</v>
      </c>
      <c r="DC846" s="14"/>
      <c r="DD846" s="14" t="s">
        <v>2140</v>
      </c>
      <c r="DE846" s="14" t="s">
        <v>1655</v>
      </c>
    </row>
    <row r="847" spans="1:109" s="13" customFormat="1" ht="20">
      <c r="A847" s="14" t="s">
        <v>1950</v>
      </c>
      <c r="B847" s="14" t="s">
        <v>1758</v>
      </c>
      <c r="C847" s="14" t="s">
        <v>567</v>
      </c>
      <c r="D847" s="14" t="s">
        <v>2039</v>
      </c>
      <c r="E847" s="14" t="s">
        <v>672</v>
      </c>
      <c r="F847" s="14" t="s">
        <v>1048</v>
      </c>
      <c r="G847" s="14"/>
      <c r="H847" s="14" t="s">
        <v>712</v>
      </c>
      <c r="I847" s="14" t="s">
        <v>3075</v>
      </c>
      <c r="J847" s="14" t="s">
        <v>585</v>
      </c>
      <c r="K847" s="14"/>
      <c r="L847" s="14" t="s">
        <v>641</v>
      </c>
      <c r="M847" s="14">
        <v>46</v>
      </c>
      <c r="N847" s="14">
        <v>0</v>
      </c>
      <c r="O847" s="34">
        <v>0</v>
      </c>
      <c r="P847" s="14">
        <v>0</v>
      </c>
      <c r="Q847" s="14">
        <v>54.57</v>
      </c>
      <c r="R847" s="14">
        <v>9.67</v>
      </c>
      <c r="S847" s="14"/>
      <c r="T847" s="14"/>
      <c r="U847" s="14"/>
      <c r="V847" s="14">
        <v>33</v>
      </c>
      <c r="W847" s="14">
        <f>V847/M847</f>
        <v>0.71739130434782605</v>
      </c>
      <c r="X847" s="14">
        <v>39.22</v>
      </c>
      <c r="Y847" s="14">
        <v>6.08</v>
      </c>
      <c r="Z847" s="14"/>
      <c r="AA847" s="14"/>
      <c r="AB847" s="14"/>
      <c r="AC847" s="14">
        <v>34</v>
      </c>
      <c r="AD847" s="34">
        <f>AC847/M847</f>
        <v>0.73913043478260865</v>
      </c>
      <c r="AE847" s="35">
        <v>13.15</v>
      </c>
      <c r="AF847" s="35">
        <v>14.3</v>
      </c>
      <c r="AG847" s="35"/>
      <c r="AH847" s="35"/>
      <c r="AI847" s="35"/>
      <c r="AJ847" s="35"/>
      <c r="AK847" s="35"/>
      <c r="AL847" s="35"/>
      <c r="AM847" s="35"/>
      <c r="AN847" s="35"/>
      <c r="AO847" s="35"/>
      <c r="AP847" s="35"/>
      <c r="AQ847" s="35"/>
      <c r="AR847" s="35"/>
      <c r="AS847" s="35"/>
      <c r="AT847" s="35"/>
      <c r="AU847" s="14" t="s">
        <v>2447</v>
      </c>
      <c r="AV847" s="14"/>
      <c r="AW847" s="14"/>
      <c r="AX847" s="14"/>
      <c r="AY847" s="14"/>
      <c r="AZ847" s="14"/>
      <c r="BA847" s="29" t="s">
        <v>4107</v>
      </c>
      <c r="BB847" s="14">
        <v>1.27</v>
      </c>
      <c r="BC847" s="14">
        <v>0.46</v>
      </c>
      <c r="BD847" s="14">
        <v>3.49</v>
      </c>
      <c r="BE847" s="29"/>
      <c r="BF847" s="29"/>
      <c r="BG847" s="14"/>
      <c r="BH847" s="14"/>
      <c r="BI847" s="14"/>
      <c r="BJ847" s="29"/>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t="s">
        <v>563</v>
      </c>
      <c r="CX847" s="14" t="s">
        <v>564</v>
      </c>
      <c r="CY847" s="14">
        <v>2023</v>
      </c>
      <c r="CZ847" s="36" t="s">
        <v>119</v>
      </c>
      <c r="DA847" s="14" t="s">
        <v>26</v>
      </c>
      <c r="DB847" s="14">
        <v>10</v>
      </c>
      <c r="DC847" s="14">
        <v>8</v>
      </c>
      <c r="DD847" s="14" t="s">
        <v>565</v>
      </c>
      <c r="DE847" s="14" t="s">
        <v>566</v>
      </c>
    </row>
    <row r="848" spans="1:109" s="13" customFormat="1" ht="20">
      <c r="A848" s="14" t="s">
        <v>1950</v>
      </c>
      <c r="B848" s="14" t="s">
        <v>1758</v>
      </c>
      <c r="C848" s="14" t="s">
        <v>567</v>
      </c>
      <c r="D848" s="14" t="s">
        <v>2039</v>
      </c>
      <c r="E848" s="14" t="s">
        <v>672</v>
      </c>
      <c r="F848" s="14" t="s">
        <v>3073</v>
      </c>
      <c r="G848" s="14"/>
      <c r="H848" s="14" t="s">
        <v>712</v>
      </c>
      <c r="I848" s="14" t="s">
        <v>3075</v>
      </c>
      <c r="J848" s="14" t="s">
        <v>585</v>
      </c>
      <c r="K848" s="14"/>
      <c r="L848" s="14" t="s">
        <v>641</v>
      </c>
      <c r="M848" s="14">
        <v>46</v>
      </c>
      <c r="N848" s="14">
        <v>0</v>
      </c>
      <c r="O848" s="34">
        <v>0</v>
      </c>
      <c r="P848" s="14">
        <v>0</v>
      </c>
      <c r="Q848" s="14">
        <v>54.57</v>
      </c>
      <c r="R848" s="14">
        <v>9.67</v>
      </c>
      <c r="S848" s="14"/>
      <c r="T848" s="14"/>
      <c r="U848" s="14"/>
      <c r="V848" s="14">
        <v>33</v>
      </c>
      <c r="W848" s="14">
        <f>V848/M848</f>
        <v>0.71739130434782605</v>
      </c>
      <c r="X848" s="14">
        <v>39.22</v>
      </c>
      <c r="Y848" s="14">
        <v>6.08</v>
      </c>
      <c r="Z848" s="14"/>
      <c r="AA848" s="14"/>
      <c r="AB848" s="14"/>
      <c r="AC848" s="14">
        <v>34</v>
      </c>
      <c r="AD848" s="34">
        <f>AC848/M848</f>
        <v>0.73913043478260865</v>
      </c>
      <c r="AE848" s="35">
        <v>13.15</v>
      </c>
      <c r="AF848" s="35">
        <v>14.3</v>
      </c>
      <c r="AG848" s="35"/>
      <c r="AH848" s="35"/>
      <c r="AI848" s="35"/>
      <c r="AJ848" s="35"/>
      <c r="AK848" s="35"/>
      <c r="AL848" s="35"/>
      <c r="AM848" s="35"/>
      <c r="AN848" s="35"/>
      <c r="AO848" s="35"/>
      <c r="AP848" s="35"/>
      <c r="AQ848" s="35"/>
      <c r="AR848" s="35"/>
      <c r="AS848" s="35"/>
      <c r="AT848" s="35"/>
      <c r="AU848" s="14" t="s">
        <v>2447</v>
      </c>
      <c r="AV848" s="14"/>
      <c r="AW848" s="14"/>
      <c r="AX848" s="14"/>
      <c r="AY848" s="14"/>
      <c r="AZ848" s="14"/>
      <c r="BA848" s="29" t="s">
        <v>4107</v>
      </c>
      <c r="BB848" s="14">
        <v>4.51</v>
      </c>
      <c r="BC848" s="14">
        <v>1.45</v>
      </c>
      <c r="BD848" s="14">
        <v>14.01</v>
      </c>
      <c r="BE848" s="29" t="s">
        <v>3074</v>
      </c>
      <c r="BF848" s="29"/>
      <c r="BG848" s="14"/>
      <c r="BH848" s="14"/>
      <c r="BI848" s="14"/>
      <c r="BJ848" s="29">
        <v>3.98</v>
      </c>
      <c r="BK848" s="14">
        <v>1.05</v>
      </c>
      <c r="BL848" s="14">
        <v>1.22</v>
      </c>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t="s">
        <v>563</v>
      </c>
      <c r="CX848" s="14" t="s">
        <v>564</v>
      </c>
      <c r="CY848" s="14">
        <v>2023</v>
      </c>
      <c r="CZ848" s="36" t="s">
        <v>119</v>
      </c>
      <c r="DA848" s="14" t="s">
        <v>26</v>
      </c>
      <c r="DB848" s="14">
        <v>10</v>
      </c>
      <c r="DC848" s="14">
        <v>8</v>
      </c>
      <c r="DD848" s="14" t="s">
        <v>565</v>
      </c>
      <c r="DE848" s="14" t="s">
        <v>566</v>
      </c>
    </row>
    <row r="849" spans="1:109" s="13" customFormat="1" ht="20">
      <c r="A849" s="14" t="s">
        <v>1952</v>
      </c>
      <c r="B849" s="14" t="s">
        <v>1759</v>
      </c>
      <c r="C849" s="14" t="s">
        <v>573</v>
      </c>
      <c r="D849" s="14" t="s">
        <v>822</v>
      </c>
      <c r="E849" s="14" t="s">
        <v>672</v>
      </c>
      <c r="F849" s="14" t="s">
        <v>1052</v>
      </c>
      <c r="G849" s="14"/>
      <c r="H849" s="14" t="s">
        <v>868</v>
      </c>
      <c r="I849" s="14" t="s">
        <v>3076</v>
      </c>
      <c r="J849" s="14" t="s">
        <v>1051</v>
      </c>
      <c r="K849" s="14" t="s">
        <v>1051</v>
      </c>
      <c r="L849" s="14" t="s">
        <v>641</v>
      </c>
      <c r="M849" s="14">
        <v>21</v>
      </c>
      <c r="N849" s="14"/>
      <c r="O849" s="34"/>
      <c r="P849" s="14"/>
      <c r="Q849" s="14"/>
      <c r="R849" s="14"/>
      <c r="S849" s="14"/>
      <c r="T849" s="14"/>
      <c r="U849" s="14"/>
      <c r="V849" s="14"/>
      <c r="W849" s="14"/>
      <c r="X849" s="14"/>
      <c r="Y849" s="14"/>
      <c r="Z849" s="14"/>
      <c r="AA849" s="14"/>
      <c r="AB849" s="14"/>
      <c r="AC849" s="14"/>
      <c r="AD849" s="34"/>
      <c r="AE849" s="35"/>
      <c r="AF849" s="35"/>
      <c r="AG849" s="35"/>
      <c r="AH849" s="35"/>
      <c r="AI849" s="35"/>
      <c r="AJ849" s="35"/>
      <c r="AK849" s="35"/>
      <c r="AL849" s="35"/>
      <c r="AM849" s="35"/>
      <c r="AN849" s="35"/>
      <c r="AO849" s="35"/>
      <c r="AP849" s="35"/>
      <c r="AQ849" s="35"/>
      <c r="AR849" s="35"/>
      <c r="AS849" s="35"/>
      <c r="AT849" s="35"/>
      <c r="AU849" s="14" t="s">
        <v>2447</v>
      </c>
      <c r="AV849" s="14"/>
      <c r="AW849" s="14"/>
      <c r="AX849" s="14"/>
      <c r="AY849" s="14"/>
      <c r="AZ849" s="14"/>
      <c r="BA849" s="29"/>
      <c r="BB849" s="14"/>
      <c r="BC849" s="14"/>
      <c r="BD849" s="14"/>
      <c r="BE849" s="29"/>
      <c r="BF849" s="29"/>
      <c r="BG849" s="14"/>
      <c r="BH849" s="14"/>
      <c r="BI849" s="14"/>
      <c r="BJ849" s="29"/>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t="s">
        <v>568</v>
      </c>
      <c r="CX849" s="14" t="s">
        <v>569</v>
      </c>
      <c r="CY849" s="14">
        <v>2019</v>
      </c>
      <c r="CZ849" s="36" t="s">
        <v>162</v>
      </c>
      <c r="DA849" s="14" t="s">
        <v>570</v>
      </c>
      <c r="DB849" s="14">
        <v>69</v>
      </c>
      <c r="DC849" s="14">
        <v>4</v>
      </c>
      <c r="DD849" s="14" t="s">
        <v>571</v>
      </c>
      <c r="DE849" s="14" t="s">
        <v>572</v>
      </c>
    </row>
    <row r="850" spans="1:109" s="13" customFormat="1" ht="20">
      <c r="A850" s="14" t="s">
        <v>1952</v>
      </c>
      <c r="B850" s="14" t="s">
        <v>1759</v>
      </c>
      <c r="C850" s="14" t="s">
        <v>573</v>
      </c>
      <c r="D850" s="14" t="s">
        <v>822</v>
      </c>
      <c r="E850" s="14" t="s">
        <v>672</v>
      </c>
      <c r="F850" s="14" t="s">
        <v>1053</v>
      </c>
      <c r="G850" s="14"/>
      <c r="H850" s="14" t="s">
        <v>868</v>
      </c>
      <c r="I850" s="14" t="s">
        <v>3076</v>
      </c>
      <c r="J850" s="14" t="s">
        <v>1051</v>
      </c>
      <c r="K850" s="14" t="s">
        <v>1051</v>
      </c>
      <c r="L850" s="14" t="s">
        <v>641</v>
      </c>
      <c r="M850" s="14">
        <v>21</v>
      </c>
      <c r="N850" s="14"/>
      <c r="O850" s="34"/>
      <c r="P850" s="14"/>
      <c r="Q850" s="14"/>
      <c r="R850" s="14"/>
      <c r="S850" s="14"/>
      <c r="T850" s="14"/>
      <c r="U850" s="14"/>
      <c r="V850" s="14"/>
      <c r="W850" s="14"/>
      <c r="X850" s="14"/>
      <c r="Y850" s="14"/>
      <c r="Z850" s="14"/>
      <c r="AA850" s="14"/>
      <c r="AB850" s="14"/>
      <c r="AC850" s="14"/>
      <c r="AD850" s="34"/>
      <c r="AE850" s="35"/>
      <c r="AF850" s="35"/>
      <c r="AG850" s="35"/>
      <c r="AH850" s="35"/>
      <c r="AI850" s="35"/>
      <c r="AJ850" s="35"/>
      <c r="AK850" s="35"/>
      <c r="AL850" s="35"/>
      <c r="AM850" s="35"/>
      <c r="AN850" s="35"/>
      <c r="AO850" s="35"/>
      <c r="AP850" s="35"/>
      <c r="AQ850" s="35"/>
      <c r="AR850" s="35"/>
      <c r="AS850" s="35"/>
      <c r="AT850" s="35"/>
      <c r="AU850" s="14" t="s">
        <v>2447</v>
      </c>
      <c r="AV850" s="14"/>
      <c r="AW850" s="14"/>
      <c r="AX850" s="14"/>
      <c r="AY850" s="14"/>
      <c r="AZ850" s="14"/>
      <c r="BA850" s="29"/>
      <c r="BB850" s="14"/>
      <c r="BC850" s="14"/>
      <c r="BD850" s="14"/>
      <c r="BE850" s="29"/>
      <c r="BF850" s="29"/>
      <c r="BG850" s="14"/>
      <c r="BH850" s="14"/>
      <c r="BI850" s="14"/>
      <c r="BJ850" s="29"/>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t="s">
        <v>568</v>
      </c>
      <c r="CX850" s="14" t="s">
        <v>569</v>
      </c>
      <c r="CY850" s="14">
        <v>2019</v>
      </c>
      <c r="CZ850" s="36" t="s">
        <v>162</v>
      </c>
      <c r="DA850" s="14" t="s">
        <v>570</v>
      </c>
      <c r="DB850" s="14">
        <v>69</v>
      </c>
      <c r="DC850" s="14">
        <v>4</v>
      </c>
      <c r="DD850" s="14" t="s">
        <v>571</v>
      </c>
      <c r="DE850" s="14" t="s">
        <v>572</v>
      </c>
    </row>
    <row r="851" spans="1:109" s="13" customFormat="1" ht="20">
      <c r="A851" s="14" t="s">
        <v>1952</v>
      </c>
      <c r="B851" s="14" t="s">
        <v>1759</v>
      </c>
      <c r="C851" s="14" t="s">
        <v>573</v>
      </c>
      <c r="D851" s="14" t="s">
        <v>822</v>
      </c>
      <c r="E851" s="14" t="s">
        <v>672</v>
      </c>
      <c r="F851" s="14" t="s">
        <v>1054</v>
      </c>
      <c r="G851" s="14"/>
      <c r="H851" s="14" t="s">
        <v>868</v>
      </c>
      <c r="I851" s="14" t="s">
        <v>3076</v>
      </c>
      <c r="J851" s="14" t="s">
        <v>1051</v>
      </c>
      <c r="K851" s="14" t="s">
        <v>1051</v>
      </c>
      <c r="L851" s="14" t="s">
        <v>641</v>
      </c>
      <c r="M851" s="14">
        <v>21</v>
      </c>
      <c r="N851" s="14"/>
      <c r="O851" s="34"/>
      <c r="P851" s="14"/>
      <c r="Q851" s="14"/>
      <c r="R851" s="14"/>
      <c r="S851" s="14"/>
      <c r="T851" s="14"/>
      <c r="U851" s="14"/>
      <c r="V851" s="14"/>
      <c r="W851" s="14"/>
      <c r="X851" s="14"/>
      <c r="Y851" s="14"/>
      <c r="Z851" s="14"/>
      <c r="AA851" s="14"/>
      <c r="AB851" s="14"/>
      <c r="AC851" s="14"/>
      <c r="AD851" s="34"/>
      <c r="AE851" s="35"/>
      <c r="AF851" s="35"/>
      <c r="AG851" s="35"/>
      <c r="AH851" s="35"/>
      <c r="AI851" s="35"/>
      <c r="AJ851" s="35"/>
      <c r="AK851" s="35"/>
      <c r="AL851" s="35"/>
      <c r="AM851" s="35"/>
      <c r="AN851" s="35"/>
      <c r="AO851" s="35"/>
      <c r="AP851" s="35"/>
      <c r="AQ851" s="35"/>
      <c r="AR851" s="35"/>
      <c r="AS851" s="35"/>
      <c r="AT851" s="35"/>
      <c r="AU851" s="14" t="s">
        <v>2447</v>
      </c>
      <c r="AV851" s="14"/>
      <c r="AW851" s="14"/>
      <c r="AX851" s="14"/>
      <c r="AY851" s="14"/>
      <c r="AZ851" s="14"/>
      <c r="BA851" s="29"/>
      <c r="BB851" s="14"/>
      <c r="BC851" s="14"/>
      <c r="BD851" s="14"/>
      <c r="BE851" s="29"/>
      <c r="BF851" s="29"/>
      <c r="BG851" s="14"/>
      <c r="BH851" s="14"/>
      <c r="BI851" s="14"/>
      <c r="BJ851" s="29"/>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t="s">
        <v>568</v>
      </c>
      <c r="CX851" s="14" t="s">
        <v>569</v>
      </c>
      <c r="CY851" s="14">
        <v>2019</v>
      </c>
      <c r="CZ851" s="36" t="s">
        <v>162</v>
      </c>
      <c r="DA851" s="14" t="s">
        <v>570</v>
      </c>
      <c r="DB851" s="14">
        <v>69</v>
      </c>
      <c r="DC851" s="14">
        <v>4</v>
      </c>
      <c r="DD851" s="14" t="s">
        <v>571</v>
      </c>
      <c r="DE851" s="14" t="s">
        <v>572</v>
      </c>
    </row>
    <row r="852" spans="1:109" s="13" customFormat="1" ht="20">
      <c r="A852" s="14" t="s">
        <v>1953</v>
      </c>
      <c r="B852" s="14"/>
      <c r="C852" s="14" t="s">
        <v>4108</v>
      </c>
      <c r="D852" s="14" t="s">
        <v>898</v>
      </c>
      <c r="E852" s="14" t="s">
        <v>673</v>
      </c>
      <c r="F852" s="14" t="s">
        <v>2545</v>
      </c>
      <c r="G852" s="14"/>
      <c r="H852" s="14" t="s">
        <v>712</v>
      </c>
      <c r="I852" s="14" t="s">
        <v>2875</v>
      </c>
      <c r="J852" s="14" t="s">
        <v>3202</v>
      </c>
      <c r="K852" s="14" t="s">
        <v>3079</v>
      </c>
      <c r="L852" s="14" t="s">
        <v>2512</v>
      </c>
      <c r="M852" s="14">
        <v>356</v>
      </c>
      <c r="N852" s="14"/>
      <c r="O852" s="34"/>
      <c r="P852" s="14"/>
      <c r="Q852" s="14">
        <v>53.3</v>
      </c>
      <c r="R852" s="14">
        <v>10.7</v>
      </c>
      <c r="S852" s="14"/>
      <c r="T852" s="14"/>
      <c r="U852" s="14"/>
      <c r="V852" s="14">
        <v>203</v>
      </c>
      <c r="W852" s="14">
        <f t="shared" ref="W852:W871" si="81">V852/M852</f>
        <v>0.5702247191011236</v>
      </c>
      <c r="X852" s="14">
        <v>39.1</v>
      </c>
      <c r="Y852" s="14">
        <v>5.9</v>
      </c>
      <c r="Z852" s="14"/>
      <c r="AA852" s="14"/>
      <c r="AB852" s="14"/>
      <c r="AC852" s="14">
        <v>299</v>
      </c>
      <c r="AD852" s="34">
        <f t="shared" ref="AD852:AD871" si="82">AC852/M852</f>
        <v>0.8398876404494382</v>
      </c>
      <c r="AE852" s="35">
        <v>13.8</v>
      </c>
      <c r="AF852" s="35">
        <v>11.9</v>
      </c>
      <c r="AG852" s="35"/>
      <c r="AH852" s="35"/>
      <c r="AI852" s="35"/>
      <c r="AJ852" s="35"/>
      <c r="AK852" s="35"/>
      <c r="AL852" s="35">
        <v>42</v>
      </c>
      <c r="AM852" s="35"/>
      <c r="AN852" s="35"/>
      <c r="AO852" s="35"/>
      <c r="AP852" s="35"/>
      <c r="AQ852" s="35"/>
      <c r="AR852" s="35"/>
      <c r="AS852" s="35"/>
      <c r="AT852" s="35"/>
      <c r="AU852" s="14" t="s">
        <v>2447</v>
      </c>
      <c r="AV852" s="14"/>
      <c r="AW852" s="14"/>
      <c r="AX852" s="14"/>
      <c r="AY852" s="14"/>
      <c r="AZ852" s="14"/>
      <c r="BA852" s="29" t="s">
        <v>3077</v>
      </c>
      <c r="BB852" s="14">
        <v>1.6140000000000001</v>
      </c>
      <c r="BC852" s="14">
        <v>1.242</v>
      </c>
      <c r="BD852" s="14">
        <v>2.0979999999999999</v>
      </c>
      <c r="BE852" s="29" t="s">
        <v>3078</v>
      </c>
      <c r="BF852" s="29"/>
      <c r="BG852" s="14">
        <v>1.7470000000000001</v>
      </c>
      <c r="BH852" s="14">
        <v>1.2749999999999999</v>
      </c>
      <c r="BI852" s="14">
        <v>2.395</v>
      </c>
      <c r="BJ852" s="29"/>
      <c r="BK852" s="14"/>
      <c r="BL852" s="14"/>
      <c r="BM852" s="14"/>
      <c r="BN852" s="14" t="s">
        <v>2231</v>
      </c>
      <c r="BO852" s="14"/>
      <c r="BP852" s="14"/>
      <c r="BQ852" s="14">
        <v>0.16400000000000001</v>
      </c>
      <c r="BR852" s="14"/>
      <c r="BS852" s="14"/>
      <c r="BT852" s="14"/>
      <c r="BU852" s="14">
        <v>2E-3</v>
      </c>
      <c r="BV852" s="14"/>
      <c r="BW852" s="14"/>
      <c r="BX852" s="14"/>
      <c r="BY852" s="14"/>
      <c r="BZ852" s="14"/>
      <c r="CA852" s="14"/>
      <c r="CB852" s="14"/>
      <c r="CC852" s="14">
        <v>-0.20699999999999999</v>
      </c>
      <c r="CD852" s="14"/>
      <c r="CE852" s="14"/>
      <c r="CF852" s="14"/>
      <c r="CG852" s="14" t="s">
        <v>701</v>
      </c>
      <c r="CH852" s="14"/>
      <c r="CI852" s="14"/>
      <c r="CJ852" s="14"/>
      <c r="CK852" s="14"/>
      <c r="CL852" s="14"/>
      <c r="CM852" s="14"/>
      <c r="CN852" s="14"/>
      <c r="CO852" s="14"/>
      <c r="CP852" s="14"/>
      <c r="CQ852" s="14"/>
      <c r="CR852" s="14"/>
      <c r="CS852" s="14"/>
      <c r="CT852" s="14"/>
      <c r="CU852" s="14"/>
      <c r="CV852" s="14"/>
      <c r="CW852" s="14" t="s">
        <v>1657</v>
      </c>
      <c r="CX852" s="14" t="s">
        <v>1658</v>
      </c>
      <c r="CY852" s="14">
        <v>2024</v>
      </c>
      <c r="CZ852" s="36" t="s">
        <v>73</v>
      </c>
      <c r="DA852" s="14" t="s">
        <v>545</v>
      </c>
      <c r="DB852" s="14">
        <v>45</v>
      </c>
      <c r="DC852" s="14">
        <v>1</v>
      </c>
      <c r="DD852" s="14" t="s">
        <v>1659</v>
      </c>
      <c r="DE852" s="14" t="s">
        <v>1660</v>
      </c>
    </row>
    <row r="853" spans="1:109" s="13" customFormat="1" ht="20">
      <c r="A853" s="13" t="s">
        <v>3431</v>
      </c>
      <c r="C853" s="13" t="s">
        <v>4109</v>
      </c>
      <c r="D853" s="14" t="s">
        <v>2039</v>
      </c>
      <c r="E853" s="13" t="s">
        <v>673</v>
      </c>
      <c r="F853" s="13" t="s">
        <v>3983</v>
      </c>
      <c r="H853" s="14" t="s">
        <v>712</v>
      </c>
      <c r="I853" s="14" t="s">
        <v>4006</v>
      </c>
      <c r="J853" s="13" t="s">
        <v>4115</v>
      </c>
      <c r="K853" s="13" t="s">
        <v>4008</v>
      </c>
      <c r="M853" s="13">
        <v>506</v>
      </c>
      <c r="O853" s="15"/>
      <c r="Q853" s="13">
        <v>54.2</v>
      </c>
      <c r="R853" s="13">
        <v>10.5</v>
      </c>
      <c r="V853" s="13">
        <v>288</v>
      </c>
      <c r="W853" s="2">
        <f t="shared" si="81"/>
        <v>0.56916996047430835</v>
      </c>
      <c r="Z853" s="13">
        <v>40</v>
      </c>
      <c r="AA853" s="13">
        <v>36</v>
      </c>
      <c r="AB853" s="13">
        <v>44</v>
      </c>
      <c r="AC853" s="13">
        <v>418</v>
      </c>
      <c r="AD853" s="13">
        <f t="shared" si="82"/>
        <v>0.82608695652173914</v>
      </c>
      <c r="AG853" s="13">
        <v>11</v>
      </c>
      <c r="AH853" s="13">
        <v>6</v>
      </c>
      <c r="AI853" s="13">
        <v>18</v>
      </c>
      <c r="AL853" s="13">
        <v>45</v>
      </c>
      <c r="AT853" s="13">
        <v>344</v>
      </c>
      <c r="AU853" s="13" t="s">
        <v>3832</v>
      </c>
      <c r="AV853" s="13" t="s">
        <v>4009</v>
      </c>
      <c r="AX853" s="13">
        <v>0.98</v>
      </c>
      <c r="AY853" s="13">
        <v>0.97</v>
      </c>
      <c r="AZ853" s="13">
        <v>0.99</v>
      </c>
      <c r="BA853" s="16" t="s">
        <v>3876</v>
      </c>
      <c r="BB853" s="13">
        <v>0.48</v>
      </c>
      <c r="BC853" s="13">
        <v>0.36</v>
      </c>
      <c r="BD853" s="13">
        <v>0.64</v>
      </c>
      <c r="BE853" s="16" t="s">
        <v>4010</v>
      </c>
      <c r="BG853" s="13">
        <v>0.98</v>
      </c>
      <c r="BH853" s="13">
        <v>0.97</v>
      </c>
      <c r="BI853" s="13">
        <v>0.99</v>
      </c>
      <c r="BJ853" s="16" t="s">
        <v>3876</v>
      </c>
      <c r="BK853" s="13">
        <v>0.45</v>
      </c>
      <c r="BL853" s="13">
        <v>0.32</v>
      </c>
      <c r="BM853" s="13">
        <v>0.64</v>
      </c>
      <c r="BN853" s="16"/>
      <c r="CW853" s="13" t="s">
        <v>3623</v>
      </c>
      <c r="CX853" s="13" t="s">
        <v>3624</v>
      </c>
      <c r="CY853" s="13">
        <v>2024</v>
      </c>
      <c r="CZ853" s="13" t="s">
        <v>162</v>
      </c>
      <c r="DA853" s="13" t="s">
        <v>3625</v>
      </c>
      <c r="DB853" s="13">
        <v>15</v>
      </c>
      <c r="DC853" s="13">
        <v>6</v>
      </c>
      <c r="DD853" s="13" t="s">
        <v>3626</v>
      </c>
      <c r="DE853" s="13" t="s">
        <v>3286</v>
      </c>
    </row>
    <row r="854" spans="1:109" s="13" customFormat="1" ht="20">
      <c r="A854" s="13" t="s">
        <v>3431</v>
      </c>
      <c r="C854" s="13" t="s">
        <v>4109</v>
      </c>
      <c r="D854" s="14" t="s">
        <v>2039</v>
      </c>
      <c r="E854" s="13" t="s">
        <v>673</v>
      </c>
      <c r="F854" s="13" t="s">
        <v>4011</v>
      </c>
      <c r="H854" s="14" t="s">
        <v>712</v>
      </c>
      <c r="I854" s="14" t="s">
        <v>4006</v>
      </c>
      <c r="J854" s="13" t="s">
        <v>4115</v>
      </c>
      <c r="K854" s="13" t="s">
        <v>4008</v>
      </c>
      <c r="M854" s="13">
        <v>506</v>
      </c>
      <c r="O854" s="15"/>
      <c r="Q854" s="13">
        <v>54.2</v>
      </c>
      <c r="R854" s="13">
        <v>10.5</v>
      </c>
      <c r="V854" s="13">
        <v>288</v>
      </c>
      <c r="W854" s="2">
        <f t="shared" si="81"/>
        <v>0.56916996047430835</v>
      </c>
      <c r="Z854" s="13">
        <v>40</v>
      </c>
      <c r="AA854" s="13">
        <v>36</v>
      </c>
      <c r="AB854" s="13">
        <v>44</v>
      </c>
      <c r="AC854" s="13">
        <v>418</v>
      </c>
      <c r="AD854" s="13">
        <f t="shared" si="82"/>
        <v>0.82608695652173914</v>
      </c>
      <c r="AG854" s="13">
        <v>11</v>
      </c>
      <c r="AH854" s="13">
        <v>6</v>
      </c>
      <c r="AI854" s="13">
        <v>18</v>
      </c>
      <c r="AL854" s="13">
        <v>45</v>
      </c>
      <c r="AT854" s="13">
        <v>344</v>
      </c>
      <c r="AU854" s="13" t="s">
        <v>3832</v>
      </c>
      <c r="BA854" s="16" t="s">
        <v>3846</v>
      </c>
      <c r="BB854" s="13">
        <v>0.81</v>
      </c>
      <c r="BC854" s="13">
        <v>0.65</v>
      </c>
      <c r="BD854" s="13">
        <v>1</v>
      </c>
      <c r="BE854" s="16" t="s">
        <v>4010</v>
      </c>
      <c r="BJ854" s="16"/>
      <c r="BN854" s="16"/>
      <c r="CW854" s="13" t="s">
        <v>3623</v>
      </c>
      <c r="CX854" s="13" t="s">
        <v>3624</v>
      </c>
      <c r="CY854" s="13">
        <v>2024</v>
      </c>
      <c r="CZ854" s="13" t="s">
        <v>162</v>
      </c>
      <c r="DA854" s="13" t="s">
        <v>3625</v>
      </c>
      <c r="DB854" s="13">
        <v>15</v>
      </c>
      <c r="DC854" s="13">
        <v>6</v>
      </c>
      <c r="DD854" s="13" t="s">
        <v>3626</v>
      </c>
      <c r="DE854" s="13" t="s">
        <v>3286</v>
      </c>
    </row>
    <row r="855" spans="1:109" s="13" customFormat="1" ht="20">
      <c r="A855" s="13" t="s">
        <v>3431</v>
      </c>
      <c r="C855" s="13" t="s">
        <v>4109</v>
      </c>
      <c r="D855" s="14" t="s">
        <v>2039</v>
      </c>
      <c r="E855" s="13" t="s">
        <v>673</v>
      </c>
      <c r="F855" s="13" t="s">
        <v>4012</v>
      </c>
      <c r="H855" s="14" t="s">
        <v>712</v>
      </c>
      <c r="I855" s="14" t="s">
        <v>4006</v>
      </c>
      <c r="J855" s="13" t="s">
        <v>4115</v>
      </c>
      <c r="K855" s="13" t="s">
        <v>4008</v>
      </c>
      <c r="M855" s="13">
        <v>506</v>
      </c>
      <c r="O855" s="15"/>
      <c r="Q855" s="13">
        <v>54.2</v>
      </c>
      <c r="R855" s="13">
        <v>10.5</v>
      </c>
      <c r="V855" s="13">
        <v>288</v>
      </c>
      <c r="W855" s="2">
        <f t="shared" si="81"/>
        <v>0.56916996047430835</v>
      </c>
      <c r="Z855" s="13">
        <v>40</v>
      </c>
      <c r="AA855" s="13">
        <v>36</v>
      </c>
      <c r="AB855" s="13">
        <v>44</v>
      </c>
      <c r="AC855" s="13">
        <v>418</v>
      </c>
      <c r="AD855" s="13">
        <f t="shared" si="82"/>
        <v>0.82608695652173914</v>
      </c>
      <c r="AG855" s="13">
        <v>11</v>
      </c>
      <c r="AH855" s="13">
        <v>6</v>
      </c>
      <c r="AI855" s="13">
        <v>18</v>
      </c>
      <c r="AL855" s="13">
        <v>45</v>
      </c>
      <c r="AT855" s="13">
        <v>344</v>
      </c>
      <c r="AU855" s="13" t="s">
        <v>3832</v>
      </c>
      <c r="BA855" s="16" t="s">
        <v>3846</v>
      </c>
      <c r="BB855" s="13">
        <v>0.77</v>
      </c>
      <c r="BC855" s="13">
        <v>0.62</v>
      </c>
      <c r="BD855" s="13">
        <v>0.95</v>
      </c>
      <c r="BE855" s="16" t="s">
        <v>4010</v>
      </c>
      <c r="BJ855" s="16" t="s">
        <v>3846</v>
      </c>
      <c r="BK855" s="13">
        <v>0.76</v>
      </c>
      <c r="BL855" s="13">
        <v>0.61</v>
      </c>
      <c r="BM855" s="13">
        <v>0.95</v>
      </c>
      <c r="BN855" s="16"/>
      <c r="CW855" s="13" t="s">
        <v>3623</v>
      </c>
      <c r="CX855" s="13" t="s">
        <v>3624</v>
      </c>
      <c r="CY855" s="13">
        <v>2024</v>
      </c>
      <c r="CZ855" s="13" t="s">
        <v>162</v>
      </c>
      <c r="DA855" s="13" t="s">
        <v>3625</v>
      </c>
      <c r="DB855" s="13">
        <v>15</v>
      </c>
      <c r="DC855" s="13">
        <v>6</v>
      </c>
      <c r="DD855" s="13" t="s">
        <v>3626</v>
      </c>
      <c r="DE855" s="13" t="s">
        <v>3286</v>
      </c>
    </row>
    <row r="856" spans="1:109" s="13" customFormat="1" ht="20">
      <c r="A856" s="13" t="s">
        <v>3431</v>
      </c>
      <c r="C856" s="13" t="s">
        <v>4109</v>
      </c>
      <c r="D856" s="14" t="s">
        <v>2039</v>
      </c>
      <c r="E856" s="13" t="s">
        <v>673</v>
      </c>
      <c r="F856" s="13" t="s">
        <v>4013</v>
      </c>
      <c r="H856" s="14" t="s">
        <v>712</v>
      </c>
      <c r="I856" s="14" t="s">
        <v>4006</v>
      </c>
      <c r="J856" s="13" t="s">
        <v>4115</v>
      </c>
      <c r="K856" s="13" t="s">
        <v>4008</v>
      </c>
      <c r="M856" s="13">
        <v>506</v>
      </c>
      <c r="O856" s="15"/>
      <c r="Q856" s="13">
        <v>54.2</v>
      </c>
      <c r="R856" s="13">
        <v>10.5</v>
      </c>
      <c r="V856" s="13">
        <v>288</v>
      </c>
      <c r="W856" s="2">
        <f t="shared" si="81"/>
        <v>0.56916996047430835</v>
      </c>
      <c r="Z856" s="13">
        <v>40</v>
      </c>
      <c r="AA856" s="13">
        <v>36</v>
      </c>
      <c r="AB856" s="13">
        <v>44</v>
      </c>
      <c r="AC856" s="13">
        <v>418</v>
      </c>
      <c r="AD856" s="13">
        <f t="shared" si="82"/>
        <v>0.82608695652173914</v>
      </c>
      <c r="AG856" s="13">
        <v>11</v>
      </c>
      <c r="AH856" s="13">
        <v>6</v>
      </c>
      <c r="AI856" s="13">
        <v>18</v>
      </c>
      <c r="AL856" s="13">
        <v>45</v>
      </c>
      <c r="AT856" s="13">
        <v>344</v>
      </c>
      <c r="AU856" s="13" t="s">
        <v>3832</v>
      </c>
      <c r="BA856" s="16" t="s">
        <v>3846</v>
      </c>
      <c r="BB856" s="13">
        <v>0.73</v>
      </c>
      <c r="BC856" s="13">
        <v>0.56000000000000005</v>
      </c>
      <c r="BD856" s="13">
        <v>0.96</v>
      </c>
      <c r="BE856" s="16" t="s">
        <v>4010</v>
      </c>
      <c r="BJ856" s="16" t="s">
        <v>3846</v>
      </c>
      <c r="BK856" s="13">
        <v>0.61</v>
      </c>
      <c r="BL856" s="13">
        <v>0.46</v>
      </c>
      <c r="BM856" s="13">
        <v>0.8</v>
      </c>
      <c r="BN856" s="16"/>
      <c r="CW856" s="13" t="s">
        <v>3623</v>
      </c>
      <c r="CX856" s="13" t="s">
        <v>3624</v>
      </c>
      <c r="CY856" s="13">
        <v>2024</v>
      </c>
      <c r="CZ856" s="13" t="s">
        <v>162</v>
      </c>
      <c r="DA856" s="13" t="s">
        <v>3625</v>
      </c>
      <c r="DB856" s="13">
        <v>15</v>
      </c>
      <c r="DC856" s="13">
        <v>6</v>
      </c>
      <c r="DD856" s="13" t="s">
        <v>3626</v>
      </c>
      <c r="DE856" s="13" t="s">
        <v>3286</v>
      </c>
    </row>
    <row r="857" spans="1:109" s="13" customFormat="1" ht="20">
      <c r="A857" s="13" t="s">
        <v>3431</v>
      </c>
      <c r="C857" s="13" t="s">
        <v>4109</v>
      </c>
      <c r="D857" s="14" t="s">
        <v>2039</v>
      </c>
      <c r="E857" s="13" t="s">
        <v>4121</v>
      </c>
      <c r="F857" s="13" t="s">
        <v>2595</v>
      </c>
      <c r="H857" s="14" t="s">
        <v>712</v>
      </c>
      <c r="I857" s="14" t="s">
        <v>4006</v>
      </c>
      <c r="J857" s="13" t="s">
        <v>4115</v>
      </c>
      <c r="K857" s="13" t="s">
        <v>4008</v>
      </c>
      <c r="M857" s="13">
        <v>506</v>
      </c>
      <c r="O857" s="15"/>
      <c r="Q857" s="13">
        <v>54.2</v>
      </c>
      <c r="R857" s="13">
        <v>10.5</v>
      </c>
      <c r="V857" s="13">
        <v>288</v>
      </c>
      <c r="W857" s="2">
        <f t="shared" si="81"/>
        <v>0.56916996047430835</v>
      </c>
      <c r="Z857" s="13">
        <v>40</v>
      </c>
      <c r="AA857" s="13">
        <v>36</v>
      </c>
      <c r="AB857" s="13">
        <v>44</v>
      </c>
      <c r="AC857" s="13">
        <v>418</v>
      </c>
      <c r="AD857" s="13">
        <f t="shared" si="82"/>
        <v>0.82608695652173914</v>
      </c>
      <c r="AG857" s="13">
        <v>11</v>
      </c>
      <c r="AH857" s="13">
        <v>6</v>
      </c>
      <c r="AI857" s="13">
        <v>18</v>
      </c>
      <c r="AL857" s="13">
        <v>45</v>
      </c>
      <c r="AT857" s="13">
        <v>344</v>
      </c>
      <c r="AU857" s="13" t="s">
        <v>3832</v>
      </c>
      <c r="BA857" s="16" t="s">
        <v>3846</v>
      </c>
      <c r="BB857" s="13">
        <v>0.77</v>
      </c>
      <c r="BC857" s="13">
        <v>0.57999999999999996</v>
      </c>
      <c r="BD857" s="13">
        <v>1.02</v>
      </c>
      <c r="BE857" s="16" t="s">
        <v>4022</v>
      </c>
      <c r="BJ857" s="16" t="s">
        <v>3846</v>
      </c>
      <c r="BK857" s="13">
        <v>0.73</v>
      </c>
      <c r="BL857" s="13">
        <v>0.55000000000000004</v>
      </c>
      <c r="BM857" s="13">
        <v>0.97</v>
      </c>
      <c r="BN857" s="16"/>
      <c r="CW857" s="13" t="s">
        <v>3623</v>
      </c>
      <c r="CX857" s="13" t="s">
        <v>3624</v>
      </c>
      <c r="CY857" s="13">
        <v>2024</v>
      </c>
      <c r="CZ857" s="13" t="s">
        <v>162</v>
      </c>
      <c r="DA857" s="13" t="s">
        <v>3625</v>
      </c>
      <c r="DB857" s="13">
        <v>15</v>
      </c>
      <c r="DC857" s="13">
        <v>6</v>
      </c>
      <c r="DD857" s="13" t="s">
        <v>3626</v>
      </c>
      <c r="DE857" s="13" t="s">
        <v>3286</v>
      </c>
    </row>
    <row r="858" spans="1:109" s="13" customFormat="1" ht="20">
      <c r="A858" s="13" t="s">
        <v>3431</v>
      </c>
      <c r="C858" s="13" t="s">
        <v>4109</v>
      </c>
      <c r="D858" s="14" t="s">
        <v>2039</v>
      </c>
      <c r="E858" s="13" t="s">
        <v>673</v>
      </c>
      <c r="F858" s="13" t="s">
        <v>2273</v>
      </c>
      <c r="H858" s="14" t="s">
        <v>712</v>
      </c>
      <c r="I858" s="14" t="s">
        <v>4006</v>
      </c>
      <c r="J858" s="13" t="s">
        <v>4115</v>
      </c>
      <c r="K858" s="13" t="s">
        <v>4008</v>
      </c>
      <c r="M858" s="13">
        <v>506</v>
      </c>
      <c r="O858" s="15"/>
      <c r="Q858" s="13">
        <v>54.2</v>
      </c>
      <c r="R858" s="13">
        <v>10.5</v>
      </c>
      <c r="V858" s="13">
        <v>288</v>
      </c>
      <c r="W858" s="2">
        <f t="shared" si="81"/>
        <v>0.56916996047430835</v>
      </c>
      <c r="Z858" s="13">
        <v>40</v>
      </c>
      <c r="AA858" s="13">
        <v>36</v>
      </c>
      <c r="AB858" s="13">
        <v>44</v>
      </c>
      <c r="AC858" s="13">
        <v>418</v>
      </c>
      <c r="AD858" s="13">
        <f t="shared" si="82"/>
        <v>0.82608695652173914</v>
      </c>
      <c r="AG858" s="13">
        <v>11</v>
      </c>
      <c r="AH858" s="13">
        <v>6</v>
      </c>
      <c r="AI858" s="13">
        <v>18</v>
      </c>
      <c r="AL858" s="13">
        <v>45</v>
      </c>
      <c r="AT858" s="13">
        <v>344</v>
      </c>
      <c r="AU858" s="13" t="s">
        <v>3832</v>
      </c>
      <c r="BA858" s="16" t="s">
        <v>3846</v>
      </c>
      <c r="BB858" s="13">
        <v>1.36</v>
      </c>
      <c r="BC858" s="13">
        <v>0.93</v>
      </c>
      <c r="BD858" s="13">
        <v>1.98</v>
      </c>
      <c r="BE858" s="16"/>
      <c r="BJ858" s="16"/>
      <c r="BN858" s="16"/>
      <c r="CW858" s="13" t="s">
        <v>3623</v>
      </c>
      <c r="CX858" s="13" t="s">
        <v>3624</v>
      </c>
      <c r="CY858" s="13">
        <v>2024</v>
      </c>
      <c r="CZ858" s="13" t="s">
        <v>162</v>
      </c>
      <c r="DA858" s="13" t="s">
        <v>3625</v>
      </c>
      <c r="DB858" s="13">
        <v>15</v>
      </c>
      <c r="DC858" s="13">
        <v>6</v>
      </c>
      <c r="DD858" s="13" t="s">
        <v>3626</v>
      </c>
      <c r="DE858" s="13" t="s">
        <v>3286</v>
      </c>
    </row>
    <row r="859" spans="1:109" s="13" customFormat="1" ht="20">
      <c r="A859" s="13" t="s">
        <v>3431</v>
      </c>
      <c r="C859" s="13" t="s">
        <v>4109</v>
      </c>
      <c r="D859" s="14" t="s">
        <v>2039</v>
      </c>
      <c r="E859" s="13" t="s">
        <v>673</v>
      </c>
      <c r="F859" s="13" t="s">
        <v>4014</v>
      </c>
      <c r="H859" s="14" t="s">
        <v>712</v>
      </c>
      <c r="I859" s="14" t="s">
        <v>4006</v>
      </c>
      <c r="J859" s="13" t="s">
        <v>4115</v>
      </c>
      <c r="K859" s="13" t="s">
        <v>4008</v>
      </c>
      <c r="M859" s="13">
        <v>506</v>
      </c>
      <c r="O859" s="15"/>
      <c r="Q859" s="13">
        <v>54.2</v>
      </c>
      <c r="R859" s="13">
        <v>10.5</v>
      </c>
      <c r="V859" s="13">
        <v>288</v>
      </c>
      <c r="W859" s="2">
        <f t="shared" si="81"/>
        <v>0.56916996047430835</v>
      </c>
      <c r="Z859" s="13">
        <v>40</v>
      </c>
      <c r="AA859" s="13">
        <v>36</v>
      </c>
      <c r="AB859" s="13">
        <v>44</v>
      </c>
      <c r="AC859" s="13">
        <v>418</v>
      </c>
      <c r="AD859" s="13">
        <f t="shared" si="82"/>
        <v>0.82608695652173914</v>
      </c>
      <c r="AG859" s="13">
        <v>11</v>
      </c>
      <c r="AH859" s="13">
        <v>6</v>
      </c>
      <c r="AI859" s="13">
        <v>18</v>
      </c>
      <c r="AL859" s="13">
        <v>45</v>
      </c>
      <c r="AT859" s="13">
        <v>344</v>
      </c>
      <c r="AU859" s="13" t="s">
        <v>3832</v>
      </c>
      <c r="BA859" s="16" t="s">
        <v>3846</v>
      </c>
      <c r="BB859" s="13">
        <v>1.1599999999999999</v>
      </c>
      <c r="BC859" s="13">
        <v>0.85</v>
      </c>
      <c r="BD859" s="13">
        <v>1.58</v>
      </c>
      <c r="BE859" s="16"/>
      <c r="BJ859" s="16"/>
      <c r="BN859" s="16"/>
      <c r="CW859" s="13" t="s">
        <v>3623</v>
      </c>
      <c r="CX859" s="13" t="s">
        <v>3624</v>
      </c>
      <c r="CY859" s="13">
        <v>2024</v>
      </c>
      <c r="CZ859" s="13" t="s">
        <v>162</v>
      </c>
      <c r="DA859" s="13" t="s">
        <v>3625</v>
      </c>
      <c r="DB859" s="13">
        <v>15</v>
      </c>
      <c r="DC859" s="13">
        <v>6</v>
      </c>
      <c r="DD859" s="13" t="s">
        <v>3626</v>
      </c>
      <c r="DE859" s="13" t="s">
        <v>3286</v>
      </c>
    </row>
    <row r="860" spans="1:109" s="13" customFormat="1" ht="20">
      <c r="A860" s="13" t="s">
        <v>3431</v>
      </c>
      <c r="C860" s="13" t="s">
        <v>4109</v>
      </c>
      <c r="D860" s="14" t="s">
        <v>2039</v>
      </c>
      <c r="E860" s="13" t="s">
        <v>673</v>
      </c>
      <c r="F860" s="13" t="s">
        <v>4015</v>
      </c>
      <c r="H860" s="14" t="s">
        <v>712</v>
      </c>
      <c r="I860" s="14" t="s">
        <v>4006</v>
      </c>
      <c r="J860" s="13" t="s">
        <v>4115</v>
      </c>
      <c r="K860" s="13" t="s">
        <v>4008</v>
      </c>
      <c r="M860" s="13">
        <v>506</v>
      </c>
      <c r="O860" s="15"/>
      <c r="Q860" s="13">
        <v>54.2</v>
      </c>
      <c r="R860" s="13">
        <v>10.5</v>
      </c>
      <c r="V860" s="13">
        <v>288</v>
      </c>
      <c r="W860" s="2">
        <f t="shared" si="81"/>
        <v>0.56916996047430835</v>
      </c>
      <c r="Z860" s="13">
        <v>40</v>
      </c>
      <c r="AA860" s="13">
        <v>36</v>
      </c>
      <c r="AB860" s="13">
        <v>44</v>
      </c>
      <c r="AC860" s="13">
        <v>418</v>
      </c>
      <c r="AD860" s="13">
        <f t="shared" si="82"/>
        <v>0.82608695652173914</v>
      </c>
      <c r="AG860" s="13">
        <v>11</v>
      </c>
      <c r="AH860" s="13">
        <v>6</v>
      </c>
      <c r="AI860" s="13">
        <v>18</v>
      </c>
      <c r="AL860" s="13">
        <v>45</v>
      </c>
      <c r="AT860" s="13">
        <v>344</v>
      </c>
      <c r="AU860" s="13" t="s">
        <v>3832</v>
      </c>
      <c r="BA860" s="16" t="s">
        <v>3846</v>
      </c>
      <c r="BB860" s="13">
        <v>0.82</v>
      </c>
      <c r="BC860" s="13">
        <v>0.57999999999999996</v>
      </c>
      <c r="BD860" s="13">
        <v>1.17</v>
      </c>
      <c r="BE860" s="16"/>
      <c r="BJ860" s="16"/>
      <c r="BN860" s="16"/>
      <c r="CW860" s="13" t="s">
        <v>3623</v>
      </c>
      <c r="CX860" s="13" t="s">
        <v>3624</v>
      </c>
      <c r="CY860" s="13">
        <v>2024</v>
      </c>
      <c r="CZ860" s="13" t="s">
        <v>162</v>
      </c>
      <c r="DA860" s="13" t="s">
        <v>3625</v>
      </c>
      <c r="DB860" s="13">
        <v>15</v>
      </c>
      <c r="DC860" s="13">
        <v>6</v>
      </c>
      <c r="DD860" s="13" t="s">
        <v>3626</v>
      </c>
      <c r="DE860" s="13" t="s">
        <v>3286</v>
      </c>
    </row>
    <row r="861" spans="1:109" s="13" customFormat="1" ht="20">
      <c r="A861" s="13" t="s">
        <v>3431</v>
      </c>
      <c r="C861" s="13" t="s">
        <v>4109</v>
      </c>
      <c r="D861" s="14" t="s">
        <v>2039</v>
      </c>
      <c r="E861" s="13" t="s">
        <v>673</v>
      </c>
      <c r="F861" s="13" t="s">
        <v>4016</v>
      </c>
      <c r="H861" s="14" t="s">
        <v>712</v>
      </c>
      <c r="I861" s="14" t="s">
        <v>4006</v>
      </c>
      <c r="J861" s="13" t="s">
        <v>4115</v>
      </c>
      <c r="K861" s="13" t="s">
        <v>4008</v>
      </c>
      <c r="M861" s="13">
        <v>506</v>
      </c>
      <c r="O861" s="15"/>
      <c r="Q861" s="13">
        <v>54.2</v>
      </c>
      <c r="R861" s="13">
        <v>10.5</v>
      </c>
      <c r="V861" s="13">
        <v>288</v>
      </c>
      <c r="W861" s="2">
        <f t="shared" si="81"/>
        <v>0.56916996047430835</v>
      </c>
      <c r="Z861" s="13">
        <v>40</v>
      </c>
      <c r="AA861" s="13">
        <v>36</v>
      </c>
      <c r="AB861" s="13">
        <v>44</v>
      </c>
      <c r="AC861" s="13">
        <v>418</v>
      </c>
      <c r="AD861" s="13">
        <f t="shared" si="82"/>
        <v>0.82608695652173914</v>
      </c>
      <c r="AG861" s="13">
        <v>11</v>
      </c>
      <c r="AH861" s="13">
        <v>6</v>
      </c>
      <c r="AI861" s="13">
        <v>18</v>
      </c>
      <c r="AL861" s="13">
        <v>45</v>
      </c>
      <c r="AT861" s="13">
        <v>344</v>
      </c>
      <c r="AU861" s="13" t="s">
        <v>3832</v>
      </c>
      <c r="BA861" s="16" t="s">
        <v>3846</v>
      </c>
      <c r="BB861" s="13">
        <v>0.85</v>
      </c>
      <c r="BC861" s="13">
        <v>0.61</v>
      </c>
      <c r="BD861" s="13">
        <v>1.19</v>
      </c>
      <c r="BE861" s="16"/>
      <c r="BJ861" s="16"/>
      <c r="BN861" s="16"/>
      <c r="CW861" s="13" t="s">
        <v>3623</v>
      </c>
      <c r="CX861" s="13" t="s">
        <v>3624</v>
      </c>
      <c r="CY861" s="13">
        <v>2024</v>
      </c>
      <c r="CZ861" s="13" t="s">
        <v>162</v>
      </c>
      <c r="DA861" s="13" t="s">
        <v>3625</v>
      </c>
      <c r="DB861" s="13">
        <v>15</v>
      </c>
      <c r="DC861" s="13">
        <v>6</v>
      </c>
      <c r="DD861" s="13" t="s">
        <v>3626</v>
      </c>
      <c r="DE861" s="13" t="s">
        <v>3286</v>
      </c>
    </row>
    <row r="862" spans="1:109" s="13" customFormat="1" ht="20">
      <c r="A862" s="13" t="s">
        <v>3431</v>
      </c>
      <c r="C862" s="13" t="s">
        <v>4109</v>
      </c>
      <c r="D862" s="14" t="s">
        <v>2039</v>
      </c>
      <c r="E862" s="13" t="s">
        <v>673</v>
      </c>
      <c r="F862" s="13" t="s">
        <v>4017</v>
      </c>
      <c r="H862" s="14" t="s">
        <v>712</v>
      </c>
      <c r="I862" s="14" t="s">
        <v>4006</v>
      </c>
      <c r="J862" s="13" t="s">
        <v>4115</v>
      </c>
      <c r="K862" s="13" t="s">
        <v>4008</v>
      </c>
      <c r="M862" s="13">
        <v>506</v>
      </c>
      <c r="O862" s="15"/>
      <c r="Q862" s="13">
        <v>54.2</v>
      </c>
      <c r="R862" s="13">
        <v>10.5</v>
      </c>
      <c r="V862" s="13">
        <v>288</v>
      </c>
      <c r="W862" s="2">
        <f t="shared" si="81"/>
        <v>0.56916996047430835</v>
      </c>
      <c r="Z862" s="13">
        <v>40</v>
      </c>
      <c r="AA862" s="13">
        <v>36</v>
      </c>
      <c r="AB862" s="13">
        <v>44</v>
      </c>
      <c r="AC862" s="13">
        <v>418</v>
      </c>
      <c r="AD862" s="13">
        <f t="shared" si="82"/>
        <v>0.82608695652173914</v>
      </c>
      <c r="AG862" s="13">
        <v>11</v>
      </c>
      <c r="AH862" s="13">
        <v>6</v>
      </c>
      <c r="AI862" s="13">
        <v>18</v>
      </c>
      <c r="AL862" s="13">
        <v>45</v>
      </c>
      <c r="AT862" s="13">
        <v>344</v>
      </c>
      <c r="AU862" s="13" t="s">
        <v>3832</v>
      </c>
      <c r="BA862" s="16" t="s">
        <v>3846</v>
      </c>
      <c r="BB862" s="13">
        <v>0.66</v>
      </c>
      <c r="BC862" s="13">
        <v>0.51</v>
      </c>
      <c r="BD862" s="13">
        <v>0.86</v>
      </c>
      <c r="BE862" s="16"/>
      <c r="BJ862" s="16"/>
      <c r="BN862" s="16"/>
      <c r="CW862" s="13" t="s">
        <v>3623</v>
      </c>
      <c r="CX862" s="13" t="s">
        <v>3624</v>
      </c>
      <c r="CY862" s="13">
        <v>2024</v>
      </c>
      <c r="CZ862" s="13" t="s">
        <v>162</v>
      </c>
      <c r="DA862" s="13" t="s">
        <v>3625</v>
      </c>
      <c r="DB862" s="13">
        <v>15</v>
      </c>
      <c r="DC862" s="13">
        <v>6</v>
      </c>
      <c r="DD862" s="13" t="s">
        <v>3626</v>
      </c>
      <c r="DE862" s="13" t="s">
        <v>3286</v>
      </c>
    </row>
    <row r="863" spans="1:109" s="13" customFormat="1" ht="20">
      <c r="A863" s="13" t="s">
        <v>3431</v>
      </c>
      <c r="C863" s="13" t="s">
        <v>4109</v>
      </c>
      <c r="D863" s="14" t="s">
        <v>2039</v>
      </c>
      <c r="E863" s="13" t="s">
        <v>673</v>
      </c>
      <c r="F863" s="13" t="s">
        <v>4018</v>
      </c>
      <c r="H863" s="14" t="s">
        <v>712</v>
      </c>
      <c r="I863" s="14" t="s">
        <v>4006</v>
      </c>
      <c r="J863" s="13" t="s">
        <v>4115</v>
      </c>
      <c r="K863" s="13" t="s">
        <v>4008</v>
      </c>
      <c r="M863" s="13">
        <v>506</v>
      </c>
      <c r="O863" s="15"/>
      <c r="Q863" s="13">
        <v>54.2</v>
      </c>
      <c r="R863" s="13">
        <v>10.5</v>
      </c>
      <c r="V863" s="13">
        <v>288</v>
      </c>
      <c r="W863" s="2">
        <f t="shared" si="81"/>
        <v>0.56916996047430835</v>
      </c>
      <c r="Z863" s="13">
        <v>40</v>
      </c>
      <c r="AA863" s="13">
        <v>36</v>
      </c>
      <c r="AB863" s="13">
        <v>44</v>
      </c>
      <c r="AC863" s="13">
        <v>418</v>
      </c>
      <c r="AD863" s="13">
        <f t="shared" si="82"/>
        <v>0.82608695652173914</v>
      </c>
      <c r="AG863" s="13">
        <v>11</v>
      </c>
      <c r="AH863" s="13">
        <v>6</v>
      </c>
      <c r="AI863" s="13">
        <v>18</v>
      </c>
      <c r="AL863" s="13">
        <v>45</v>
      </c>
      <c r="AT863" s="13">
        <v>344</v>
      </c>
      <c r="AU863" s="13" t="s">
        <v>3832</v>
      </c>
      <c r="BA863" s="16" t="s">
        <v>3846</v>
      </c>
      <c r="BB863" s="13">
        <v>0.53</v>
      </c>
      <c r="BC863" s="13">
        <v>0.38</v>
      </c>
      <c r="BD863" s="13">
        <v>0.73</v>
      </c>
      <c r="BE863" s="16"/>
      <c r="BJ863" s="16"/>
      <c r="BN863" s="16"/>
      <c r="CW863" s="13" t="s">
        <v>3623</v>
      </c>
      <c r="CX863" s="13" t="s">
        <v>3624</v>
      </c>
      <c r="CY863" s="13">
        <v>2024</v>
      </c>
      <c r="CZ863" s="13" t="s">
        <v>162</v>
      </c>
      <c r="DA863" s="13" t="s">
        <v>3625</v>
      </c>
      <c r="DB863" s="13">
        <v>15</v>
      </c>
      <c r="DC863" s="13">
        <v>6</v>
      </c>
      <c r="DD863" s="13" t="s">
        <v>3626</v>
      </c>
      <c r="DE863" s="13" t="s">
        <v>3286</v>
      </c>
    </row>
    <row r="864" spans="1:109" s="13" customFormat="1" ht="20">
      <c r="A864" s="13" t="s">
        <v>3431</v>
      </c>
      <c r="C864" s="13" t="s">
        <v>4109</v>
      </c>
      <c r="D864" s="14" t="s">
        <v>2039</v>
      </c>
      <c r="E864" s="13" t="s">
        <v>673</v>
      </c>
      <c r="F864" s="13" t="s">
        <v>4023</v>
      </c>
      <c r="H864" s="14" t="s">
        <v>712</v>
      </c>
      <c r="I864" s="14" t="s">
        <v>4006</v>
      </c>
      <c r="J864" s="13" t="s">
        <v>4115</v>
      </c>
      <c r="K864" s="13" t="s">
        <v>4008</v>
      </c>
      <c r="M864" s="13">
        <v>506</v>
      </c>
      <c r="O864" s="15"/>
      <c r="Q864" s="13">
        <v>54.2</v>
      </c>
      <c r="R864" s="13">
        <v>10.5</v>
      </c>
      <c r="V864" s="13">
        <v>288</v>
      </c>
      <c r="W864" s="2">
        <f t="shared" si="81"/>
        <v>0.56916996047430835</v>
      </c>
      <c r="Z864" s="13">
        <v>40</v>
      </c>
      <c r="AA864" s="13">
        <v>36</v>
      </c>
      <c r="AB864" s="13">
        <v>44</v>
      </c>
      <c r="AC864" s="13">
        <v>418</v>
      </c>
      <c r="AD864" s="13">
        <f t="shared" si="82"/>
        <v>0.82608695652173914</v>
      </c>
      <c r="AG864" s="13">
        <v>11</v>
      </c>
      <c r="AH864" s="13">
        <v>6</v>
      </c>
      <c r="AI864" s="13">
        <v>18</v>
      </c>
      <c r="AL864" s="13">
        <v>45</v>
      </c>
      <c r="AT864" s="13">
        <v>344</v>
      </c>
      <c r="AU864" s="13" t="s">
        <v>3832</v>
      </c>
      <c r="BA864" s="16" t="s">
        <v>3846</v>
      </c>
      <c r="BB864" s="13">
        <v>1.17</v>
      </c>
      <c r="BC864" s="13">
        <v>0.89</v>
      </c>
      <c r="BD864" s="13">
        <v>1.54</v>
      </c>
      <c r="BE864" s="16"/>
      <c r="BJ864" s="16"/>
      <c r="BN864" s="16"/>
      <c r="CW864" s="13" t="s">
        <v>3623</v>
      </c>
      <c r="CX864" s="13" t="s">
        <v>3624</v>
      </c>
      <c r="CY864" s="13">
        <v>2024</v>
      </c>
      <c r="CZ864" s="13" t="s">
        <v>162</v>
      </c>
      <c r="DA864" s="13" t="s">
        <v>3625</v>
      </c>
      <c r="DB864" s="13">
        <v>15</v>
      </c>
      <c r="DC864" s="13">
        <v>6</v>
      </c>
      <c r="DD864" s="13" t="s">
        <v>3626</v>
      </c>
      <c r="DE864" s="13" t="s">
        <v>3286</v>
      </c>
    </row>
    <row r="865" spans="1:109" s="13" customFormat="1" ht="20">
      <c r="A865" s="13" t="s">
        <v>3431</v>
      </c>
      <c r="C865" s="13" t="s">
        <v>4109</v>
      </c>
      <c r="D865" s="14" t="s">
        <v>2039</v>
      </c>
      <c r="E865" s="13" t="s">
        <v>673</v>
      </c>
      <c r="F865" s="13" t="s">
        <v>4019</v>
      </c>
      <c r="H865" s="14" t="s">
        <v>712</v>
      </c>
      <c r="I865" s="14" t="s">
        <v>4006</v>
      </c>
      <c r="J865" s="13" t="s">
        <v>4115</v>
      </c>
      <c r="K865" s="13" t="s">
        <v>4008</v>
      </c>
      <c r="M865" s="13">
        <v>506</v>
      </c>
      <c r="O865" s="15"/>
      <c r="Q865" s="13">
        <v>54.2</v>
      </c>
      <c r="R865" s="13">
        <v>10.5</v>
      </c>
      <c r="V865" s="13">
        <v>288</v>
      </c>
      <c r="W865" s="2">
        <f t="shared" si="81"/>
        <v>0.56916996047430835</v>
      </c>
      <c r="Z865" s="13">
        <v>40</v>
      </c>
      <c r="AA865" s="13">
        <v>36</v>
      </c>
      <c r="AB865" s="13">
        <v>44</v>
      </c>
      <c r="AC865" s="13">
        <v>418</v>
      </c>
      <c r="AD865" s="13">
        <f t="shared" si="82"/>
        <v>0.82608695652173914</v>
      </c>
      <c r="AG865" s="13">
        <v>11</v>
      </c>
      <c r="AH865" s="13">
        <v>6</v>
      </c>
      <c r="AI865" s="13">
        <v>18</v>
      </c>
      <c r="AL865" s="13">
        <v>45</v>
      </c>
      <c r="AT865" s="13">
        <v>344</v>
      </c>
      <c r="AU865" s="13" t="s">
        <v>3832</v>
      </c>
      <c r="BA865" s="16" t="s">
        <v>3846</v>
      </c>
      <c r="BB865" s="13">
        <v>0.69</v>
      </c>
      <c r="BC865" s="13">
        <v>0.54</v>
      </c>
      <c r="BD865" s="13">
        <v>0.89</v>
      </c>
      <c r="BE865" s="16"/>
      <c r="BJ865" s="16"/>
      <c r="BN865" s="16"/>
      <c r="CW865" s="13" t="s">
        <v>3623</v>
      </c>
      <c r="CX865" s="13" t="s">
        <v>3624</v>
      </c>
      <c r="CY865" s="13">
        <v>2024</v>
      </c>
      <c r="CZ865" s="13" t="s">
        <v>162</v>
      </c>
      <c r="DA865" s="13" t="s">
        <v>3625</v>
      </c>
      <c r="DB865" s="13">
        <v>15</v>
      </c>
      <c r="DC865" s="13">
        <v>6</v>
      </c>
      <c r="DD865" s="13" t="s">
        <v>3626</v>
      </c>
      <c r="DE865" s="13" t="s">
        <v>3286</v>
      </c>
    </row>
    <row r="866" spans="1:109" s="13" customFormat="1" ht="20">
      <c r="A866" s="13" t="s">
        <v>3431</v>
      </c>
      <c r="C866" s="13" t="s">
        <v>4109</v>
      </c>
      <c r="D866" s="14" t="s">
        <v>2039</v>
      </c>
      <c r="E866" s="13" t="s">
        <v>673</v>
      </c>
      <c r="F866" s="13" t="s">
        <v>4020</v>
      </c>
      <c r="H866" s="14" t="s">
        <v>712</v>
      </c>
      <c r="I866" s="14" t="s">
        <v>4006</v>
      </c>
      <c r="J866" s="13" t="s">
        <v>4115</v>
      </c>
      <c r="K866" s="13" t="s">
        <v>4008</v>
      </c>
      <c r="M866" s="13">
        <v>506</v>
      </c>
      <c r="O866" s="15"/>
      <c r="Q866" s="13">
        <v>54.2</v>
      </c>
      <c r="R866" s="13">
        <v>10.5</v>
      </c>
      <c r="V866" s="13">
        <v>288</v>
      </c>
      <c r="W866" s="2">
        <f t="shared" si="81"/>
        <v>0.56916996047430835</v>
      </c>
      <c r="Z866" s="13">
        <v>40</v>
      </c>
      <c r="AA866" s="13">
        <v>36</v>
      </c>
      <c r="AB866" s="13">
        <v>44</v>
      </c>
      <c r="AC866" s="13">
        <v>418</v>
      </c>
      <c r="AD866" s="13">
        <f t="shared" si="82"/>
        <v>0.82608695652173914</v>
      </c>
      <c r="AG866" s="13">
        <v>11</v>
      </c>
      <c r="AH866" s="13">
        <v>6</v>
      </c>
      <c r="AI866" s="13">
        <v>18</v>
      </c>
      <c r="AL866" s="13">
        <v>45</v>
      </c>
      <c r="AT866" s="13">
        <v>344</v>
      </c>
      <c r="AU866" s="13" t="s">
        <v>3832</v>
      </c>
      <c r="BA866" s="16" t="s">
        <v>3846</v>
      </c>
      <c r="BB866" s="13">
        <v>0.56999999999999995</v>
      </c>
      <c r="BC866" s="13">
        <v>0.4</v>
      </c>
      <c r="BD866" s="13">
        <v>0.81</v>
      </c>
      <c r="BE866" s="16"/>
      <c r="BJ866" s="16" t="s">
        <v>3846</v>
      </c>
      <c r="BK866" s="13">
        <v>0.68</v>
      </c>
      <c r="BL866" s="13">
        <v>0.47</v>
      </c>
      <c r="BM866" s="13">
        <v>0.96</v>
      </c>
      <c r="BN866" s="16"/>
      <c r="CW866" s="13" t="s">
        <v>3623</v>
      </c>
      <c r="CX866" s="13" t="s">
        <v>3624</v>
      </c>
      <c r="CY866" s="13">
        <v>2024</v>
      </c>
      <c r="CZ866" s="13" t="s">
        <v>162</v>
      </c>
      <c r="DA866" s="13" t="s">
        <v>3625</v>
      </c>
      <c r="DB866" s="13">
        <v>15</v>
      </c>
      <c r="DC866" s="13">
        <v>6</v>
      </c>
      <c r="DD866" s="13" t="s">
        <v>3626</v>
      </c>
      <c r="DE866" s="13" t="s">
        <v>3286</v>
      </c>
    </row>
    <row r="867" spans="1:109" s="13" customFormat="1" ht="20">
      <c r="A867" s="13" t="s">
        <v>3431</v>
      </c>
      <c r="C867" s="13" t="s">
        <v>4109</v>
      </c>
      <c r="D867" s="14" t="s">
        <v>2039</v>
      </c>
      <c r="E867" s="13" t="s">
        <v>673</v>
      </c>
      <c r="F867" s="13" t="s">
        <v>4021</v>
      </c>
      <c r="H867" s="14" t="s">
        <v>712</v>
      </c>
      <c r="I867" s="14" t="s">
        <v>4006</v>
      </c>
      <c r="J867" s="13" t="s">
        <v>4115</v>
      </c>
      <c r="K867" s="13" t="s">
        <v>4008</v>
      </c>
      <c r="M867" s="13">
        <v>506</v>
      </c>
      <c r="O867" s="15"/>
      <c r="Q867" s="13">
        <v>54.2</v>
      </c>
      <c r="R867" s="13">
        <v>10.5</v>
      </c>
      <c r="V867" s="13">
        <v>288</v>
      </c>
      <c r="W867" s="2">
        <f t="shared" si="81"/>
        <v>0.56916996047430835</v>
      </c>
      <c r="Z867" s="13">
        <v>40</v>
      </c>
      <c r="AA867" s="13">
        <v>36</v>
      </c>
      <c r="AB867" s="13">
        <v>44</v>
      </c>
      <c r="AC867" s="13">
        <v>418</v>
      </c>
      <c r="AD867" s="13">
        <f t="shared" si="82"/>
        <v>0.82608695652173914</v>
      </c>
      <c r="AG867" s="13">
        <v>11</v>
      </c>
      <c r="AH867" s="13">
        <v>6</v>
      </c>
      <c r="AI867" s="13">
        <v>18</v>
      </c>
      <c r="AL867" s="13">
        <v>45</v>
      </c>
      <c r="AT867" s="13">
        <v>344</v>
      </c>
      <c r="AU867" s="13" t="s">
        <v>3832</v>
      </c>
      <c r="BA867" s="16" t="s">
        <v>3846</v>
      </c>
      <c r="BB867" s="13">
        <v>0.71</v>
      </c>
      <c r="BC867" s="13">
        <v>0.56000000000000005</v>
      </c>
      <c r="BD867" s="13">
        <v>0.91</v>
      </c>
      <c r="BE867" s="16"/>
      <c r="BJ867" s="16" t="s">
        <v>3846</v>
      </c>
      <c r="BN867" s="16"/>
      <c r="CW867" s="13" t="s">
        <v>3623</v>
      </c>
      <c r="CX867" s="13" t="s">
        <v>3624</v>
      </c>
      <c r="CY867" s="13">
        <v>2024</v>
      </c>
      <c r="CZ867" s="13" t="s">
        <v>162</v>
      </c>
      <c r="DA867" s="13" t="s">
        <v>3625</v>
      </c>
      <c r="DB867" s="13">
        <v>15</v>
      </c>
      <c r="DC867" s="13">
        <v>6</v>
      </c>
      <c r="DD867" s="13" t="s">
        <v>3626</v>
      </c>
      <c r="DE867" s="13" t="s">
        <v>3286</v>
      </c>
    </row>
    <row r="868" spans="1:109" s="13" customFormat="1" ht="20">
      <c r="A868" s="13" t="s">
        <v>3431</v>
      </c>
      <c r="C868" s="13" t="s">
        <v>4109</v>
      </c>
      <c r="D868" s="14" t="s">
        <v>2039</v>
      </c>
      <c r="E868" s="13" t="s">
        <v>673</v>
      </c>
      <c r="F868" s="13" t="s">
        <v>2337</v>
      </c>
      <c r="H868" s="14" t="s">
        <v>712</v>
      </c>
      <c r="I868" s="14" t="s">
        <v>4006</v>
      </c>
      <c r="J868" s="13" t="s">
        <v>4115</v>
      </c>
      <c r="K868" s="13" t="s">
        <v>4008</v>
      </c>
      <c r="L868" s="13" t="s">
        <v>2376</v>
      </c>
      <c r="M868" s="13">
        <v>506</v>
      </c>
      <c r="O868" s="15"/>
      <c r="Q868" s="13">
        <v>54.2</v>
      </c>
      <c r="R868" s="13">
        <v>10.5</v>
      </c>
      <c r="V868" s="13">
        <v>288</v>
      </c>
      <c r="W868" s="2">
        <f t="shared" si="81"/>
        <v>0.56916996047430835</v>
      </c>
      <c r="Z868" s="13">
        <v>40</v>
      </c>
      <c r="AA868" s="13">
        <v>36</v>
      </c>
      <c r="AB868" s="13">
        <v>44</v>
      </c>
      <c r="AC868" s="13">
        <v>418</v>
      </c>
      <c r="AD868" s="13">
        <f t="shared" si="82"/>
        <v>0.82608695652173914</v>
      </c>
      <c r="AG868" s="13">
        <v>11</v>
      </c>
      <c r="AH868" s="13">
        <v>6</v>
      </c>
      <c r="AI868" s="13">
        <v>18</v>
      </c>
      <c r="AL868" s="13">
        <v>45</v>
      </c>
      <c r="AT868" s="13">
        <v>344</v>
      </c>
      <c r="AU868" s="13" t="s">
        <v>3832</v>
      </c>
      <c r="BA868" s="16" t="s">
        <v>3846</v>
      </c>
      <c r="BB868" s="13">
        <v>0.76</v>
      </c>
      <c r="BC868" s="13">
        <v>0.6</v>
      </c>
      <c r="BD868" s="13">
        <v>0.95</v>
      </c>
      <c r="BE868" s="16" t="s">
        <v>4010</v>
      </c>
      <c r="BJ868" s="16" t="s">
        <v>3846</v>
      </c>
      <c r="BK868" s="13">
        <v>0.6</v>
      </c>
      <c r="BL868" s="13">
        <v>0.47</v>
      </c>
      <c r="BM868" s="13">
        <v>0.78</v>
      </c>
      <c r="BN868" s="16"/>
      <c r="CW868" s="13" t="s">
        <v>3623</v>
      </c>
      <c r="CX868" s="13" t="s">
        <v>3624</v>
      </c>
      <c r="CY868" s="13">
        <v>2024</v>
      </c>
      <c r="CZ868" s="13" t="s">
        <v>162</v>
      </c>
      <c r="DA868" s="13" t="s">
        <v>3625</v>
      </c>
      <c r="DB868" s="13">
        <v>15</v>
      </c>
      <c r="DC868" s="13">
        <v>6</v>
      </c>
      <c r="DD868" s="13" t="s">
        <v>3626</v>
      </c>
      <c r="DE868" s="13" t="s">
        <v>3286</v>
      </c>
    </row>
    <row r="869" spans="1:109" s="13" customFormat="1" ht="20">
      <c r="A869" s="13" t="s">
        <v>3431</v>
      </c>
      <c r="C869" s="13" t="s">
        <v>4109</v>
      </c>
      <c r="D869" s="14" t="s">
        <v>2039</v>
      </c>
      <c r="E869" s="13" t="s">
        <v>673</v>
      </c>
      <c r="F869" s="13" t="s">
        <v>2545</v>
      </c>
      <c r="H869" s="14" t="s">
        <v>712</v>
      </c>
      <c r="I869" s="14" t="s">
        <v>4006</v>
      </c>
      <c r="J869" s="13" t="s">
        <v>4115</v>
      </c>
      <c r="K869" s="13" t="s">
        <v>4008</v>
      </c>
      <c r="L869" s="13" t="s">
        <v>2512</v>
      </c>
      <c r="M869" s="13">
        <v>506</v>
      </c>
      <c r="O869" s="15"/>
      <c r="Q869" s="13">
        <v>54.2</v>
      </c>
      <c r="R869" s="13">
        <v>10.5</v>
      </c>
      <c r="V869" s="13">
        <v>288</v>
      </c>
      <c r="W869" s="2">
        <f t="shared" si="81"/>
        <v>0.56916996047430835</v>
      </c>
      <c r="Z869" s="13">
        <v>40</v>
      </c>
      <c r="AA869" s="13">
        <v>36</v>
      </c>
      <c r="AB869" s="13">
        <v>44</v>
      </c>
      <c r="AC869" s="13">
        <v>418</v>
      </c>
      <c r="AD869" s="13">
        <f t="shared" si="82"/>
        <v>0.82608695652173914</v>
      </c>
      <c r="AG869" s="13">
        <v>11</v>
      </c>
      <c r="AH869" s="13">
        <v>6</v>
      </c>
      <c r="AI869" s="13">
        <v>18</v>
      </c>
      <c r="AL869" s="13">
        <v>45</v>
      </c>
      <c r="AT869" s="13">
        <v>344</v>
      </c>
      <c r="AU869" s="13" t="s">
        <v>3832</v>
      </c>
      <c r="BA869" s="16" t="s">
        <v>3846</v>
      </c>
      <c r="BB869" s="13">
        <v>1.61</v>
      </c>
      <c r="BC869" s="13">
        <v>1.3</v>
      </c>
      <c r="BD869" s="13">
        <v>1.99</v>
      </c>
      <c r="BE869" s="16" t="s">
        <v>4022</v>
      </c>
      <c r="BJ869" s="16" t="s">
        <v>3846</v>
      </c>
      <c r="BK869" s="13">
        <v>1.37</v>
      </c>
      <c r="BL869" s="13">
        <v>1.1000000000000001</v>
      </c>
      <c r="BM869" s="13">
        <v>1.72</v>
      </c>
      <c r="BN869" s="16"/>
      <c r="CW869" s="13" t="s">
        <v>3623</v>
      </c>
      <c r="CX869" s="13" t="s">
        <v>3624</v>
      </c>
      <c r="CY869" s="13">
        <v>2024</v>
      </c>
      <c r="CZ869" s="13" t="s">
        <v>162</v>
      </c>
      <c r="DA869" s="13" t="s">
        <v>3625</v>
      </c>
      <c r="DB869" s="13">
        <v>15</v>
      </c>
      <c r="DC869" s="13">
        <v>6</v>
      </c>
      <c r="DD869" s="13" t="s">
        <v>3626</v>
      </c>
      <c r="DE869" s="13" t="s">
        <v>3286</v>
      </c>
    </row>
    <row r="870" spans="1:109" s="13" customFormat="1" ht="20">
      <c r="A870" s="13" t="s">
        <v>3431</v>
      </c>
      <c r="C870" s="13" t="s">
        <v>4109</v>
      </c>
      <c r="D870" s="14" t="s">
        <v>2039</v>
      </c>
      <c r="E870" s="13" t="s">
        <v>673</v>
      </c>
      <c r="F870" s="13" t="s">
        <v>3983</v>
      </c>
      <c r="H870" s="14" t="s">
        <v>712</v>
      </c>
      <c r="I870" s="14" t="s">
        <v>4006</v>
      </c>
      <c r="J870" s="13" t="s">
        <v>4115</v>
      </c>
      <c r="K870" s="13" t="s">
        <v>4008</v>
      </c>
      <c r="M870" s="13">
        <v>506</v>
      </c>
      <c r="O870" s="15"/>
      <c r="Q870" s="13">
        <v>54.2</v>
      </c>
      <c r="R870" s="13">
        <v>10.5</v>
      </c>
      <c r="V870" s="13">
        <v>288</v>
      </c>
      <c r="W870" s="2">
        <f t="shared" si="81"/>
        <v>0.56916996047430835</v>
      </c>
      <c r="Z870" s="13">
        <v>40</v>
      </c>
      <c r="AA870" s="13">
        <v>36</v>
      </c>
      <c r="AB870" s="13">
        <v>44</v>
      </c>
      <c r="AC870" s="13">
        <v>418</v>
      </c>
      <c r="AD870" s="13">
        <f t="shared" si="82"/>
        <v>0.82608695652173914</v>
      </c>
      <c r="AG870" s="13">
        <v>11</v>
      </c>
      <c r="AH870" s="13">
        <v>6</v>
      </c>
      <c r="AI870" s="13">
        <v>18</v>
      </c>
      <c r="AL870" s="13">
        <v>45</v>
      </c>
      <c r="AT870" s="13">
        <v>344</v>
      </c>
      <c r="AU870" s="13" t="s">
        <v>3832</v>
      </c>
      <c r="BA870" s="16" t="s">
        <v>3846</v>
      </c>
      <c r="BB870" s="13">
        <v>0.6</v>
      </c>
      <c r="BC870" s="13">
        <v>0.48</v>
      </c>
      <c r="BD870" s="13">
        <v>0.74</v>
      </c>
      <c r="BE870" s="16" t="s">
        <v>4010</v>
      </c>
      <c r="BJ870" s="16" t="s">
        <v>3846</v>
      </c>
      <c r="BK870" s="13">
        <v>0.59</v>
      </c>
      <c r="BL870" s="13">
        <v>0.46</v>
      </c>
      <c r="BM870" s="13">
        <v>0.76</v>
      </c>
      <c r="BN870" s="16"/>
      <c r="CW870" s="13" t="s">
        <v>3623</v>
      </c>
      <c r="CX870" s="13" t="s">
        <v>3624</v>
      </c>
      <c r="CY870" s="13">
        <v>2024</v>
      </c>
      <c r="CZ870" s="13" t="s">
        <v>162</v>
      </c>
      <c r="DA870" s="13" t="s">
        <v>3625</v>
      </c>
      <c r="DB870" s="13">
        <v>15</v>
      </c>
      <c r="DC870" s="13">
        <v>6</v>
      </c>
      <c r="DD870" s="13" t="s">
        <v>3626</v>
      </c>
      <c r="DE870" s="13" t="s">
        <v>3286</v>
      </c>
    </row>
    <row r="871" spans="1:109" s="13" customFormat="1" ht="20">
      <c r="A871" s="13" t="s">
        <v>3432</v>
      </c>
      <c r="C871" s="13" t="s">
        <v>3357</v>
      </c>
      <c r="D871" s="14" t="s">
        <v>831</v>
      </c>
      <c r="E871" s="13" t="s">
        <v>673</v>
      </c>
      <c r="F871" s="13" t="s">
        <v>4024</v>
      </c>
      <c r="H871" s="14" t="s">
        <v>703</v>
      </c>
      <c r="I871" s="14" t="s">
        <v>4025</v>
      </c>
      <c r="J871" s="13" t="s">
        <v>2362</v>
      </c>
      <c r="K871" s="13" t="s">
        <v>4026</v>
      </c>
      <c r="M871" s="13">
        <v>21</v>
      </c>
      <c r="O871" s="15"/>
      <c r="Q871" s="13">
        <v>55.55</v>
      </c>
      <c r="R871" s="13">
        <v>12.88</v>
      </c>
      <c r="V871" s="13">
        <v>13</v>
      </c>
      <c r="W871" s="2">
        <f t="shared" si="81"/>
        <v>0.61904761904761907</v>
      </c>
      <c r="X871" s="13">
        <v>38.619999999999997</v>
      </c>
      <c r="Y871" s="13">
        <v>5.36</v>
      </c>
      <c r="AC871" s="13">
        <v>15</v>
      </c>
      <c r="AD871" s="13">
        <f t="shared" si="82"/>
        <v>0.7142857142857143</v>
      </c>
      <c r="AE871" s="13">
        <v>11.67</v>
      </c>
      <c r="AF871" s="13">
        <v>4.25</v>
      </c>
      <c r="BA871" s="16"/>
      <c r="BE871" s="16"/>
      <c r="BJ871" s="16"/>
      <c r="BN871" s="16"/>
      <c r="CW871" s="13" t="s">
        <v>3627</v>
      </c>
      <c r="CX871" s="13" t="s">
        <v>3628</v>
      </c>
      <c r="CY871" s="13">
        <v>2024</v>
      </c>
      <c r="DA871" s="13" t="s">
        <v>3629</v>
      </c>
      <c r="DB871" s="13">
        <v>15</v>
      </c>
      <c r="DD871" s="13">
        <v>1508974</v>
      </c>
      <c r="DE871" s="13" t="s">
        <v>3287</v>
      </c>
    </row>
  </sheetData>
  <autoFilter ref="A1:DE871" xr:uid="{00000000-0001-0000-0000-000000000000}">
    <sortState xmlns:xlrd2="http://schemas.microsoft.com/office/spreadsheetml/2017/richdata2" ref="A2:DE871">
      <sortCondition ref="C1:C871"/>
    </sortState>
  </autoFilter>
  <phoneticPr fontId="2"/>
  <conditionalFormatting sqref="C538:D538 C539">
    <cfRule type="expression" dxfId="20" priority="39" stopIfTrue="1">
      <formula>CELL("ROW")=ROW()</formula>
    </cfRule>
  </conditionalFormatting>
  <conditionalFormatting sqref="C545:D551">
    <cfRule type="expression" dxfId="19" priority="34" stopIfTrue="1">
      <formula>CELL("ROW")=ROW()</formula>
    </cfRule>
  </conditionalFormatting>
  <conditionalFormatting sqref="C613:D623">
    <cfRule type="expression" dxfId="18" priority="32" stopIfTrue="1">
      <formula>CELL("ROW")=ROW()</formula>
    </cfRule>
  </conditionalFormatting>
  <conditionalFormatting sqref="D291:D292">
    <cfRule type="expression" dxfId="17" priority="41" stopIfTrue="1">
      <formula>CELL("ROW")=ROW()</formula>
    </cfRule>
  </conditionalFormatting>
  <conditionalFormatting sqref="E618:E623">
    <cfRule type="expression" dxfId="16" priority="30" stopIfTrue="1">
      <formula>CELL("ROW")=ROW()</formula>
    </cfRule>
  </conditionalFormatting>
  <conditionalFormatting sqref="E558:F562 F563:F572 E573:F597 C598:E601">
    <cfRule type="expression" dxfId="15" priority="31" stopIfTrue="1">
      <formula>CELL("ROW")=ROW()</formula>
    </cfRule>
  </conditionalFormatting>
  <conditionalFormatting sqref="F614">
    <cfRule type="expression" dxfId="14" priority="29" stopIfTrue="1">
      <formula>CELL("ROW")=ROW()</formula>
    </cfRule>
  </conditionalFormatting>
  <conditionalFormatting sqref="H538:H551">
    <cfRule type="expression" dxfId="13" priority="21" stopIfTrue="1">
      <formula>CELL("ROW")=ROW()</formula>
    </cfRule>
  </conditionalFormatting>
  <conditionalFormatting sqref="H553:H557">
    <cfRule type="expression" dxfId="12" priority="20" stopIfTrue="1">
      <formula>CELL("ROW")=ROW()</formula>
    </cfRule>
  </conditionalFormatting>
  <conditionalFormatting sqref="H613:H617">
    <cfRule type="expression" dxfId="11" priority="28" stopIfTrue="1">
      <formula>CELL("ROW")=ROW()</formula>
    </cfRule>
  </conditionalFormatting>
  <conditionalFormatting sqref="H558:I573 A558:A623 H574 H575:I579 H580:H596 H597:I612 H618:I623">
    <cfRule type="expression" dxfId="10" priority="3" stopIfTrue="1">
      <formula>CELL("ROW")=ROW()</formula>
    </cfRule>
  </conditionalFormatting>
  <conditionalFormatting sqref="I582:I596">
    <cfRule type="expression" dxfId="9" priority="8" stopIfTrue="1">
      <formula>CELL("ROW")=ROW()</formula>
    </cfRule>
  </conditionalFormatting>
  <conditionalFormatting sqref="J552:J554">
    <cfRule type="expression" dxfId="8" priority="16" stopIfTrue="1">
      <formula>CELL("ROW")=ROW()</formula>
    </cfRule>
  </conditionalFormatting>
  <conditionalFormatting sqref="J538:K540">
    <cfRule type="expression" dxfId="7" priority="19" stopIfTrue="1">
      <formula>CELL("ROW")=ROW()</formula>
    </cfRule>
  </conditionalFormatting>
  <conditionalFormatting sqref="J545:K551">
    <cfRule type="expression" dxfId="6" priority="18" stopIfTrue="1">
      <formula>CELL("ROW")=ROW()</formula>
    </cfRule>
  </conditionalFormatting>
  <conditionalFormatting sqref="J560:K573 J577:K578 J582:K601 J603:K603 J605:K607">
    <cfRule type="expression" dxfId="5" priority="15" stopIfTrue="1">
      <formula>CELL("ROW")=ROW()</formula>
    </cfRule>
  </conditionalFormatting>
  <conditionalFormatting sqref="J609:K623">
    <cfRule type="expression" dxfId="4" priority="1" stopIfTrue="1">
      <formula>CELL("ROW")=ROW()</formula>
    </cfRule>
  </conditionalFormatting>
  <conditionalFormatting sqref="N608:N617 P609:P617 M618:U623">
    <cfRule type="expression" dxfId="3" priority="24" stopIfTrue="1">
      <formula>CELL("ROW")=ROW()</formula>
    </cfRule>
  </conditionalFormatting>
  <conditionalFormatting sqref="N538:P607 Q553:U604 B558:D596 M558:M607 B597:C597 B598:B623 C602 E602:F607 C603:D604 C605 C606:D607 D608:D612 C609:C612">
    <cfRule type="expression" dxfId="2" priority="33" stopIfTrue="1">
      <formula>CELL("ROW")=ROW()</formula>
    </cfRule>
  </conditionalFormatting>
  <conditionalFormatting sqref="Q605:T607 U606:U617 S608:T608 T609 Q609:R612 S610:T617 Q613:Q617">
    <cfRule type="expression" dxfId="1" priority="25" stopIfTrue="1">
      <formula>CELL("ROW")=ROW()</formula>
    </cfRule>
  </conditionalFormatting>
  <conditionalFormatting sqref="Q538:U551 Q552:R552 U552">
    <cfRule type="expression" dxfId="0" priority="11" stopIfTrue="1">
      <formula>CELL("ROW")=ROW()</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Diagnostic</vt:lpstr>
      <vt:lpstr>Prognostic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dc:creator>
  <cp:keywords/>
  <dc:description/>
  <cp:lastModifiedBy>OBARA Kazuki</cp:lastModifiedBy>
  <dcterms:created xsi:type="dcterms:W3CDTF">2024-10-16T21:37:50Z</dcterms:created>
  <dcterms:modified xsi:type="dcterms:W3CDTF">2026-02-08T16:46:02Z</dcterms:modified>
  <cp:category/>
</cp:coreProperties>
</file>